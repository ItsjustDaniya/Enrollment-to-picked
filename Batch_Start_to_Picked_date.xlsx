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Enrollment (Metabase)" sheetId="1" state="visible" r:id="rId1"/>
    <sheet name="Picked Students (raw)" sheetId="2" state="visible" r:id="rId2"/>
    <sheet name="Batch Start to Picked date" sheetId="3" state="visible" r:id="rId3"/>
    <sheet name="Batch Start-Picked (Freshers)" sheetId="4" state="visible" r:id="rId4"/>
    <sheet name="Batch Start-Picked (Unemploy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  <font>
      <name val="Arial"/>
      <i val="1"/>
      <color rgb="FF808080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  <xf numFmtId="0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Batch</t>
        </is>
      </c>
      <c r="B1" s="1" t="inlineStr">
        <is>
          <t>Base Batch</t>
        </is>
      </c>
      <c r="C1" s="1" t="inlineStr">
        <is>
          <t>GEM Status</t>
        </is>
      </c>
      <c r="D1" s="1" t="inlineStr">
        <is>
          <t>Batch Start Date</t>
        </is>
      </c>
      <c r="E1" s="1" t="inlineStr">
        <is>
          <t>Initially Enrolled</t>
        </is>
      </c>
      <c r="F1" s="1" t="inlineStr">
        <is>
          <t>Currently Enrolled</t>
        </is>
      </c>
      <c r="G1" s="1" t="inlineStr">
        <is>
          <t>Refund Requested</t>
        </is>
      </c>
      <c r="H1" s="1" t="inlineStr">
        <is>
          <t>Course Cancellation</t>
        </is>
      </c>
      <c r="I1" s="1" t="inlineStr">
        <is>
          <t>Deferred</t>
        </is>
      </c>
      <c r="K1" s="2" t="inlineStr">
        <is>
          <t>Source: Metabase (Newton School DB). GEM/Non-GEM split from technologies_label ids 728/729. Refreshed: 2026-09-24.</t>
        </is>
      </c>
    </row>
    <row r="2">
      <c r="A2" s="3" t="inlineStr">
        <is>
          <t>Professional Certificate Course In Data Science - April 2023</t>
        </is>
      </c>
      <c r="B2" s="3" t="inlineStr">
        <is>
          <t>Professional Certificate Course In Data Science - April 2023</t>
        </is>
      </c>
      <c r="C2" s="3" t="inlineStr"/>
      <c r="D2" s="4" t="n">
        <v>45025.83333333334</v>
      </c>
      <c r="E2" s="3" t="n">
        <v>72</v>
      </c>
      <c r="F2" s="3" t="n">
        <v>30</v>
      </c>
      <c r="G2" s="3" t="n">
        <v>5</v>
      </c>
      <c r="H2" s="3" t="n">
        <v>25</v>
      </c>
      <c r="I2" s="3" t="n">
        <v>12</v>
      </c>
    </row>
    <row r="3">
      <c r="A3" s="3" t="inlineStr">
        <is>
          <t>Professional Certificate Course In Data Science - May 2023</t>
        </is>
      </c>
      <c r="B3" s="3" t="inlineStr">
        <is>
          <t>Professional Certificate Course In Data Science - May 2023</t>
        </is>
      </c>
      <c r="C3" s="3" t="inlineStr"/>
      <c r="D3" s="4" t="n">
        <v>45056.83333333334</v>
      </c>
      <c r="E3" s="3" t="n">
        <v>113</v>
      </c>
      <c r="F3" s="3" t="n">
        <v>51</v>
      </c>
      <c r="G3" s="3" t="n">
        <v>7</v>
      </c>
      <c r="H3" s="3" t="n">
        <v>37</v>
      </c>
      <c r="I3" s="3" t="n">
        <v>18</v>
      </c>
    </row>
    <row r="4">
      <c r="A4" s="3" t="inlineStr">
        <is>
          <t>Professional Certificate Course In Data Science - June 2023</t>
        </is>
      </c>
      <c r="B4" s="3" t="inlineStr">
        <is>
          <t>Professional Certificate Course In Data Science - June 2023</t>
        </is>
      </c>
      <c r="C4" s="3" t="inlineStr"/>
      <c r="D4" s="4" t="n">
        <v>45087.83333333334</v>
      </c>
      <c r="E4" s="3" t="n">
        <v>120</v>
      </c>
      <c r="F4" s="3" t="n">
        <v>57</v>
      </c>
      <c r="G4" s="3" t="n">
        <v>5</v>
      </c>
      <c r="H4" s="3" t="n">
        <v>40</v>
      </c>
      <c r="I4" s="3" t="n">
        <v>18</v>
      </c>
    </row>
    <row r="5">
      <c r="A5" s="3" t="inlineStr">
        <is>
          <t>Professional Certificate Course In Data Science - July 2023</t>
        </is>
      </c>
      <c r="B5" s="3" t="inlineStr">
        <is>
          <t>Professional Certificate Course In Data Science - July 2023</t>
        </is>
      </c>
      <c r="C5" s="3" t="inlineStr"/>
      <c r="D5" s="4" t="n">
        <v>45119.83333333334</v>
      </c>
      <c r="E5" s="3" t="n">
        <v>119</v>
      </c>
      <c r="F5" s="3" t="n">
        <v>60</v>
      </c>
      <c r="G5" s="3" t="n">
        <v>6</v>
      </c>
      <c r="H5" s="3" t="n">
        <v>38</v>
      </c>
      <c r="I5" s="3" t="n">
        <v>15</v>
      </c>
    </row>
    <row r="6">
      <c r="A6" s="3" t="inlineStr">
        <is>
          <t>Professional Certificate Course In Data Science - July 2023 - August 2023</t>
        </is>
      </c>
      <c r="B6" s="3" t="inlineStr">
        <is>
          <t>Professional Certificate Course In Data Science - July 2023 - August 2023</t>
        </is>
      </c>
      <c r="C6" s="3" t="inlineStr"/>
      <c r="D6" s="4" t="n">
        <v>45119.83333333334</v>
      </c>
      <c r="E6" s="3" t="n">
        <v>2</v>
      </c>
      <c r="F6" s="3" t="n">
        <v>0</v>
      </c>
      <c r="G6" s="3" t="n">
        <v>0</v>
      </c>
      <c r="H6" s="3" t="n">
        <v>1</v>
      </c>
      <c r="I6" s="3" t="n">
        <v>1</v>
      </c>
    </row>
    <row r="7">
      <c r="A7" s="3" t="inlineStr">
        <is>
          <t>Professional Certificate Course In Data Science - August 2023</t>
        </is>
      </c>
      <c r="B7" s="3" t="inlineStr">
        <is>
          <t>Professional Certificate Course In Data Science - August 2023</t>
        </is>
      </c>
      <c r="C7" s="3" t="inlineStr"/>
      <c r="D7" s="4" t="n">
        <v>45150.83333333334</v>
      </c>
      <c r="E7" s="3" t="n">
        <v>124</v>
      </c>
      <c r="F7" s="3" t="n">
        <v>54</v>
      </c>
      <c r="G7" s="3" t="n">
        <v>13</v>
      </c>
      <c r="H7" s="3" t="n">
        <v>45</v>
      </c>
      <c r="I7" s="3" t="n">
        <v>12</v>
      </c>
    </row>
    <row r="8">
      <c r="A8" s="3" t="inlineStr">
        <is>
          <t>Professional Certificate Course In Data Science - September 2023</t>
        </is>
      </c>
      <c r="B8" s="3" t="inlineStr">
        <is>
          <t>Professional Certificate Course In Data Science - September 2023</t>
        </is>
      </c>
      <c r="C8" s="3" t="inlineStr"/>
      <c r="D8" s="4" t="n">
        <v>45176.83333333334</v>
      </c>
      <c r="E8" s="3" t="n">
        <v>113</v>
      </c>
      <c r="F8" s="3" t="n">
        <v>72</v>
      </c>
      <c r="G8" s="3" t="n">
        <v>10</v>
      </c>
      <c r="H8" s="3" t="n">
        <v>27</v>
      </c>
      <c r="I8" s="3" t="n">
        <v>4</v>
      </c>
    </row>
    <row r="9">
      <c r="A9" s="3" t="inlineStr">
        <is>
          <t>Professional Certificate Course In Data Science - October 2023</t>
        </is>
      </c>
      <c r="B9" s="3" t="inlineStr">
        <is>
          <t>Professional Certificate Course In Data Science - October 2023</t>
        </is>
      </c>
      <c r="C9" s="3" t="inlineStr"/>
      <c r="D9" s="4" t="n">
        <v>45206.83333333334</v>
      </c>
      <c r="E9" s="3" t="n">
        <v>70</v>
      </c>
      <c r="F9" s="3" t="n">
        <v>43</v>
      </c>
      <c r="G9" s="3" t="n">
        <v>7</v>
      </c>
      <c r="H9" s="3" t="n">
        <v>19</v>
      </c>
      <c r="I9" s="3" t="n">
        <v>1</v>
      </c>
    </row>
    <row r="10">
      <c r="A10" s="3" t="inlineStr">
        <is>
          <t>Professional Certificate Course In Data Science - November 2023</t>
        </is>
      </c>
      <c r="B10" s="3" t="inlineStr">
        <is>
          <t>Professional Certificate Course In Data Science - November 2023</t>
        </is>
      </c>
      <c r="C10" s="3" t="inlineStr"/>
      <c r="D10" s="4" t="n">
        <v>45237.83333333334</v>
      </c>
      <c r="E10" s="3" t="n">
        <v>62</v>
      </c>
      <c r="F10" s="3" t="n">
        <v>42</v>
      </c>
      <c r="G10" s="3" t="n">
        <v>5</v>
      </c>
      <c r="H10" s="3" t="n">
        <v>9</v>
      </c>
      <c r="I10" s="3" t="n">
        <v>6</v>
      </c>
    </row>
    <row r="11">
      <c r="A11" s="3" t="inlineStr">
        <is>
          <t>Professional Certificate Course In Data Science - May 2023 - LU</t>
        </is>
      </c>
      <c r="B11" s="3" t="inlineStr">
        <is>
          <t>Professional Certificate Course In Data Science - May 2023 - LU</t>
        </is>
      </c>
      <c r="C11" s="3" t="inlineStr"/>
      <c r="D11" s="4" t="n">
        <v>45261.79166666666</v>
      </c>
      <c r="E11" s="3" t="n">
        <v>65</v>
      </c>
      <c r="F11" s="3" t="n">
        <v>57</v>
      </c>
      <c r="G11" s="3" t="n">
        <v>0</v>
      </c>
      <c r="H11" s="3" t="n">
        <v>8</v>
      </c>
      <c r="I11" s="3" t="n">
        <v>0</v>
      </c>
    </row>
    <row r="12">
      <c r="A12" s="3" t="inlineStr">
        <is>
          <t>Professional Certificate Course In Data Science - December 2023</t>
        </is>
      </c>
      <c r="B12" s="3" t="inlineStr">
        <is>
          <t>Professional Certificate Course In Data Science - December 2023</t>
        </is>
      </c>
      <c r="C12" s="3" t="inlineStr"/>
      <c r="D12" s="4" t="n">
        <v>45264</v>
      </c>
      <c r="E12" s="3" t="n">
        <v>69</v>
      </c>
      <c r="F12" s="3" t="n">
        <v>41</v>
      </c>
      <c r="G12" s="3" t="n">
        <v>6</v>
      </c>
      <c r="H12" s="3" t="n">
        <v>13</v>
      </c>
      <c r="I12" s="3" t="n">
        <v>9</v>
      </c>
    </row>
    <row r="13">
      <c r="A13" s="3" t="inlineStr">
        <is>
          <t>Professional Certificate Course In Data Science - January 2024</t>
        </is>
      </c>
      <c r="B13" s="3" t="inlineStr">
        <is>
          <t>Professional Certificate Course In Data Science - January 2024</t>
        </is>
      </c>
      <c r="C13" s="3" t="inlineStr"/>
      <c r="D13" s="4" t="n">
        <v>45292</v>
      </c>
      <c r="E13" s="3" t="n">
        <v>84</v>
      </c>
      <c r="F13" s="3" t="n">
        <v>43</v>
      </c>
      <c r="G13" s="3" t="n">
        <v>9</v>
      </c>
      <c r="H13" s="3" t="n">
        <v>28</v>
      </c>
      <c r="I13" s="3" t="n">
        <v>4</v>
      </c>
    </row>
    <row r="14">
      <c r="A14" s="3" t="inlineStr">
        <is>
          <t>Professional Certificate Course In Data Science - February 2024</t>
        </is>
      </c>
      <c r="B14" s="3" t="inlineStr">
        <is>
          <t>Professional Certificate Course In Data Science - February 2024</t>
        </is>
      </c>
      <c r="C14" s="3" t="inlineStr"/>
      <c r="D14" s="4" t="n">
        <v>45327</v>
      </c>
      <c r="E14" s="3" t="n">
        <v>75</v>
      </c>
      <c r="F14" s="3" t="n">
        <v>34</v>
      </c>
      <c r="G14" s="3" t="n">
        <v>6</v>
      </c>
      <c r="H14" s="3" t="n">
        <v>27</v>
      </c>
      <c r="I14" s="3" t="n">
        <v>8</v>
      </c>
    </row>
    <row r="15">
      <c r="A15" s="3" t="inlineStr">
        <is>
          <t>Professional Certificate Course In Data Science - March 2024</t>
        </is>
      </c>
      <c r="B15" s="3" t="inlineStr">
        <is>
          <t>Professional Certificate Course In Data Science - March 2024</t>
        </is>
      </c>
      <c r="C15" s="3" t="inlineStr"/>
      <c r="D15" s="4" t="n">
        <v>45355</v>
      </c>
      <c r="E15" s="3" t="n">
        <v>50</v>
      </c>
      <c r="F15" s="3" t="n">
        <v>29</v>
      </c>
      <c r="G15" s="3" t="n">
        <v>2</v>
      </c>
      <c r="H15" s="3" t="n">
        <v>16</v>
      </c>
      <c r="I15" s="3" t="n">
        <v>3</v>
      </c>
    </row>
    <row r="16">
      <c r="A16" s="3" t="inlineStr">
        <is>
          <t>Professional Certificate Course In Data Science - April 2024</t>
        </is>
      </c>
      <c r="B16" s="3" t="inlineStr">
        <is>
          <t>Professional Certificate Course In Data Science - April 2024</t>
        </is>
      </c>
      <c r="C16" s="3" t="inlineStr"/>
      <c r="D16" s="4" t="n">
        <v>45385</v>
      </c>
      <c r="E16" s="3" t="n">
        <v>49</v>
      </c>
      <c r="F16" s="3" t="n">
        <v>35</v>
      </c>
      <c r="G16" s="3" t="n">
        <v>1</v>
      </c>
      <c r="H16" s="3" t="n">
        <v>5</v>
      </c>
      <c r="I16" s="3" t="n">
        <v>8</v>
      </c>
    </row>
    <row r="17">
      <c r="A17" s="3" t="inlineStr">
        <is>
          <t>Professional Certificate Course In Data Science - May 2024</t>
        </is>
      </c>
      <c r="B17" s="3" t="inlineStr">
        <is>
          <t>Professional Certificate Course In Data Science - May 2024</t>
        </is>
      </c>
      <c r="C17" s="3" t="inlineStr"/>
      <c r="D17" s="4" t="n">
        <v>45418</v>
      </c>
      <c r="E17" s="3" t="n">
        <v>51</v>
      </c>
      <c r="F17" s="3" t="n">
        <v>29</v>
      </c>
      <c r="G17" s="3" t="n">
        <v>6</v>
      </c>
      <c r="H17" s="3" t="n">
        <v>15</v>
      </c>
      <c r="I17" s="3" t="n">
        <v>1</v>
      </c>
    </row>
    <row r="18">
      <c r="A18" s="3" t="inlineStr">
        <is>
          <t>Professional Certificate Course In Data Science - June 2024</t>
        </is>
      </c>
      <c r="B18" s="3" t="inlineStr">
        <is>
          <t>Professional Certificate Course In Data Science - June 2024</t>
        </is>
      </c>
      <c r="C18" s="3" t="inlineStr"/>
      <c r="D18" s="4" t="n">
        <v>45446</v>
      </c>
      <c r="E18" s="3" t="n">
        <v>50</v>
      </c>
      <c r="F18" s="3" t="n">
        <v>39</v>
      </c>
      <c r="G18" s="3" t="n">
        <v>2</v>
      </c>
      <c r="H18" s="3" t="n">
        <v>7</v>
      </c>
      <c r="I18" s="3" t="n">
        <v>2</v>
      </c>
    </row>
    <row r="19">
      <c r="A19" s="3" t="inlineStr">
        <is>
          <t>Professional Certificate Course In Data Science - July 2024</t>
        </is>
      </c>
      <c r="B19" s="3" t="inlineStr">
        <is>
          <t>Professional Certificate Course In Data Science - July 2024</t>
        </is>
      </c>
      <c r="C19" s="3" t="inlineStr"/>
      <c r="D19" s="4" t="n">
        <v>45483</v>
      </c>
      <c r="E19" s="3" t="n">
        <v>59</v>
      </c>
      <c r="F19" s="3" t="n">
        <v>48</v>
      </c>
      <c r="G19" s="3" t="n">
        <v>2</v>
      </c>
      <c r="H19" s="3" t="n">
        <v>8</v>
      </c>
      <c r="I19" s="3" t="n">
        <v>1</v>
      </c>
    </row>
    <row r="20">
      <c r="A20" s="3" t="inlineStr">
        <is>
          <t>Professional Certificate Course In Data Science August 2024 - MC Test</t>
        </is>
      </c>
      <c r="B20" s="3" t="inlineStr">
        <is>
          <t>Professional Certificate Course In Data Science August 2024 - MC Test</t>
        </is>
      </c>
      <c r="C20" s="3" t="inlineStr"/>
      <c r="D20" s="4" t="n">
        <v>45512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3" t="inlineStr">
        <is>
          <t>Professional Certificate Course In Data Science - August 2024</t>
        </is>
      </c>
      <c r="B21" s="3" t="inlineStr">
        <is>
          <t>Professional Certificate Course In Data Science - August 2024</t>
        </is>
      </c>
      <c r="C21" s="3" t="inlineStr"/>
      <c r="D21" s="4" t="n">
        <v>45512</v>
      </c>
      <c r="E21" s="3" t="n">
        <v>55</v>
      </c>
      <c r="F21" s="3" t="n">
        <v>41</v>
      </c>
      <c r="G21" s="3" t="n">
        <v>1</v>
      </c>
      <c r="H21" s="3" t="n">
        <v>12</v>
      </c>
      <c r="I21" s="3" t="n">
        <v>1</v>
      </c>
    </row>
    <row r="22">
      <c r="A22" s="3" t="inlineStr">
        <is>
          <t>Professional Certificate Course In Data Science - September 2024</t>
        </is>
      </c>
      <c r="B22" s="3" t="inlineStr">
        <is>
          <t>Professional Certificate Course In Data Science - September 2024</t>
        </is>
      </c>
      <c r="C22" s="3" t="inlineStr"/>
      <c r="D22" s="4" t="n">
        <v>45543</v>
      </c>
      <c r="E22" s="3" t="n">
        <v>57</v>
      </c>
      <c r="F22" s="3" t="n">
        <v>42</v>
      </c>
      <c r="G22" s="3" t="n">
        <v>2</v>
      </c>
      <c r="H22" s="3" t="n">
        <v>7</v>
      </c>
      <c r="I22" s="3" t="n">
        <v>6</v>
      </c>
    </row>
    <row r="23">
      <c r="A23" s="3" t="inlineStr">
        <is>
          <t>Professional Certificate Course In Data Science - October 2024</t>
        </is>
      </c>
      <c r="B23" s="3" t="inlineStr">
        <is>
          <t>Professional Certificate Course In Data Science - October 2024</t>
        </is>
      </c>
      <c r="C23" s="3" t="inlineStr"/>
      <c r="D23" s="4" t="n">
        <v>45573</v>
      </c>
      <c r="E23" s="3" t="n">
        <v>47</v>
      </c>
      <c r="F23" s="3" t="n">
        <v>37</v>
      </c>
      <c r="G23" s="3" t="n">
        <v>1</v>
      </c>
      <c r="H23" s="3" t="n">
        <v>4</v>
      </c>
      <c r="I23" s="3" t="n">
        <v>5</v>
      </c>
    </row>
    <row r="24">
      <c r="A24" s="3" t="inlineStr">
        <is>
          <t>Professional Certificate Course In Data Science - November 2024</t>
        </is>
      </c>
      <c r="B24" s="3" t="inlineStr">
        <is>
          <t>Professional Certificate Course In Data Science - November 2024</t>
        </is>
      </c>
      <c r="C24" s="3" t="inlineStr"/>
      <c r="D24" s="4" t="n">
        <v>45604</v>
      </c>
      <c r="E24" s="3" t="n">
        <v>41</v>
      </c>
      <c r="F24" s="3" t="n">
        <v>30</v>
      </c>
      <c r="G24" s="3" t="n">
        <v>4</v>
      </c>
      <c r="H24" s="3" t="n">
        <v>4</v>
      </c>
      <c r="I24" s="3" t="n">
        <v>3</v>
      </c>
    </row>
    <row r="25">
      <c r="A25" s="3" t="inlineStr">
        <is>
          <t>Professional Certificate Course In Data Science - December 2024</t>
        </is>
      </c>
      <c r="B25" s="3" t="inlineStr">
        <is>
          <t>Professional Certificate Course In Data Science - December 2024</t>
        </is>
      </c>
      <c r="C25" s="3" t="inlineStr"/>
      <c r="D25" s="4" t="n">
        <v>45634</v>
      </c>
      <c r="E25" s="3" t="n">
        <v>67</v>
      </c>
      <c r="F25" s="3" t="n">
        <v>54</v>
      </c>
      <c r="G25" s="3" t="n">
        <v>2</v>
      </c>
      <c r="H25" s="3" t="n">
        <v>6</v>
      </c>
      <c r="I25" s="3" t="n">
        <v>5</v>
      </c>
    </row>
    <row r="26">
      <c r="A26" s="3" t="inlineStr">
        <is>
          <t>Professional Certificate Course In Data Science - January 2025</t>
        </is>
      </c>
      <c r="B26" s="3" t="inlineStr">
        <is>
          <t>Professional Certificate Course In Data Science - January 2025</t>
        </is>
      </c>
      <c r="C26" s="3" t="inlineStr"/>
      <c r="D26" s="4" t="n">
        <v>45665</v>
      </c>
      <c r="E26" s="3" t="n">
        <v>55</v>
      </c>
      <c r="F26" s="3" t="n">
        <v>45</v>
      </c>
      <c r="G26" s="3" t="n">
        <v>2</v>
      </c>
      <c r="H26" s="3" t="n">
        <v>5</v>
      </c>
      <c r="I26" s="3" t="n">
        <v>3</v>
      </c>
    </row>
    <row r="27">
      <c r="A27" s="3" t="inlineStr">
        <is>
          <t>Professional Certificate Course In Data Science - February 2025</t>
        </is>
      </c>
      <c r="B27" s="3" t="inlineStr">
        <is>
          <t>Professional Certificate Course In Data Science - February 2025</t>
        </is>
      </c>
      <c r="C27" s="3" t="inlineStr"/>
      <c r="D27" s="4" t="n">
        <v>45696</v>
      </c>
      <c r="E27" s="3" t="n">
        <v>68</v>
      </c>
      <c r="F27" s="3" t="n">
        <v>48</v>
      </c>
      <c r="G27" s="3" t="n">
        <v>1</v>
      </c>
      <c r="H27" s="3" t="n">
        <v>14</v>
      </c>
      <c r="I27" s="3" t="n">
        <v>5</v>
      </c>
    </row>
    <row r="28">
      <c r="A28" s="3" t="inlineStr">
        <is>
          <t>Professional Certificate Course In Data Science - March 2025</t>
        </is>
      </c>
      <c r="B28" s="3" t="inlineStr">
        <is>
          <t>Professional Certificate Course In Data Science - March 2025</t>
        </is>
      </c>
      <c r="C28" s="3" t="inlineStr"/>
      <c r="D28" s="4" t="n">
        <v>45724</v>
      </c>
      <c r="E28" s="3" t="n">
        <v>65</v>
      </c>
      <c r="F28" s="3" t="n">
        <v>49</v>
      </c>
      <c r="G28" s="3" t="n">
        <v>1</v>
      </c>
      <c r="H28" s="3" t="n">
        <v>11</v>
      </c>
      <c r="I28" s="3" t="n">
        <v>4</v>
      </c>
    </row>
    <row r="29">
      <c r="A29" s="3" t="inlineStr">
        <is>
          <t>Professional Certificate Course In Data Science - April 2025</t>
        </is>
      </c>
      <c r="B29" s="3" t="inlineStr">
        <is>
          <t>Professional Certificate Course In Data Science - April 2025</t>
        </is>
      </c>
      <c r="C29" s="3" t="inlineStr"/>
      <c r="D29" s="4" t="n">
        <v>45755</v>
      </c>
      <c r="E29" s="3" t="n">
        <v>74</v>
      </c>
      <c r="F29" s="3" t="n">
        <v>58</v>
      </c>
      <c r="G29" s="3" t="n">
        <v>5</v>
      </c>
      <c r="H29" s="3" t="n">
        <v>1</v>
      </c>
      <c r="I29" s="3" t="n">
        <v>10</v>
      </c>
    </row>
    <row r="30">
      <c r="A30" s="3" t="inlineStr">
        <is>
          <t>Professional Certificate Course In Data Science - May 2025</t>
        </is>
      </c>
      <c r="B30" s="3" t="inlineStr">
        <is>
          <t>Professional Certificate Course In Data Science - May 2025</t>
        </is>
      </c>
      <c r="C30" s="3" t="inlineStr"/>
      <c r="D30" s="4" t="n">
        <v>45785</v>
      </c>
      <c r="E30" s="3" t="n">
        <v>84</v>
      </c>
      <c r="F30" s="3" t="n">
        <v>60</v>
      </c>
      <c r="G30" s="3" t="n">
        <v>10</v>
      </c>
      <c r="H30" s="3" t="n">
        <v>5</v>
      </c>
      <c r="I30" s="3" t="n">
        <v>9</v>
      </c>
    </row>
    <row r="31">
      <c r="A31" s="3" t="inlineStr">
        <is>
          <t>Professional Certificate Course In Data Science &amp; AI - June 2025</t>
        </is>
      </c>
      <c r="B31" s="3" t="inlineStr">
        <is>
          <t>Professional Certificate Course In Data Science &amp; AI - June 2025</t>
        </is>
      </c>
      <c r="C31" s="3" t="inlineStr"/>
      <c r="D31" s="4" t="n">
        <v>45816</v>
      </c>
      <c r="E31" s="3" t="n">
        <v>90</v>
      </c>
      <c r="F31" s="3" t="n">
        <v>74</v>
      </c>
      <c r="G31" s="3" t="n">
        <v>2</v>
      </c>
      <c r="H31" s="3" t="n">
        <v>13</v>
      </c>
      <c r="I31" s="3" t="n">
        <v>1</v>
      </c>
    </row>
    <row r="32">
      <c r="A32" s="3" t="inlineStr">
        <is>
          <t>Professional Certificate Course In Data Science - July 2025</t>
        </is>
      </c>
      <c r="B32" s="3" t="inlineStr">
        <is>
          <t>Professional Certificate Course In Data Science - July 2025</t>
        </is>
      </c>
      <c r="C32" s="3" t="inlineStr"/>
      <c r="D32" s="4" t="n">
        <v>45846</v>
      </c>
      <c r="E32" s="3" t="n">
        <v>106</v>
      </c>
      <c r="F32" s="3" t="n">
        <v>76</v>
      </c>
      <c r="G32" s="3" t="n">
        <v>8</v>
      </c>
      <c r="H32" s="3" t="n">
        <v>10</v>
      </c>
      <c r="I32" s="3" t="n">
        <v>12</v>
      </c>
    </row>
    <row r="33">
      <c r="A33" s="3" t="inlineStr">
        <is>
          <t>Professional Certificate Course In Data Science August 2025</t>
        </is>
      </c>
      <c r="B33" s="3" t="inlineStr">
        <is>
          <t>Professional Certificate Course In Data Science August 2025</t>
        </is>
      </c>
      <c r="C33" s="3" t="inlineStr"/>
      <c r="D33" s="4" t="n">
        <v>45879.5</v>
      </c>
      <c r="E33" s="3" t="n">
        <v>111</v>
      </c>
      <c r="F33" s="3" t="n">
        <v>85</v>
      </c>
      <c r="G33" s="3" t="n">
        <v>13</v>
      </c>
      <c r="H33" s="3" t="n">
        <v>4</v>
      </c>
      <c r="I33" s="3" t="n">
        <v>9</v>
      </c>
    </row>
    <row r="34">
      <c r="A34" s="3" t="inlineStr">
        <is>
          <t>Professional Certificate Course In Data Science September 2025</t>
        </is>
      </c>
      <c r="B34" s="3" t="inlineStr">
        <is>
          <t>Professional Certificate Course In Data Science September 2025</t>
        </is>
      </c>
      <c r="C34" s="3" t="inlineStr"/>
      <c r="D34" s="4" t="n">
        <v>45908</v>
      </c>
      <c r="E34" s="3" t="n">
        <v>88</v>
      </c>
      <c r="F34" s="3" t="n">
        <v>64</v>
      </c>
      <c r="G34" s="3" t="n">
        <v>6</v>
      </c>
      <c r="H34" s="3" t="n">
        <v>8</v>
      </c>
      <c r="I34" s="3" t="n">
        <v>10</v>
      </c>
    </row>
    <row r="35">
      <c r="A35" s="3" t="inlineStr">
        <is>
          <t>Professional Certificate Course In Data Science October 2025</t>
        </is>
      </c>
      <c r="B35" s="3" t="inlineStr">
        <is>
          <t>Professional Certificate Course In Data Science October 2025</t>
        </is>
      </c>
      <c r="C35" s="3" t="inlineStr"/>
      <c r="D35" s="4" t="n">
        <v>45938</v>
      </c>
      <c r="E35" s="3" t="n">
        <v>89</v>
      </c>
      <c r="F35" s="3" t="n">
        <v>65</v>
      </c>
      <c r="G35" s="3" t="n">
        <v>4</v>
      </c>
      <c r="H35" s="3" t="n">
        <v>6</v>
      </c>
      <c r="I35" s="3" t="n">
        <v>14</v>
      </c>
    </row>
    <row r="36">
      <c r="A36" s="3" t="inlineStr">
        <is>
          <t>Professional Certificate Course In Data Science November 2025</t>
        </is>
      </c>
      <c r="B36" s="3" t="inlineStr">
        <is>
          <t>Professional Certificate Course In Data Science November 2025</t>
        </is>
      </c>
      <c r="C36" s="3" t="inlineStr"/>
      <c r="D36" s="4" t="n">
        <v>45969</v>
      </c>
      <c r="E36" s="3" t="n">
        <v>98</v>
      </c>
      <c r="F36" s="3" t="n">
        <v>61</v>
      </c>
      <c r="G36" s="3" t="n">
        <v>10</v>
      </c>
      <c r="H36" s="3" t="n">
        <v>21</v>
      </c>
      <c r="I36" s="3" t="n">
        <v>6</v>
      </c>
    </row>
    <row r="37">
      <c r="A37" s="3" t="inlineStr">
        <is>
          <t>Professional Certificate Course In Data Science December 2025</t>
        </is>
      </c>
      <c r="B37" s="3" t="inlineStr">
        <is>
          <t>Professional Certificate Course In Data Science December 2025</t>
        </is>
      </c>
      <c r="C37" s="3" t="inlineStr"/>
      <c r="D37" s="4" t="n">
        <v>45999</v>
      </c>
      <c r="E37" s="3" t="n">
        <v>91</v>
      </c>
      <c r="F37" s="3" t="n">
        <v>64</v>
      </c>
      <c r="G37" s="3" t="n">
        <v>10</v>
      </c>
      <c r="H37" s="3" t="n">
        <v>10</v>
      </c>
      <c r="I37" s="3" t="n">
        <v>7</v>
      </c>
    </row>
    <row r="38">
      <c r="A38" s="3" t="inlineStr">
        <is>
          <t>Professional Certificate Course In Data Science January 2026</t>
        </is>
      </c>
      <c r="B38" s="3" t="inlineStr">
        <is>
          <t>Professional Certificate Course In Data Science January 2026</t>
        </is>
      </c>
      <c r="C38" s="3" t="inlineStr"/>
      <c r="D38" s="4" t="n">
        <v>46030</v>
      </c>
      <c r="E38" s="3" t="n">
        <v>99</v>
      </c>
      <c r="F38" s="3" t="n">
        <v>73</v>
      </c>
      <c r="G38" s="3" t="n">
        <v>8</v>
      </c>
      <c r="H38" s="3" t="n">
        <v>10</v>
      </c>
      <c r="I38" s="3" t="n">
        <v>8</v>
      </c>
    </row>
    <row r="39">
      <c r="A39" s="3" t="inlineStr">
        <is>
          <t>Professional Certificate Course In Data Science February 2026</t>
        </is>
      </c>
      <c r="B39" s="3" t="inlineStr">
        <is>
          <t>Professional Certificate Course In Data Science February 2026</t>
        </is>
      </c>
      <c r="C39" s="3" t="inlineStr"/>
      <c r="D39" s="4" t="n">
        <v>46061</v>
      </c>
      <c r="E39" s="3" t="n">
        <v>106</v>
      </c>
      <c r="F39" s="3" t="n">
        <v>81</v>
      </c>
      <c r="G39" s="3" t="n">
        <v>6</v>
      </c>
      <c r="H39" s="3" t="n">
        <v>7</v>
      </c>
      <c r="I39" s="3" t="n">
        <v>12</v>
      </c>
    </row>
    <row r="40">
      <c r="A40" s="3" t="inlineStr">
        <is>
          <t>Professional Certificate Course In Data Science March 2026</t>
        </is>
      </c>
      <c r="B40" s="3" t="inlineStr">
        <is>
          <t>Professional Certificate Course In Data Science March 2026</t>
        </is>
      </c>
      <c r="C40" s="3" t="inlineStr"/>
      <c r="D40" s="4" t="n">
        <v>46089</v>
      </c>
      <c r="E40" s="3" t="n">
        <v>113</v>
      </c>
      <c r="F40" s="3" t="n">
        <v>80</v>
      </c>
      <c r="G40" s="3" t="n">
        <v>10</v>
      </c>
      <c r="H40" s="3" t="n">
        <v>11</v>
      </c>
      <c r="I40" s="3" t="n">
        <v>12</v>
      </c>
    </row>
    <row r="41">
      <c r="A41" s="3" t="inlineStr">
        <is>
          <t>Professional Certificate Course In Data Science April 2026</t>
        </is>
      </c>
      <c r="B41" s="3" t="inlineStr">
        <is>
          <t>Professional Certificate Course In Data Science April 2026</t>
        </is>
      </c>
      <c r="C41" s="3" t="inlineStr"/>
      <c r="D41" s="4" t="n">
        <v>46120</v>
      </c>
      <c r="E41" s="3" t="n">
        <v>105</v>
      </c>
      <c r="F41" s="3" t="n">
        <v>74</v>
      </c>
      <c r="G41" s="3" t="n">
        <v>16</v>
      </c>
      <c r="H41" s="3" t="n">
        <v>4</v>
      </c>
      <c r="I41" s="3" t="n">
        <v>11</v>
      </c>
    </row>
    <row r="42">
      <c r="A42" s="3" t="inlineStr">
        <is>
          <t>Professional Certificate Course In Data Science May 2026</t>
        </is>
      </c>
      <c r="B42" s="3" t="inlineStr">
        <is>
          <t>Professional Certificate Course In Data Science May 2026</t>
        </is>
      </c>
      <c r="C42" s="3" t="inlineStr"/>
      <c r="D42" s="4" t="n">
        <v>46150</v>
      </c>
      <c r="E42" s="3" t="n">
        <v>113</v>
      </c>
      <c r="F42" s="3" t="n">
        <v>88</v>
      </c>
      <c r="G42" s="3" t="n">
        <v>7</v>
      </c>
      <c r="H42" s="3" t="n">
        <v>4</v>
      </c>
      <c r="I42" s="3" t="n">
        <v>14</v>
      </c>
    </row>
    <row r="43">
      <c r="A43" s="3" t="inlineStr">
        <is>
          <t>Professional Certificate Course In Data Science June 2026</t>
        </is>
      </c>
      <c r="B43" s="3" t="inlineStr">
        <is>
          <t>Professional Certificate Course In Data Science June 2026</t>
        </is>
      </c>
      <c r="C43" s="3" t="inlineStr"/>
      <c r="D43" s="4" t="n">
        <v>46181</v>
      </c>
      <c r="E43" s="3" t="n">
        <v>140</v>
      </c>
      <c r="F43" s="3" t="n">
        <v>119</v>
      </c>
      <c r="G43" s="3" t="n">
        <v>3</v>
      </c>
      <c r="H43" s="3" t="n">
        <v>13</v>
      </c>
      <c r="I43" s="3" t="n">
        <v>5</v>
      </c>
    </row>
    <row r="44">
      <c r="A44" s="3" t="inlineStr">
        <is>
          <t>Professional Certificate Course In Data Science July 2026</t>
        </is>
      </c>
      <c r="B44" s="3" t="inlineStr">
        <is>
          <t>Professional Certificate Course In Data Science July 2026</t>
        </is>
      </c>
      <c r="C44" s="3" t="inlineStr"/>
      <c r="D44" s="4" t="n">
        <v>46211</v>
      </c>
      <c r="E44" s="3" t="n">
        <v>141</v>
      </c>
      <c r="F44" s="3" t="n">
        <v>125</v>
      </c>
      <c r="G44" s="3" t="n">
        <v>7</v>
      </c>
      <c r="H44" s="3" t="n">
        <v>6</v>
      </c>
      <c r="I44" s="3" t="n">
        <v>3</v>
      </c>
    </row>
    <row r="45">
      <c r="A45" s="3" t="inlineStr">
        <is>
          <t>Professional Certificate Course In Data Science August 2026</t>
        </is>
      </c>
      <c r="B45" s="3" t="inlineStr">
        <is>
          <t>Professional Certificate Course In Data Science August 2026</t>
        </is>
      </c>
      <c r="C45" s="3" t="inlineStr"/>
      <c r="D45" s="4" t="n">
        <v>46242</v>
      </c>
      <c r="E45" s="3" t="n">
        <v>143</v>
      </c>
      <c r="F45" s="3" t="n">
        <v>120</v>
      </c>
      <c r="G45" s="3" t="n">
        <v>13</v>
      </c>
      <c r="H45" s="3" t="n">
        <v>6</v>
      </c>
      <c r="I45" s="3" t="n">
        <v>4</v>
      </c>
    </row>
    <row r="46">
      <c r="A46" s="3" t="inlineStr">
        <is>
          <t>Professional Certificate Course In Data Science September 2026</t>
        </is>
      </c>
      <c r="B46" s="3" t="inlineStr">
        <is>
          <t>Professional Certificate Course In Data Science September 2026</t>
        </is>
      </c>
      <c r="C46" s="3" t="inlineStr"/>
      <c r="D46" s="4" t="n">
        <v>46273</v>
      </c>
      <c r="E46" s="3" t="n">
        <v>155</v>
      </c>
      <c r="F46" s="3" t="n">
        <v>144</v>
      </c>
      <c r="G46" s="3" t="n">
        <v>8</v>
      </c>
      <c r="H46" s="3" t="n">
        <v>3</v>
      </c>
      <c r="I46" s="3" t="n">
        <v>0</v>
      </c>
    </row>
    <row r="47">
      <c r="A47" s="3" t="inlineStr">
        <is>
          <t>Professional Certificate Course In Data Science October 2026</t>
        </is>
      </c>
      <c r="B47" s="3" t="inlineStr">
        <is>
          <t>Professional Certificate Course In Data Science October 2026</t>
        </is>
      </c>
      <c r="C47" s="3" t="inlineStr"/>
      <c r="D47" s="4" t="n">
        <v>46303</v>
      </c>
      <c r="E47" s="3" t="n">
        <v>72</v>
      </c>
      <c r="F47" s="3" t="n">
        <v>72</v>
      </c>
      <c r="G47" s="3" t="n">
        <v>0</v>
      </c>
      <c r="H47" s="3" t="n">
        <v>0</v>
      </c>
      <c r="I4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2" customWidth="1" min="4" max="4"/>
    <col width="26" customWidth="1" min="5" max="5"/>
  </cols>
  <sheetData>
    <row r="1">
      <c r="A1" s="1" t="inlineStr">
        <is>
          <t>UserID</t>
        </is>
      </c>
      <c r="B1" s="1" t="inlineStr">
        <is>
          <t>Batch</t>
        </is>
      </c>
      <c r="C1" s="1" t="inlineStr">
        <is>
          <t>Picked Date</t>
        </is>
      </c>
      <c r="D1" s="1" t="inlineStr">
        <is>
          <t>GEM Status</t>
        </is>
      </c>
      <c r="E1" s="1" t="inlineStr">
        <is>
          <t>Type of Experience</t>
        </is>
      </c>
      <c r="G1" s="2" t="inlineStr">
        <is>
          <t>Source: FlyWheel Google Sheet via Sheets API. GEM Status via Metabase label mapping, Type of Experience via col I of 'Prog&lt;&gt;Placement'. Refreshed: 2026-09-24.</t>
        </is>
      </c>
    </row>
    <row r="2">
      <c r="A2" s="3" t="n">
        <v>1100600</v>
      </c>
      <c r="B2" s="3" t="inlineStr">
        <is>
          <t>Professional Certificate Course In Data Science - May 2023</t>
        </is>
      </c>
      <c r="C2" s="4" t="n">
        <v>45618</v>
      </c>
      <c r="D2" s="3" t="inlineStr"/>
      <c r="E2" s="3" t="inlineStr"/>
    </row>
    <row r="3">
      <c r="A3" s="3" t="n">
        <v>53455</v>
      </c>
      <c r="B3" s="3" t="inlineStr">
        <is>
          <t>Professional Certificate Course In Data Science - April 2023</t>
        </is>
      </c>
      <c r="C3" s="4" t="n">
        <v>45603</v>
      </c>
      <c r="D3" s="3" t="inlineStr"/>
      <c r="E3" s="3" t="inlineStr"/>
    </row>
    <row r="4">
      <c r="A4" s="3" t="n">
        <v>1095407</v>
      </c>
      <c r="B4" s="3" t="inlineStr">
        <is>
          <t>Professional Certificate Course In Data Science - April 2023</t>
        </is>
      </c>
      <c r="C4" s="3" t="n"/>
      <c r="D4" s="3" t="inlineStr"/>
      <c r="E4" s="3" t="inlineStr"/>
    </row>
    <row r="5">
      <c r="A5" s="3" t="n">
        <v>1119799</v>
      </c>
      <c r="B5" s="3" t="inlineStr">
        <is>
          <t>Professional Certificate Course In Data Science - April 2023</t>
        </is>
      </c>
      <c r="C5" s="3" t="n"/>
      <c r="D5" s="3" t="inlineStr"/>
      <c r="E5" s="3" t="inlineStr"/>
    </row>
    <row r="6">
      <c r="A6" s="3" t="n">
        <v>1129190</v>
      </c>
      <c r="B6" s="3" t="inlineStr">
        <is>
          <t>Professional Certificate Course In Data Science - April 2023</t>
        </is>
      </c>
      <c r="C6" s="4" t="n">
        <v>45618</v>
      </c>
      <c r="D6" s="3" t="inlineStr"/>
      <c r="E6" s="3" t="inlineStr"/>
    </row>
    <row r="7">
      <c r="A7" s="3" t="n">
        <v>1206721</v>
      </c>
      <c r="B7" s="3" t="inlineStr">
        <is>
          <t>Professional Certificate Course In Data Science - April 2023</t>
        </is>
      </c>
      <c r="C7" s="4" t="n">
        <v>45441</v>
      </c>
      <c r="D7" s="3" t="inlineStr"/>
      <c r="E7" s="3" t="inlineStr"/>
    </row>
    <row r="8">
      <c r="A8" s="3" t="n">
        <v>1243687</v>
      </c>
      <c r="B8" s="3" t="inlineStr">
        <is>
          <t>Professional Certificate Course In Data Science - April 2023</t>
        </is>
      </c>
      <c r="C8" s="3" t="n"/>
      <c r="D8" s="3" t="inlineStr"/>
      <c r="E8" s="3" t="inlineStr"/>
    </row>
    <row r="9">
      <c r="A9" s="3" t="n">
        <v>1264264</v>
      </c>
      <c r="B9" s="3" t="inlineStr">
        <is>
          <t>Professional Certificate Course In Data Science - April 2023</t>
        </is>
      </c>
      <c r="C9" s="3" t="n"/>
      <c r="D9" s="3" t="inlineStr"/>
      <c r="E9" s="3" t="inlineStr"/>
    </row>
    <row r="10">
      <c r="A10" s="3" t="n">
        <v>16315</v>
      </c>
      <c r="B10" s="3" t="inlineStr">
        <is>
          <t>Professional Certificate Course In Data Science - April 2024</t>
        </is>
      </c>
      <c r="C10" s="4" t="n">
        <v>45594</v>
      </c>
      <c r="D10" s="3" t="inlineStr"/>
      <c r="E10" s="3" t="inlineStr">
        <is>
          <t>Relevant</t>
        </is>
      </c>
    </row>
    <row r="11">
      <c r="A11" s="3" t="n">
        <v>109531</v>
      </c>
      <c r="B11" s="3" t="inlineStr">
        <is>
          <t>Professional Certificate Course In Data Science - April 2024</t>
        </is>
      </c>
      <c r="C11" s="4" t="n">
        <v>45594</v>
      </c>
      <c r="D11" s="3" t="inlineStr"/>
      <c r="E11" s="3" t="inlineStr">
        <is>
          <t>Irrelevant (Tech/IT)</t>
        </is>
      </c>
    </row>
    <row r="12">
      <c r="A12" s="3" t="n">
        <v>357840</v>
      </c>
      <c r="B12" s="3" t="inlineStr">
        <is>
          <t>Professional Certificate Course In Data Science - April 2024</t>
        </is>
      </c>
      <c r="C12" s="4" t="n">
        <v>45594</v>
      </c>
      <c r="D12" s="3" t="inlineStr"/>
      <c r="E12" s="3" t="inlineStr">
        <is>
          <t>Relevant</t>
        </is>
      </c>
    </row>
    <row r="13">
      <c r="A13" s="3" t="n">
        <v>1615732</v>
      </c>
      <c r="B13" s="3" t="inlineStr">
        <is>
          <t>Professional Certificate Course In Data Science - April 2024</t>
        </is>
      </c>
      <c r="C13" s="4" t="n">
        <v>45567</v>
      </c>
      <c r="D13" s="3" t="inlineStr"/>
      <c r="E13" s="3" t="inlineStr">
        <is>
          <t>Relevant</t>
        </is>
      </c>
    </row>
    <row r="14">
      <c r="A14" s="3" t="n">
        <v>1680761</v>
      </c>
      <c r="B14" s="3" t="inlineStr">
        <is>
          <t>Professional Certificate Course In Data Science - April 2024</t>
        </is>
      </c>
      <c r="C14" s="4" t="n">
        <v>45594</v>
      </c>
      <c r="D14" s="3" t="inlineStr"/>
      <c r="E14" s="3" t="inlineStr">
        <is>
          <t>Career Gap/ Non Working</t>
        </is>
      </c>
    </row>
    <row r="15">
      <c r="A15" s="3" t="n">
        <v>1681619</v>
      </c>
      <c r="B15" s="3" t="inlineStr">
        <is>
          <t>Professional Certificate Course In Data Science - April 2024</t>
        </is>
      </c>
      <c r="C15" s="4" t="n">
        <v>46003</v>
      </c>
      <c r="D15" s="3" t="inlineStr"/>
      <c r="E15" s="3" t="inlineStr">
        <is>
          <t>Relevant</t>
        </is>
      </c>
    </row>
    <row r="16">
      <c r="A16" s="3" t="n">
        <v>1682101</v>
      </c>
      <c r="B16" s="3" t="inlineStr">
        <is>
          <t>Professional Certificate Course In Data Science - April 2024</t>
        </is>
      </c>
      <c r="C16" s="4" t="n">
        <v>46008</v>
      </c>
      <c r="D16" s="3" t="inlineStr"/>
      <c r="E16" s="3" t="inlineStr">
        <is>
          <t>Irrelevant (Non Tech) (Grad&gt;2020)</t>
        </is>
      </c>
    </row>
    <row r="17">
      <c r="A17" s="3" t="n">
        <v>1683041</v>
      </c>
      <c r="B17" s="3" t="inlineStr">
        <is>
          <t>Professional Certificate Course In Data Science - April 2024</t>
        </is>
      </c>
      <c r="C17" s="4" t="n">
        <v>45714</v>
      </c>
      <c r="D17" s="3" t="inlineStr"/>
      <c r="E17" s="3" t="inlineStr">
        <is>
          <t>Irrelevant (Non Tech) (Grad&gt;2020)</t>
        </is>
      </c>
    </row>
    <row r="18">
      <c r="A18" s="3" t="n">
        <v>1684667</v>
      </c>
      <c r="B18" s="3" t="inlineStr">
        <is>
          <t>Professional Certificate Course In Data Science - April 2024</t>
        </is>
      </c>
      <c r="C18" s="4" t="n">
        <v>45603</v>
      </c>
      <c r="D18" s="3" t="inlineStr"/>
      <c r="E18" s="3" t="inlineStr">
        <is>
          <t>Career Gap/ Non Working</t>
        </is>
      </c>
    </row>
    <row r="19">
      <c r="A19" s="3" t="n">
        <v>1688286</v>
      </c>
      <c r="B19" s="3" t="inlineStr">
        <is>
          <t>Professional Certificate Course In Data Science - April 2024</t>
        </is>
      </c>
      <c r="C19" s="4" t="n">
        <v>45632</v>
      </c>
      <c r="D19" s="3" t="inlineStr"/>
      <c r="E19" s="3" t="inlineStr">
        <is>
          <t>Career Gap/ Non Working</t>
        </is>
      </c>
    </row>
    <row r="20">
      <c r="A20" s="3" t="n">
        <v>1689830</v>
      </c>
      <c r="B20" s="3" t="inlineStr">
        <is>
          <t>Professional Certificate Course In Data Science - April 2024</t>
        </is>
      </c>
      <c r="C20" s="4" t="n">
        <v>45601</v>
      </c>
      <c r="D20" s="3" t="inlineStr"/>
      <c r="E20" s="3" t="inlineStr">
        <is>
          <t>Irrelevant (Grad&lt;2020)</t>
        </is>
      </c>
    </row>
    <row r="21">
      <c r="A21" s="3" t="n">
        <v>1135619</v>
      </c>
      <c r="B21" s="3" t="inlineStr">
        <is>
          <t>Professional Certificate Course In Data Science - April 2025</t>
        </is>
      </c>
      <c r="C21" s="4" t="n">
        <v>45911</v>
      </c>
      <c r="D21" s="3" t="inlineStr"/>
      <c r="E21" s="3" t="inlineStr">
        <is>
          <t>Irrelevant (Grad&lt;2020)</t>
        </is>
      </c>
    </row>
    <row r="22">
      <c r="A22" s="3" t="n">
        <v>300624</v>
      </c>
      <c r="B22" s="3" t="inlineStr">
        <is>
          <t>Professional Certificate Course In Data Science - April 2025</t>
        </is>
      </c>
      <c r="C22" s="4" t="n">
        <v>45854</v>
      </c>
      <c r="D22" s="3" t="inlineStr"/>
      <c r="E22" s="3" t="inlineStr">
        <is>
          <t>Fresher</t>
        </is>
      </c>
    </row>
    <row r="23">
      <c r="A23" s="3" t="n">
        <v>334003</v>
      </c>
      <c r="B23" s="3" t="inlineStr">
        <is>
          <t>Professional Certificate Course In Data Science - April 2025</t>
        </is>
      </c>
      <c r="C23" s="4" t="n">
        <v>45869</v>
      </c>
      <c r="D23" s="3" t="inlineStr"/>
      <c r="E23" s="3" t="inlineStr">
        <is>
          <t>Irrelevant (Tech/IT)</t>
        </is>
      </c>
    </row>
    <row r="24">
      <c r="A24" s="3" t="n">
        <v>783409</v>
      </c>
      <c r="B24" s="3" t="inlineStr">
        <is>
          <t>Professional Certificate Course In Data Science - April 2025</t>
        </is>
      </c>
      <c r="C24" s="4" t="n">
        <v>45880</v>
      </c>
      <c r="D24" s="3" t="inlineStr"/>
      <c r="E24" s="3" t="inlineStr">
        <is>
          <t>Career Gap/ Non Working</t>
        </is>
      </c>
    </row>
    <row r="25">
      <c r="A25" s="3" t="n">
        <v>800242</v>
      </c>
      <c r="B25" s="3" t="inlineStr">
        <is>
          <t>Professional Certificate Course In Data Science - April 2025</t>
        </is>
      </c>
      <c r="C25" s="4" t="n">
        <v>46149</v>
      </c>
      <c r="D25" s="3" t="inlineStr"/>
      <c r="E25" s="3" t="inlineStr">
        <is>
          <t>Irrelevant (Non Tech) (Grad&gt;2020)</t>
        </is>
      </c>
    </row>
    <row r="26">
      <c r="A26" s="3" t="n">
        <v>820933</v>
      </c>
      <c r="B26" s="3" t="inlineStr">
        <is>
          <t>Professional Certificate Course In Data Science - April 2025</t>
        </is>
      </c>
      <c r="C26" s="4" t="n">
        <v>45954</v>
      </c>
      <c r="D26" s="3" t="inlineStr"/>
      <c r="E26" s="3" t="inlineStr">
        <is>
          <t>Fresher</t>
        </is>
      </c>
    </row>
    <row r="27">
      <c r="A27" s="3" t="n">
        <v>1130240</v>
      </c>
      <c r="B27" s="3" t="inlineStr">
        <is>
          <t>Professional Certificate Course In Data Science - April 2025</t>
        </is>
      </c>
      <c r="C27" s="4" t="n">
        <v>46253</v>
      </c>
      <c r="D27" s="3" t="inlineStr"/>
      <c r="E27" s="3" t="inlineStr">
        <is>
          <t>Irrelevant (Non Tech) (Grad&gt;2020)</t>
        </is>
      </c>
    </row>
    <row r="28">
      <c r="A28" s="3" t="n">
        <v>1190305</v>
      </c>
      <c r="B28" s="3" t="inlineStr">
        <is>
          <t>Professional Certificate Course In Data Science - April 2025</t>
        </is>
      </c>
      <c r="C28" s="4" t="n">
        <v>45868</v>
      </c>
      <c r="D28" s="3" t="inlineStr"/>
      <c r="E28" s="3" t="inlineStr">
        <is>
          <t>Irrelevant (Tech/IT)</t>
        </is>
      </c>
    </row>
    <row r="29">
      <c r="A29" s="3" t="n">
        <v>1644398</v>
      </c>
      <c r="B29" s="3" t="inlineStr">
        <is>
          <t>Professional Certificate Course In Data Science - April 2025</t>
        </is>
      </c>
      <c r="C29" s="4" t="n">
        <v>45862</v>
      </c>
      <c r="D29" s="3" t="inlineStr"/>
      <c r="E29" s="3" t="inlineStr">
        <is>
          <t>Irrelevant (Tech/IT)</t>
        </is>
      </c>
    </row>
    <row r="30">
      <c r="A30" s="3" t="n">
        <v>2028543</v>
      </c>
      <c r="B30" s="3" t="inlineStr">
        <is>
          <t>Professional Certificate Course In Data Science - April 2025</t>
        </is>
      </c>
      <c r="C30" s="4" t="n">
        <v>46099</v>
      </c>
      <c r="D30" s="3" t="inlineStr"/>
      <c r="E30" s="3" t="inlineStr">
        <is>
          <t>Irrelevant (Tech/IT)</t>
        </is>
      </c>
    </row>
    <row r="31">
      <c r="A31" s="3" t="n">
        <v>2052774</v>
      </c>
      <c r="B31" s="3" t="inlineStr">
        <is>
          <t>Professional Certificate Course In Data Science - April 2025</t>
        </is>
      </c>
      <c r="C31" s="4" t="n">
        <v>45861</v>
      </c>
      <c r="D31" s="3" t="inlineStr"/>
      <c r="E31" s="3" t="inlineStr">
        <is>
          <t>Fresher</t>
        </is>
      </c>
    </row>
    <row r="32">
      <c r="A32" s="3" t="n">
        <v>2063701</v>
      </c>
      <c r="B32" s="3" t="inlineStr">
        <is>
          <t>Professional Certificate Course In Data Science - April 2025</t>
        </is>
      </c>
      <c r="C32" s="4" t="n">
        <v>46126</v>
      </c>
      <c r="D32" s="3" t="inlineStr"/>
      <c r="E32" s="3" t="inlineStr">
        <is>
          <t>Career Gap/ Non Working</t>
        </is>
      </c>
    </row>
    <row r="33">
      <c r="A33" s="3" t="n">
        <v>2070220</v>
      </c>
      <c r="B33" s="3" t="inlineStr">
        <is>
          <t>Professional Certificate Course In Data Science - April 2025</t>
        </is>
      </c>
      <c r="C33" s="4" t="n">
        <v>45830</v>
      </c>
      <c r="D33" s="3" t="inlineStr"/>
      <c r="E33" s="3" t="inlineStr">
        <is>
          <t>Relevant</t>
        </is>
      </c>
    </row>
    <row r="34">
      <c r="A34" s="3" t="n">
        <v>2128530</v>
      </c>
      <c r="B34" s="3" t="inlineStr">
        <is>
          <t>Professional Certificate Course In Data Science - April 2025</t>
        </is>
      </c>
      <c r="C34" s="4" t="n">
        <v>45861</v>
      </c>
      <c r="D34" s="3" t="inlineStr"/>
      <c r="E34" s="3" t="inlineStr">
        <is>
          <t>Fresher</t>
        </is>
      </c>
    </row>
    <row r="35">
      <c r="A35" s="3" t="n">
        <v>2197441</v>
      </c>
      <c r="B35" s="3" t="inlineStr">
        <is>
          <t>Professional Certificate Course In Data Science - April 2025</t>
        </is>
      </c>
      <c r="C35" s="4" t="n">
        <v>45854</v>
      </c>
      <c r="D35" s="3" t="inlineStr"/>
      <c r="E35" s="3" t="inlineStr">
        <is>
          <t>Irrelevant (Tech/IT)</t>
        </is>
      </c>
    </row>
    <row r="36">
      <c r="A36" s="3" t="n">
        <v>2204770</v>
      </c>
      <c r="B36" s="3" t="inlineStr">
        <is>
          <t>Professional Certificate Course In Data Science - April 2025</t>
        </is>
      </c>
      <c r="C36" s="4" t="n">
        <v>45973</v>
      </c>
      <c r="D36" s="3" t="inlineStr"/>
      <c r="E36" s="3" t="inlineStr">
        <is>
          <t>Irrelevant (Non Tech) (Grad&gt;2020)</t>
        </is>
      </c>
    </row>
    <row r="37">
      <c r="A37" s="3" t="n">
        <v>2213736</v>
      </c>
      <c r="B37" s="3" t="inlineStr">
        <is>
          <t>Professional Certificate Course In Data Science - April 2025</t>
        </is>
      </c>
      <c r="C37" s="4" t="n">
        <v>45861</v>
      </c>
      <c r="D37" s="3" t="inlineStr"/>
      <c r="E37" s="3" t="inlineStr">
        <is>
          <t>Relevant</t>
        </is>
      </c>
    </row>
    <row r="38">
      <c r="A38" s="3" t="n">
        <v>2216873</v>
      </c>
      <c r="B38" s="3" t="inlineStr">
        <is>
          <t>Professional Certificate Course In Data Science - April 2025</t>
        </is>
      </c>
      <c r="C38" s="4" t="n">
        <v>45854</v>
      </c>
      <c r="D38" s="3" t="inlineStr"/>
      <c r="E38" s="3" t="inlineStr">
        <is>
          <t>Irrelevant (Tech/IT)</t>
        </is>
      </c>
    </row>
    <row r="39">
      <c r="A39" s="3" t="n">
        <v>2218514</v>
      </c>
      <c r="B39" s="3" t="inlineStr">
        <is>
          <t>Professional Certificate Course In Data Science - April 2025</t>
        </is>
      </c>
      <c r="C39" s="4" t="n">
        <v>45861</v>
      </c>
      <c r="D39" s="3" t="inlineStr"/>
      <c r="E39" s="3" t="inlineStr">
        <is>
          <t>Irrelevant (Tech/IT)</t>
        </is>
      </c>
    </row>
    <row r="40">
      <c r="A40" s="3" t="n">
        <v>2227166</v>
      </c>
      <c r="B40" s="3" t="inlineStr">
        <is>
          <t>Professional Certificate Course In Data Science - April 2025</t>
        </is>
      </c>
      <c r="C40" s="4" t="n">
        <v>45938</v>
      </c>
      <c r="D40" s="3" t="inlineStr"/>
      <c r="E40" s="3" t="inlineStr">
        <is>
          <t>Irrelevant (Non Tech) (Grad&gt;2020)</t>
        </is>
      </c>
    </row>
    <row r="41">
      <c r="A41" s="3" t="n">
        <v>2228448</v>
      </c>
      <c r="B41" s="3" t="inlineStr">
        <is>
          <t>Professional Certificate Course In Data Science - April 2025</t>
        </is>
      </c>
      <c r="C41" s="4" t="n">
        <v>45874</v>
      </c>
      <c r="D41" s="3" t="inlineStr"/>
      <c r="E41" s="3" t="inlineStr">
        <is>
          <t>Relevant</t>
        </is>
      </c>
    </row>
    <row r="42">
      <c r="A42" s="3" t="n">
        <v>2233437</v>
      </c>
      <c r="B42" s="3" t="inlineStr">
        <is>
          <t>Professional Certificate Course In Data Science - April 2025</t>
        </is>
      </c>
      <c r="C42" s="4" t="n">
        <v>45940</v>
      </c>
      <c r="D42" s="3" t="inlineStr"/>
      <c r="E42" s="3" t="inlineStr">
        <is>
          <t>Fresher</t>
        </is>
      </c>
    </row>
    <row r="43">
      <c r="A43" s="3" t="n">
        <v>2234269</v>
      </c>
      <c r="B43" s="3" t="inlineStr">
        <is>
          <t>Professional Certificate Course In Data Science - April 2025</t>
        </is>
      </c>
      <c r="C43" s="4" t="n">
        <v>45960</v>
      </c>
      <c r="D43" s="3" t="inlineStr"/>
      <c r="E43" s="3" t="inlineStr">
        <is>
          <t>Fresher</t>
        </is>
      </c>
    </row>
    <row r="44">
      <c r="A44" s="3" t="n">
        <v>2235833</v>
      </c>
      <c r="B44" s="3" t="inlineStr">
        <is>
          <t>Professional Certificate Course In Data Science - April 2025</t>
        </is>
      </c>
      <c r="C44" s="4" t="n">
        <v>45992</v>
      </c>
      <c r="D44" s="3" t="inlineStr"/>
      <c r="E44" s="3" t="inlineStr">
        <is>
          <t>Relevant</t>
        </is>
      </c>
    </row>
    <row r="45">
      <c r="A45" s="3" t="n">
        <v>2235950</v>
      </c>
      <c r="B45" s="3" t="inlineStr">
        <is>
          <t>Professional Certificate Course In Data Science - April 2025</t>
        </is>
      </c>
      <c r="C45" s="4" t="n">
        <v>45905</v>
      </c>
      <c r="D45" s="3" t="inlineStr"/>
      <c r="E45" s="3" t="inlineStr">
        <is>
          <t>Relevant</t>
        </is>
      </c>
    </row>
    <row r="46">
      <c r="A46" s="3" t="n">
        <v>2237689</v>
      </c>
      <c r="B46" s="3" t="inlineStr">
        <is>
          <t>Professional Certificate Course In Data Science - April 2025</t>
        </is>
      </c>
      <c r="C46" s="4" t="n">
        <v>45911</v>
      </c>
      <c r="D46" s="3" t="inlineStr"/>
      <c r="E46" s="3" t="inlineStr">
        <is>
          <t>Relevant</t>
        </is>
      </c>
    </row>
    <row r="47">
      <c r="A47" s="3" t="n">
        <v>2247857</v>
      </c>
      <c r="B47" s="3" t="inlineStr">
        <is>
          <t>Professional Certificate Course In Data Science - April 2025</t>
        </is>
      </c>
      <c r="C47" s="4" t="n">
        <v>46041</v>
      </c>
      <c r="D47" s="3" t="inlineStr"/>
      <c r="E47" s="3" t="inlineStr">
        <is>
          <t>Irrelevant (Tech/IT)</t>
        </is>
      </c>
    </row>
    <row r="48">
      <c r="A48" s="3" t="n">
        <v>2254821</v>
      </c>
      <c r="B48" s="3" t="inlineStr">
        <is>
          <t>Professional Certificate Course In Data Science - April 2025</t>
        </is>
      </c>
      <c r="C48" s="4" t="n">
        <v>45890</v>
      </c>
      <c r="D48" s="3" t="inlineStr"/>
      <c r="E48" s="3" t="inlineStr">
        <is>
          <t>Fresher</t>
        </is>
      </c>
    </row>
    <row r="49">
      <c r="A49" s="3" t="n">
        <v>2261435</v>
      </c>
      <c r="B49" s="3" t="inlineStr">
        <is>
          <t>Professional Certificate Course In Data Science - April 2025</t>
        </is>
      </c>
      <c r="C49" s="4" t="n">
        <v>45873</v>
      </c>
      <c r="D49" s="3" t="inlineStr"/>
      <c r="E49" s="3" t="inlineStr">
        <is>
          <t>Career Gap/ Non Working</t>
        </is>
      </c>
    </row>
    <row r="50">
      <c r="A50" s="3" t="n">
        <v>2269639</v>
      </c>
      <c r="B50" s="3" t="inlineStr">
        <is>
          <t>Professional Certificate Course In Data Science - April 2025</t>
        </is>
      </c>
      <c r="C50" s="4" t="n">
        <v>45968</v>
      </c>
      <c r="D50" s="3" t="inlineStr"/>
      <c r="E50" s="3" t="inlineStr">
        <is>
          <t>Career Gap/ Non Working</t>
        </is>
      </c>
    </row>
    <row r="51">
      <c r="A51" s="3" t="n">
        <v>2274979</v>
      </c>
      <c r="B51" s="3" t="inlineStr">
        <is>
          <t>Professional Certificate Course In Data Science - April 2025</t>
        </is>
      </c>
      <c r="C51" s="4" t="n">
        <v>46281</v>
      </c>
      <c r="D51" s="3" t="inlineStr"/>
      <c r="E51" s="3" t="inlineStr"/>
    </row>
    <row r="52">
      <c r="A52" s="3" t="n">
        <v>2283728</v>
      </c>
      <c r="B52" s="3" t="inlineStr">
        <is>
          <t>Professional Certificate Course In Data Science - April 2025</t>
        </is>
      </c>
      <c r="C52" s="4" t="n">
        <v>45937</v>
      </c>
      <c r="D52" s="3" t="inlineStr"/>
      <c r="E52" s="3" t="inlineStr">
        <is>
          <t>Career Gap/ Non Working</t>
        </is>
      </c>
    </row>
    <row r="53">
      <c r="A53" s="3" t="n">
        <v>189505</v>
      </c>
      <c r="B53" s="3" t="inlineStr">
        <is>
          <t>Professional Certificate Course In Data Science - August 2023</t>
        </is>
      </c>
      <c r="C53" s="4" t="n">
        <v>45558</v>
      </c>
      <c r="D53" s="3" t="inlineStr"/>
      <c r="E53" s="3" t="inlineStr">
        <is>
          <t>Irrelevant (Tech/IT)</t>
        </is>
      </c>
    </row>
    <row r="54">
      <c r="A54" s="3" t="n">
        <v>314155</v>
      </c>
      <c r="B54" s="3" t="inlineStr">
        <is>
          <t>Professional Certificate Course In Data Science - August 2023</t>
        </is>
      </c>
      <c r="C54" s="4" t="n">
        <v>45558</v>
      </c>
      <c r="D54" s="3" t="inlineStr"/>
      <c r="E54" s="3" t="inlineStr">
        <is>
          <t>Relevant</t>
        </is>
      </c>
    </row>
    <row r="55">
      <c r="A55" s="3" t="n">
        <v>629353</v>
      </c>
      <c r="B55" s="3" t="inlineStr">
        <is>
          <t>Professional Certificate Course In Data Science - August 2023</t>
        </is>
      </c>
      <c r="C55" s="4" t="n">
        <v>45621</v>
      </c>
      <c r="D55" s="3" t="inlineStr"/>
      <c r="E55" s="3" t="inlineStr">
        <is>
          <t>Irrelevant (Tech/IT)</t>
        </is>
      </c>
    </row>
    <row r="56">
      <c r="A56" s="3" t="n">
        <v>1198238</v>
      </c>
      <c r="B56" s="3" t="inlineStr">
        <is>
          <t>Professional Certificate Course In Data Science - August 2023</t>
        </is>
      </c>
      <c r="C56" s="4" t="n">
        <v>45594</v>
      </c>
      <c r="D56" s="3" t="inlineStr"/>
      <c r="E56" s="3" t="inlineStr">
        <is>
          <t>Relevant</t>
        </is>
      </c>
    </row>
    <row r="57">
      <c r="A57" s="3" t="n">
        <v>1322203</v>
      </c>
      <c r="B57" s="3" t="inlineStr">
        <is>
          <t>Professional Certificate Course In Data Science - August 2023</t>
        </is>
      </c>
      <c r="C57" s="4" t="n">
        <v>45440</v>
      </c>
      <c r="D57" s="3" t="inlineStr"/>
      <c r="E57" s="3" t="inlineStr"/>
    </row>
    <row r="58">
      <c r="A58" s="3" t="n">
        <v>1330673</v>
      </c>
      <c r="B58" s="3" t="inlineStr">
        <is>
          <t>Professional Certificate Course In Data Science - August 2023</t>
        </is>
      </c>
      <c r="C58" s="4" t="n">
        <v>45819</v>
      </c>
      <c r="D58" s="3" t="inlineStr"/>
      <c r="E58" s="3" t="inlineStr">
        <is>
          <t>Relevant</t>
        </is>
      </c>
    </row>
    <row r="59">
      <c r="A59" s="3" t="n">
        <v>1331313</v>
      </c>
      <c r="B59" s="3" t="inlineStr">
        <is>
          <t>Professional Certificate Course In Data Science - August 2023</t>
        </is>
      </c>
      <c r="C59" s="4" t="n">
        <v>45518</v>
      </c>
      <c r="D59" s="3" t="inlineStr"/>
      <c r="E59" s="3" t="inlineStr">
        <is>
          <t>Irrelevant (Non Tech) (Grad&gt;2020)</t>
        </is>
      </c>
    </row>
    <row r="60">
      <c r="A60" s="3" t="n">
        <v>1331316</v>
      </c>
      <c r="B60" s="3" t="inlineStr">
        <is>
          <t>Professional Certificate Course In Data Science - August 2023</t>
        </is>
      </c>
      <c r="C60" s="4" t="n">
        <v>45594</v>
      </c>
      <c r="D60" s="3" t="inlineStr"/>
      <c r="E60" s="3" t="inlineStr">
        <is>
          <t>Career Gap/ Non Working</t>
        </is>
      </c>
    </row>
    <row r="61">
      <c r="A61" s="3" t="n">
        <v>1348040</v>
      </c>
      <c r="B61" s="3" t="inlineStr">
        <is>
          <t>Professional Certificate Course In Data Science - August 2023</t>
        </is>
      </c>
      <c r="C61" s="4" t="n">
        <v>45601</v>
      </c>
      <c r="D61" s="3" t="inlineStr"/>
      <c r="E61" s="3" t="inlineStr">
        <is>
          <t>Irrelevant (Grad&lt;2020)</t>
        </is>
      </c>
    </row>
    <row r="62">
      <c r="A62" s="3" t="n">
        <v>1363893</v>
      </c>
      <c r="B62" s="3" t="inlineStr">
        <is>
          <t>Professional Certificate Course In Data Science - August 2023</t>
        </is>
      </c>
      <c r="C62" s="4" t="n">
        <v>45594</v>
      </c>
      <c r="D62" s="3" t="inlineStr"/>
      <c r="E62" s="3" t="inlineStr">
        <is>
          <t>Career Gap/ Non Working</t>
        </is>
      </c>
    </row>
    <row r="63">
      <c r="A63" s="3" t="n">
        <v>1427583</v>
      </c>
      <c r="B63" s="3" t="inlineStr">
        <is>
          <t>Professional Certificate Course In Data Science - August 2023</t>
        </is>
      </c>
      <c r="C63" s="4" t="n">
        <v>45601</v>
      </c>
      <c r="D63" s="3" t="inlineStr"/>
      <c r="E63" s="3" t="inlineStr">
        <is>
          <t>Fresher</t>
        </is>
      </c>
    </row>
    <row r="64">
      <c r="A64" s="3" t="n">
        <v>1428159</v>
      </c>
      <c r="B64" s="3" t="inlineStr">
        <is>
          <t>Professional Certificate Course In Data Science - August 2023</t>
        </is>
      </c>
      <c r="C64" s="4" t="n">
        <v>45618</v>
      </c>
      <c r="D64" s="3" t="inlineStr"/>
      <c r="E64" s="3" t="inlineStr"/>
    </row>
    <row r="65">
      <c r="A65" s="3" t="n">
        <v>1432900</v>
      </c>
      <c r="B65" s="3" t="inlineStr">
        <is>
          <t>Professional Certificate Course In Data Science - August 2023</t>
        </is>
      </c>
      <c r="C65" s="4" t="n">
        <v>45627</v>
      </c>
      <c r="D65" s="3" t="inlineStr"/>
      <c r="E65" s="3" t="inlineStr"/>
    </row>
    <row r="66">
      <c r="A66" s="3" t="n">
        <v>1433028</v>
      </c>
      <c r="B66" s="3" t="inlineStr">
        <is>
          <t>Professional Certificate Course In Data Science - August 2023</t>
        </is>
      </c>
      <c r="C66" s="4" t="n">
        <v>45598</v>
      </c>
      <c r="D66" s="3" t="inlineStr"/>
      <c r="E66" s="3" t="inlineStr">
        <is>
          <t>Fresher</t>
        </is>
      </c>
    </row>
    <row r="67">
      <c r="A67" s="3" t="n">
        <v>1435856</v>
      </c>
      <c r="B67" s="3" t="inlineStr">
        <is>
          <t>Professional Certificate Course In Data Science - August 2023</t>
        </is>
      </c>
      <c r="C67" s="3" t="n"/>
      <c r="D67" s="3" t="inlineStr"/>
      <c r="E67" s="3" t="inlineStr"/>
    </row>
    <row r="68">
      <c r="A68" s="3" t="n">
        <v>1437430</v>
      </c>
      <c r="B68" s="3" t="inlineStr">
        <is>
          <t>Professional Certificate Course In Data Science - August 2023</t>
        </is>
      </c>
      <c r="C68" s="4" t="n">
        <v>45440</v>
      </c>
      <c r="D68" s="3" t="inlineStr"/>
      <c r="E68" s="3" t="inlineStr"/>
    </row>
    <row r="69">
      <c r="A69" s="3" t="n">
        <v>1439653</v>
      </c>
      <c r="B69" s="3" t="inlineStr">
        <is>
          <t>Professional Certificate Course In Data Science - August 2023</t>
        </is>
      </c>
      <c r="C69" s="4" t="n">
        <v>45618</v>
      </c>
      <c r="D69" s="3" t="inlineStr"/>
      <c r="E69" s="3" t="inlineStr"/>
    </row>
    <row r="70">
      <c r="A70" s="3" t="n">
        <v>1442654</v>
      </c>
      <c r="B70" s="3" t="inlineStr">
        <is>
          <t>Professional Certificate Course In Data Science - August 2023</t>
        </is>
      </c>
      <c r="C70" s="4" t="n">
        <v>45459</v>
      </c>
      <c r="D70" s="3" t="inlineStr"/>
      <c r="E70" s="3" t="inlineStr"/>
    </row>
    <row r="71">
      <c r="A71" s="3" t="n">
        <v>1443387</v>
      </c>
      <c r="B71" s="3" t="inlineStr">
        <is>
          <t>Professional Certificate Course In Data Science - August 2023</t>
        </is>
      </c>
      <c r="C71" s="4" t="n">
        <v>45558</v>
      </c>
      <c r="D71" s="3" t="inlineStr"/>
      <c r="E71" s="3" t="inlineStr">
        <is>
          <t>Irrelevant (Non Tech) (Grad&gt;2020)</t>
        </is>
      </c>
    </row>
    <row r="72">
      <c r="A72" s="3" t="n">
        <v>1444991</v>
      </c>
      <c r="B72" s="3" t="inlineStr">
        <is>
          <t>Professional Certificate Course In Data Science - August 2023</t>
        </is>
      </c>
      <c r="C72" s="3" t="n"/>
      <c r="D72" s="3" t="inlineStr"/>
      <c r="E72" s="3" t="inlineStr"/>
    </row>
    <row r="73">
      <c r="A73" s="3" t="n">
        <v>1446261</v>
      </c>
      <c r="B73" s="3" t="inlineStr">
        <is>
          <t>Professional Certificate Course In Data Science - August 2023</t>
        </is>
      </c>
      <c r="C73" s="3" t="n"/>
      <c r="D73" s="3" t="inlineStr"/>
      <c r="E73" s="3" t="inlineStr"/>
    </row>
    <row r="74">
      <c r="A74" s="3" t="n">
        <v>1447919</v>
      </c>
      <c r="B74" s="3" t="inlineStr">
        <is>
          <t>Professional Certificate Course In Data Science - August 2023</t>
        </is>
      </c>
      <c r="C74" s="4" t="n">
        <v>45594</v>
      </c>
      <c r="D74" s="3" t="inlineStr"/>
      <c r="E74" s="3" t="inlineStr"/>
    </row>
    <row r="75">
      <c r="A75" s="3" t="n">
        <v>1449172</v>
      </c>
      <c r="B75" s="3" t="inlineStr">
        <is>
          <t>Professional Certificate Course In Data Science - August 2023</t>
        </is>
      </c>
      <c r="C75" s="3" t="n"/>
      <c r="D75" s="3" t="inlineStr"/>
      <c r="E75" s="3" t="inlineStr"/>
    </row>
    <row r="76">
      <c r="A76" s="3" t="n">
        <v>1455729</v>
      </c>
      <c r="B76" s="3" t="inlineStr">
        <is>
          <t>Professional Certificate Course In Data Science - August 2023</t>
        </is>
      </c>
      <c r="C76" s="3" t="n"/>
      <c r="D76" s="3" t="inlineStr"/>
      <c r="E76" s="3" t="inlineStr"/>
    </row>
    <row r="77">
      <c r="A77" s="3" t="n">
        <v>1456224</v>
      </c>
      <c r="B77" s="3" t="inlineStr">
        <is>
          <t>Professional Certificate Course In Data Science - August 2023</t>
        </is>
      </c>
      <c r="C77" s="4" t="n">
        <v>45601</v>
      </c>
      <c r="D77" s="3" t="inlineStr"/>
      <c r="E77" s="3" t="inlineStr">
        <is>
          <t>Irrelevant (Grad&lt;2020)</t>
        </is>
      </c>
    </row>
    <row r="78">
      <c r="A78" s="3" t="n">
        <v>1458272</v>
      </c>
      <c r="B78" s="3" t="inlineStr">
        <is>
          <t>Professional Certificate Course In Data Science - August 2023</t>
        </is>
      </c>
      <c r="C78" s="4" t="n">
        <v>45440</v>
      </c>
      <c r="D78" s="3" t="inlineStr"/>
      <c r="E78" s="3" t="inlineStr">
        <is>
          <t>Relevant</t>
        </is>
      </c>
    </row>
    <row r="79">
      <c r="A79" s="3" t="n">
        <v>157149</v>
      </c>
      <c r="B79" s="3" t="inlineStr">
        <is>
          <t>Professional Certificate Course In Data Science - August 2024</t>
        </is>
      </c>
      <c r="C79" s="4" t="n">
        <v>45681</v>
      </c>
      <c r="D79" s="3" t="inlineStr"/>
      <c r="E79" s="3" t="inlineStr">
        <is>
          <t>Fresher</t>
        </is>
      </c>
    </row>
    <row r="80">
      <c r="A80" s="3" t="n">
        <v>752377</v>
      </c>
      <c r="B80" s="3" t="inlineStr">
        <is>
          <t>Professional Certificate Course In Data Science - August 2024</t>
        </is>
      </c>
      <c r="C80" s="4" t="n">
        <v>45609</v>
      </c>
      <c r="D80" s="3" t="inlineStr"/>
      <c r="E80" s="3" t="inlineStr">
        <is>
          <t>Career Gap/ Non Working</t>
        </is>
      </c>
    </row>
    <row r="81">
      <c r="A81" s="3" t="n">
        <v>1137468</v>
      </c>
      <c r="B81" s="3" t="inlineStr">
        <is>
          <t>Professional Certificate Course In Data Science - August 2024</t>
        </is>
      </c>
      <c r="C81" s="4" t="n">
        <v>45643</v>
      </c>
      <c r="D81" s="3" t="inlineStr"/>
      <c r="E81" s="3" t="inlineStr">
        <is>
          <t>Relevant</t>
        </is>
      </c>
    </row>
    <row r="82">
      <c r="A82" s="3" t="n">
        <v>1487284</v>
      </c>
      <c r="B82" s="3" t="inlineStr">
        <is>
          <t>Professional Certificate Course In Data Science - August 2024</t>
        </is>
      </c>
      <c r="C82" s="4" t="n">
        <v>45614</v>
      </c>
      <c r="D82" s="3" t="inlineStr"/>
      <c r="E82" s="3" t="inlineStr">
        <is>
          <t>Fresher</t>
        </is>
      </c>
    </row>
    <row r="83">
      <c r="A83" s="3" t="n">
        <v>1670009</v>
      </c>
      <c r="B83" s="3" t="inlineStr">
        <is>
          <t>Professional Certificate Course In Data Science - August 2024</t>
        </is>
      </c>
      <c r="C83" s="4" t="n">
        <v>45614</v>
      </c>
      <c r="D83" s="3" t="inlineStr"/>
      <c r="E83" s="3" t="inlineStr">
        <is>
          <t>Irrelevant (Tech/IT)</t>
        </is>
      </c>
    </row>
    <row r="84">
      <c r="A84" s="3" t="n">
        <v>1774174</v>
      </c>
      <c r="B84" s="3" t="inlineStr">
        <is>
          <t>Professional Certificate Course In Data Science - August 2024</t>
        </is>
      </c>
      <c r="C84" s="4" t="n">
        <v>45614</v>
      </c>
      <c r="D84" s="3" t="inlineStr"/>
      <c r="E84" s="3" t="inlineStr">
        <is>
          <t>Irrelevant (Grad&lt;2020)</t>
        </is>
      </c>
    </row>
    <row r="85">
      <c r="A85" s="3" t="n">
        <v>1812039</v>
      </c>
      <c r="B85" s="3" t="inlineStr">
        <is>
          <t>Professional Certificate Course In Data Science - August 2024</t>
        </is>
      </c>
      <c r="C85" s="4" t="n">
        <v>45646</v>
      </c>
      <c r="D85" s="3" t="inlineStr"/>
      <c r="E85" s="3" t="inlineStr">
        <is>
          <t>Irrelevant (Non Tech) (Grad&gt;2020)</t>
        </is>
      </c>
    </row>
    <row r="86">
      <c r="A86" s="3" t="n">
        <v>1884654</v>
      </c>
      <c r="B86" s="3" t="inlineStr">
        <is>
          <t>Professional Certificate Course In Data Science - August 2024</t>
        </is>
      </c>
      <c r="C86" s="4" t="n">
        <v>45642</v>
      </c>
      <c r="D86" s="3" t="inlineStr"/>
      <c r="E86" s="3" t="inlineStr">
        <is>
          <t>Irrelevant (Tech/IT)</t>
        </is>
      </c>
    </row>
    <row r="87">
      <c r="A87" s="3" t="n">
        <v>1900229</v>
      </c>
      <c r="B87" s="3" t="inlineStr">
        <is>
          <t>Professional Certificate Course In Data Science - August 2024</t>
        </is>
      </c>
      <c r="C87" s="4" t="n">
        <v>45709</v>
      </c>
      <c r="D87" s="3" t="inlineStr"/>
      <c r="E87" s="3" t="inlineStr">
        <is>
          <t>Irrelevant (Tech/IT)</t>
        </is>
      </c>
    </row>
    <row r="88">
      <c r="A88" s="3" t="n">
        <v>1905247</v>
      </c>
      <c r="B88" s="3" t="inlineStr">
        <is>
          <t>Professional Certificate Course In Data Science - August 2024</t>
        </is>
      </c>
      <c r="C88" s="4" t="n">
        <v>45652</v>
      </c>
      <c r="D88" s="3" t="inlineStr"/>
      <c r="E88" s="3" t="inlineStr">
        <is>
          <t>Relevant</t>
        </is>
      </c>
    </row>
    <row r="89">
      <c r="A89" s="3" t="n">
        <v>1911872</v>
      </c>
      <c r="B89" s="3" t="inlineStr">
        <is>
          <t>Professional Certificate Course In Data Science - August 2024</t>
        </is>
      </c>
      <c r="C89" s="4" t="n">
        <v>45812</v>
      </c>
      <c r="D89" s="3" t="inlineStr"/>
      <c r="E89" s="3" t="inlineStr">
        <is>
          <t>Fresher</t>
        </is>
      </c>
    </row>
    <row r="90">
      <c r="A90" s="3" t="n">
        <v>1918228</v>
      </c>
      <c r="B90" s="3" t="inlineStr">
        <is>
          <t>Professional Certificate Course In Data Science - August 2024</t>
        </is>
      </c>
      <c r="C90" s="4" t="n">
        <v>45642</v>
      </c>
      <c r="D90" s="3" t="inlineStr"/>
      <c r="E90" s="3" t="inlineStr">
        <is>
          <t>Career Gap/ Non Working</t>
        </is>
      </c>
    </row>
    <row r="91">
      <c r="A91" s="3" t="n">
        <v>1923490</v>
      </c>
      <c r="B91" s="3" t="inlineStr">
        <is>
          <t>Professional Certificate Course In Data Science - August 2024</t>
        </is>
      </c>
      <c r="C91" s="4" t="n">
        <v>45614</v>
      </c>
      <c r="D91" s="3" t="inlineStr"/>
      <c r="E91" s="3" t="inlineStr">
        <is>
          <t>Irrelevant (Grad&lt;2020)</t>
        </is>
      </c>
    </row>
    <row r="92">
      <c r="A92" s="3" t="n">
        <v>1925539</v>
      </c>
      <c r="B92" s="3" t="inlineStr">
        <is>
          <t>Professional Certificate Course In Data Science - August 2024</t>
        </is>
      </c>
      <c r="C92" s="4" t="n">
        <v>45614</v>
      </c>
      <c r="D92" s="3" t="inlineStr"/>
      <c r="E92" s="3" t="inlineStr">
        <is>
          <t>Fresher</t>
        </is>
      </c>
    </row>
    <row r="93">
      <c r="A93" s="3" t="n">
        <v>1925939</v>
      </c>
      <c r="B93" s="3" t="inlineStr">
        <is>
          <t>Professional Certificate Course In Data Science - August 2024</t>
        </is>
      </c>
      <c r="C93" s="4" t="n">
        <v>45632</v>
      </c>
      <c r="D93" s="3" t="inlineStr"/>
      <c r="E93" s="3" t="inlineStr">
        <is>
          <t>Relevant</t>
        </is>
      </c>
    </row>
    <row r="94">
      <c r="A94" s="3" t="n">
        <v>1926046</v>
      </c>
      <c r="B94" s="3" t="inlineStr">
        <is>
          <t>Professional Certificate Course In Data Science - August 2024</t>
        </is>
      </c>
      <c r="C94" s="4" t="n">
        <v>45608</v>
      </c>
      <c r="D94" s="3" t="inlineStr"/>
      <c r="E94" s="3" t="inlineStr">
        <is>
          <t>Fresher</t>
        </is>
      </c>
    </row>
    <row r="95">
      <c r="A95" s="3" t="n">
        <v>1935094</v>
      </c>
      <c r="B95" s="3" t="inlineStr">
        <is>
          <t>Professional Certificate Course In Data Science - August 2024</t>
        </is>
      </c>
      <c r="C95" s="4" t="n">
        <v>45663</v>
      </c>
      <c r="D95" s="3" t="inlineStr"/>
      <c r="E95" s="3" t="inlineStr">
        <is>
          <t>Irrelevant (Tech/IT)</t>
        </is>
      </c>
    </row>
    <row r="96">
      <c r="A96" s="3" t="n">
        <v>1935116</v>
      </c>
      <c r="B96" s="3" t="inlineStr">
        <is>
          <t>Professional Certificate Course In Data Science - August 2024</t>
        </is>
      </c>
      <c r="C96" s="4" t="n">
        <v>45614</v>
      </c>
      <c r="D96" s="3" t="inlineStr"/>
      <c r="E96" s="3" t="inlineStr">
        <is>
          <t>Irrelevant (Tech/IT)</t>
        </is>
      </c>
    </row>
    <row r="97">
      <c r="A97" s="3" t="n">
        <v>1942580</v>
      </c>
      <c r="B97" s="3" t="inlineStr">
        <is>
          <t>Professional Certificate Course In Data Science - August 2024</t>
        </is>
      </c>
      <c r="C97" s="4" t="n">
        <v>45607</v>
      </c>
      <c r="D97" s="3" t="inlineStr"/>
      <c r="E97" s="3" t="inlineStr">
        <is>
          <t>Irrelevant (Grad&lt;2020)</t>
        </is>
      </c>
    </row>
    <row r="98">
      <c r="A98" s="3" t="n">
        <v>1945230</v>
      </c>
      <c r="B98" s="3" t="inlineStr">
        <is>
          <t>Professional Certificate Course In Data Science - August 2024</t>
        </is>
      </c>
      <c r="C98" s="4" t="n">
        <v>46262</v>
      </c>
      <c r="D98" s="3" t="inlineStr"/>
      <c r="E98" s="3" t="inlineStr">
        <is>
          <t>Irrelevant (Tech/IT)</t>
        </is>
      </c>
    </row>
    <row r="99">
      <c r="A99" s="3" t="n">
        <v>1946077</v>
      </c>
      <c r="B99" s="3" t="inlineStr">
        <is>
          <t>Professional Certificate Course In Data Science - August 2024</t>
        </is>
      </c>
      <c r="C99" s="4" t="n">
        <v>45607</v>
      </c>
      <c r="D99" s="3" t="inlineStr"/>
      <c r="E99" s="3" t="inlineStr">
        <is>
          <t>Irrelevant (Tech/IT)</t>
        </is>
      </c>
    </row>
    <row r="100">
      <c r="A100" s="3" t="n">
        <v>1946081</v>
      </c>
      <c r="B100" s="3" t="inlineStr">
        <is>
          <t>Professional Certificate Course In Data Science - August 2024</t>
        </is>
      </c>
      <c r="C100" s="4" t="n">
        <v>45614</v>
      </c>
      <c r="D100" s="3" t="inlineStr"/>
      <c r="E100" s="3" t="inlineStr">
        <is>
          <t>Relevant</t>
        </is>
      </c>
    </row>
    <row r="101">
      <c r="A101" s="3" t="n">
        <v>1948215</v>
      </c>
      <c r="B101" s="3" t="inlineStr">
        <is>
          <t>Professional Certificate Course In Data Science - August 2024</t>
        </is>
      </c>
      <c r="C101" s="4" t="n">
        <v>45659</v>
      </c>
      <c r="D101" s="3" t="inlineStr"/>
      <c r="E101" s="3" t="inlineStr">
        <is>
          <t>Fresher</t>
        </is>
      </c>
    </row>
    <row r="102">
      <c r="A102" s="3" t="n">
        <v>1950677</v>
      </c>
      <c r="B102" s="3" t="inlineStr">
        <is>
          <t>Professional Certificate Course In Data Science - August 2024</t>
        </is>
      </c>
      <c r="C102" s="4" t="n">
        <v>45631</v>
      </c>
      <c r="D102" s="3" t="inlineStr"/>
      <c r="E102" s="3" t="inlineStr">
        <is>
          <t>Irrelevant (Grad&lt;2020)</t>
        </is>
      </c>
    </row>
    <row r="103">
      <c r="A103" s="3" t="n">
        <v>1956122</v>
      </c>
      <c r="B103" s="3" t="inlineStr">
        <is>
          <t>Professional Certificate Course In Data Science - August 2024</t>
        </is>
      </c>
      <c r="C103" s="4" t="n">
        <v>45630</v>
      </c>
      <c r="D103" s="3" t="inlineStr"/>
      <c r="E103" s="3" t="inlineStr">
        <is>
          <t>Fresher</t>
        </is>
      </c>
    </row>
    <row r="104">
      <c r="A104" s="3" t="n">
        <v>1959243</v>
      </c>
      <c r="B104" s="3" t="inlineStr">
        <is>
          <t>Professional Certificate Course In Data Science - August 2024</t>
        </is>
      </c>
      <c r="C104" s="4" t="n">
        <v>45614</v>
      </c>
      <c r="D104" s="3" t="inlineStr"/>
      <c r="E104" s="3" t="inlineStr">
        <is>
          <t>Relevant</t>
        </is>
      </c>
    </row>
    <row r="105">
      <c r="A105" s="3" t="n">
        <v>1960200</v>
      </c>
      <c r="B105" s="3" t="inlineStr">
        <is>
          <t>Professional Certificate Course In Data Science - August 2024</t>
        </is>
      </c>
      <c r="C105" s="4" t="n">
        <v>45682</v>
      </c>
      <c r="D105" s="3" t="inlineStr"/>
      <c r="E105" s="3" t="inlineStr">
        <is>
          <t>Irrelevant (Tech/IT)</t>
        </is>
      </c>
    </row>
    <row r="106">
      <c r="A106" s="3" t="n">
        <v>1960951</v>
      </c>
      <c r="B106" s="3" t="inlineStr">
        <is>
          <t>Professional Certificate Course In Data Science - August 2024</t>
        </is>
      </c>
      <c r="C106" s="4" t="n">
        <v>45614</v>
      </c>
      <c r="D106" s="3" t="inlineStr"/>
      <c r="E106" s="3" t="inlineStr">
        <is>
          <t>Relevant</t>
        </is>
      </c>
    </row>
    <row r="107">
      <c r="A107" s="3" t="n">
        <v>1963457</v>
      </c>
      <c r="B107" s="3" t="inlineStr">
        <is>
          <t>Professional Certificate Course In Data Science - August 2024</t>
        </is>
      </c>
      <c r="C107" s="4" t="n">
        <v>45607</v>
      </c>
      <c r="D107" s="3" t="inlineStr"/>
      <c r="E107" s="3" t="inlineStr">
        <is>
          <t>Fresher</t>
        </is>
      </c>
    </row>
    <row r="108">
      <c r="A108" s="3" t="n">
        <v>1972748</v>
      </c>
      <c r="B108" s="3" t="inlineStr">
        <is>
          <t>Professional Certificate Course In Data Science - August 2024</t>
        </is>
      </c>
      <c r="C108" s="4" t="n">
        <v>45614</v>
      </c>
      <c r="D108" s="3" t="inlineStr"/>
      <c r="E108" s="3" t="inlineStr">
        <is>
          <t>Relevant</t>
        </is>
      </c>
    </row>
    <row r="109">
      <c r="A109" s="3" t="n">
        <v>1975105</v>
      </c>
      <c r="B109" s="3" t="inlineStr">
        <is>
          <t>Professional Certificate Course In Data Science - August 2024</t>
        </is>
      </c>
      <c r="C109" s="4" t="n">
        <v>45684</v>
      </c>
      <c r="D109" s="3" t="inlineStr"/>
      <c r="E109" s="3" t="inlineStr">
        <is>
          <t>Relevant</t>
        </is>
      </c>
    </row>
    <row r="110">
      <c r="A110" s="3" t="n">
        <v>1976650</v>
      </c>
      <c r="B110" s="3" t="inlineStr">
        <is>
          <t>Professional Certificate Course In Data Science - August 2024</t>
        </is>
      </c>
      <c r="C110" s="4" t="n">
        <v>45607</v>
      </c>
      <c r="D110" s="3" t="inlineStr"/>
      <c r="E110" s="3" t="inlineStr">
        <is>
          <t>Fresher</t>
        </is>
      </c>
    </row>
    <row r="111">
      <c r="A111" s="3" t="n">
        <v>134989</v>
      </c>
      <c r="B111" s="3" t="inlineStr">
        <is>
          <t>Professional Certificate Course In Data Science - December 2023</t>
        </is>
      </c>
      <c r="C111" s="4" t="n">
        <v>45594</v>
      </c>
      <c r="D111" s="3" t="inlineStr"/>
      <c r="E111" s="3" t="inlineStr">
        <is>
          <t>Irrelevant (Tech/IT)</t>
        </is>
      </c>
    </row>
    <row r="112">
      <c r="A112" s="3" t="n">
        <v>173561</v>
      </c>
      <c r="B112" s="3" t="inlineStr">
        <is>
          <t>Professional Certificate Course In Data Science - December 2023</t>
        </is>
      </c>
      <c r="C112" s="4" t="n">
        <v>45594</v>
      </c>
      <c r="D112" s="3" t="inlineStr"/>
      <c r="E112" s="3" t="inlineStr">
        <is>
          <t>Relevant</t>
        </is>
      </c>
    </row>
    <row r="113">
      <c r="A113" s="3" t="n">
        <v>572145</v>
      </c>
      <c r="B113" s="3" t="inlineStr">
        <is>
          <t>Professional Certificate Course In Data Science - December 2023</t>
        </is>
      </c>
      <c r="C113" s="4" t="n">
        <v>45458</v>
      </c>
      <c r="D113" s="3" t="inlineStr"/>
      <c r="E113" s="3" t="inlineStr">
        <is>
          <t>Fresher</t>
        </is>
      </c>
    </row>
    <row r="114">
      <c r="A114" s="3" t="n">
        <v>623562</v>
      </c>
      <c r="B114" s="3" t="inlineStr">
        <is>
          <t>Professional Certificate Course In Data Science - December 2023</t>
        </is>
      </c>
      <c r="C114" s="3" t="n"/>
      <c r="D114" s="3" t="inlineStr"/>
      <c r="E114" s="3" t="inlineStr">
        <is>
          <t>Fresher</t>
        </is>
      </c>
    </row>
    <row r="115">
      <c r="A115" s="3" t="n">
        <v>1130490</v>
      </c>
      <c r="B115" s="3" t="inlineStr">
        <is>
          <t>Professional Certificate Course In Data Science - December 2023</t>
        </is>
      </c>
      <c r="C115" s="4" t="n">
        <v>45618</v>
      </c>
      <c r="D115" s="3" t="inlineStr"/>
      <c r="E115" s="3" t="inlineStr">
        <is>
          <t>Irrelevant (Tech/IT)</t>
        </is>
      </c>
    </row>
    <row r="116">
      <c r="A116" s="3" t="n">
        <v>1132200</v>
      </c>
      <c r="B116" s="3" t="inlineStr">
        <is>
          <t>Professional Certificate Course In Data Science - December 2023</t>
        </is>
      </c>
      <c r="C116" s="4" t="n">
        <v>45626</v>
      </c>
      <c r="D116" s="3" t="inlineStr"/>
      <c r="E116" s="3" t="inlineStr">
        <is>
          <t>Irrelevant (Grad&lt;2020)</t>
        </is>
      </c>
    </row>
    <row r="117">
      <c r="A117" s="3" t="n">
        <v>1367825</v>
      </c>
      <c r="B117" s="3" t="inlineStr">
        <is>
          <t>Professional Certificate Course In Data Science - December 2023</t>
        </is>
      </c>
      <c r="C117" s="4" t="n">
        <v>45558</v>
      </c>
      <c r="D117" s="3" t="inlineStr"/>
      <c r="E117" s="3" t="inlineStr">
        <is>
          <t>Irrelevant (Non Tech) (Grad&gt;2020)</t>
        </is>
      </c>
    </row>
    <row r="118">
      <c r="A118" s="3" t="n">
        <v>1445592</v>
      </c>
      <c r="B118" s="3" t="inlineStr">
        <is>
          <t>Professional Certificate Course In Data Science - December 2023</t>
        </is>
      </c>
      <c r="C118" s="4" t="n">
        <v>45478</v>
      </c>
      <c r="D118" s="3" t="inlineStr"/>
      <c r="E118" s="3" t="inlineStr">
        <is>
          <t>Irrelevant (Non Tech) (Grad&gt;2020)</t>
        </is>
      </c>
    </row>
    <row r="119">
      <c r="A119" s="3" t="n">
        <v>1470652</v>
      </c>
      <c r="B119" s="3" t="inlineStr">
        <is>
          <t>Professional Certificate Course In Data Science - December 2023</t>
        </is>
      </c>
      <c r="C119" s="4" t="n">
        <v>45441</v>
      </c>
      <c r="D119" s="3" t="inlineStr"/>
      <c r="E119" s="3" t="inlineStr">
        <is>
          <t>Fresher</t>
        </is>
      </c>
    </row>
    <row r="120">
      <c r="A120" s="3" t="n">
        <v>1549009</v>
      </c>
      <c r="B120" s="3" t="inlineStr">
        <is>
          <t>Professional Certificate Course In Data Science - December 2023</t>
        </is>
      </c>
      <c r="C120" s="4" t="n">
        <v>45594</v>
      </c>
      <c r="D120" s="3" t="inlineStr"/>
      <c r="E120" s="3" t="inlineStr">
        <is>
          <t>Irrelevant (Non Tech) (Grad&gt;2020)</t>
        </is>
      </c>
    </row>
    <row r="121">
      <c r="A121" s="3" t="n">
        <v>1563274</v>
      </c>
      <c r="B121" s="3" t="inlineStr">
        <is>
          <t>Professional Certificate Course In Data Science - December 2023</t>
        </is>
      </c>
      <c r="C121" s="4" t="n">
        <v>45594</v>
      </c>
      <c r="D121" s="3" t="inlineStr"/>
      <c r="E121" s="3" t="inlineStr">
        <is>
          <t>Fresher</t>
        </is>
      </c>
    </row>
    <row r="122">
      <c r="A122" s="3" t="n">
        <v>1565517</v>
      </c>
      <c r="B122" s="3" t="inlineStr">
        <is>
          <t>Professional Certificate Course In Data Science - December 2023</t>
        </is>
      </c>
      <c r="C122" s="4" t="n">
        <v>45618</v>
      </c>
      <c r="D122" s="3" t="inlineStr"/>
      <c r="E122" s="3" t="inlineStr">
        <is>
          <t>Irrelevant (Non Tech) (Grad&gt;2020)</t>
        </is>
      </c>
    </row>
    <row r="123">
      <c r="A123" s="3" t="n">
        <v>1572263</v>
      </c>
      <c r="B123" s="3" t="inlineStr">
        <is>
          <t>Professional Certificate Course In Data Science - December 2023</t>
        </is>
      </c>
      <c r="C123" s="4" t="n">
        <v>45594</v>
      </c>
      <c r="D123" s="3" t="inlineStr"/>
      <c r="E123" s="3" t="inlineStr">
        <is>
          <t>Relevant</t>
        </is>
      </c>
    </row>
    <row r="124">
      <c r="A124" s="3" t="n">
        <v>1574075</v>
      </c>
      <c r="B124" s="3" t="inlineStr">
        <is>
          <t>Professional Certificate Course In Data Science - December 2023</t>
        </is>
      </c>
      <c r="C124" s="4" t="n">
        <v>45630</v>
      </c>
      <c r="D124" s="3" t="inlineStr"/>
      <c r="E124" s="3" t="inlineStr">
        <is>
          <t>Irrelevant (Non Tech) (Grad&gt;2020)</t>
        </is>
      </c>
    </row>
    <row r="125">
      <c r="A125" s="3" t="n">
        <v>1575351</v>
      </c>
      <c r="B125" s="3" t="inlineStr">
        <is>
          <t>Professional Certificate Course In Data Science - December 2023</t>
        </is>
      </c>
      <c r="C125" s="4" t="n">
        <v>45601</v>
      </c>
      <c r="D125" s="3" t="inlineStr"/>
      <c r="E125" s="3" t="inlineStr">
        <is>
          <t>Irrelevant (Tech/IT)</t>
        </is>
      </c>
    </row>
    <row r="126">
      <c r="A126" s="3" t="n">
        <v>1577095</v>
      </c>
      <c r="B126" s="3" t="inlineStr">
        <is>
          <t>Professional Certificate Course In Data Science - December 2023</t>
        </is>
      </c>
      <c r="C126" s="4" t="n">
        <v>45626</v>
      </c>
      <c r="D126" s="3" t="inlineStr"/>
      <c r="E126" s="3" t="inlineStr">
        <is>
          <t>Irrelevant (Tech/IT)</t>
        </is>
      </c>
    </row>
    <row r="127">
      <c r="A127" s="3" t="n">
        <v>1577315</v>
      </c>
      <c r="B127" s="3" t="inlineStr">
        <is>
          <t>Professional Certificate Course In Data Science - December 2023</t>
        </is>
      </c>
      <c r="C127" s="4" t="n">
        <v>45632</v>
      </c>
      <c r="D127" s="3" t="inlineStr"/>
      <c r="E127" s="3" t="inlineStr">
        <is>
          <t>Relevant</t>
        </is>
      </c>
    </row>
    <row r="128">
      <c r="A128" s="3" t="n">
        <v>1597018</v>
      </c>
      <c r="B128" s="3" t="inlineStr">
        <is>
          <t>Professional Certificate Course In Data Science - December 2023</t>
        </is>
      </c>
      <c r="C128" s="4" t="n">
        <v>45594</v>
      </c>
      <c r="D128" s="3" t="inlineStr"/>
      <c r="E128" s="3" t="inlineStr">
        <is>
          <t>Career Gap/ Non Working</t>
        </is>
      </c>
    </row>
    <row r="129">
      <c r="A129" s="3" t="n">
        <v>1598199</v>
      </c>
      <c r="B129" s="3" t="inlineStr">
        <is>
          <t>Professional Certificate Course In Data Science - December 2023</t>
        </is>
      </c>
      <c r="C129" s="4" t="n">
        <v>45594</v>
      </c>
      <c r="D129" s="3" t="inlineStr"/>
      <c r="E129" s="3" t="inlineStr">
        <is>
          <t>Fresher</t>
        </is>
      </c>
    </row>
    <row r="130">
      <c r="A130" s="3" t="n">
        <v>1599945</v>
      </c>
      <c r="B130" s="3" t="inlineStr">
        <is>
          <t>Professional Certificate Course In Data Science - December 2023</t>
        </is>
      </c>
      <c r="C130" s="4" t="n">
        <v>45490</v>
      </c>
      <c r="D130" s="3" t="inlineStr"/>
      <c r="E130" s="3" t="inlineStr">
        <is>
          <t>Irrelevant (Tech/IT)</t>
        </is>
      </c>
    </row>
    <row r="131">
      <c r="A131" s="3" t="n">
        <v>1601901</v>
      </c>
      <c r="B131" s="3" t="inlineStr">
        <is>
          <t>Professional Certificate Course In Data Science - December 2023</t>
        </is>
      </c>
      <c r="C131" s="4" t="n">
        <v>45441</v>
      </c>
      <c r="D131" s="3" t="inlineStr"/>
      <c r="E131" s="3" t="inlineStr">
        <is>
          <t>Irrelevant (Tech/IT)</t>
        </is>
      </c>
    </row>
    <row r="132">
      <c r="A132" s="3" t="n">
        <v>1603356</v>
      </c>
      <c r="B132" s="3" t="inlineStr">
        <is>
          <t>Professional Certificate Course In Data Science - December 2023</t>
        </is>
      </c>
      <c r="C132" s="4" t="n">
        <v>45441</v>
      </c>
      <c r="D132" s="3" t="inlineStr"/>
      <c r="E132" s="3" t="inlineStr">
        <is>
          <t>Fresher</t>
        </is>
      </c>
    </row>
    <row r="133">
      <c r="A133" s="3" t="n">
        <v>1682128</v>
      </c>
      <c r="B133" s="3" t="inlineStr">
        <is>
          <t>Professional Certificate Course In Data Science - December 2023</t>
        </is>
      </c>
      <c r="C133" s="3" t="n"/>
      <c r="D133" s="3" t="inlineStr"/>
      <c r="E133" s="3" t="inlineStr">
        <is>
          <t>Irrelevant (Tech/IT)</t>
        </is>
      </c>
    </row>
    <row r="134">
      <c r="A134" s="3" t="n">
        <v>1682798</v>
      </c>
      <c r="B134" s="3" t="inlineStr">
        <is>
          <t>Professional Certificate Course In Data Science - December 2023</t>
        </is>
      </c>
      <c r="C134" s="4" t="n">
        <v>45468</v>
      </c>
      <c r="D134" s="3" t="inlineStr"/>
      <c r="E134" s="3" t="inlineStr">
        <is>
          <t>Relevant</t>
        </is>
      </c>
    </row>
    <row r="135">
      <c r="A135" s="3" t="n">
        <v>1690583</v>
      </c>
      <c r="B135" s="3" t="inlineStr">
        <is>
          <t>Professional Certificate Course In Data Science - December 2023</t>
        </is>
      </c>
      <c r="C135" s="4" t="n">
        <v>45478</v>
      </c>
      <c r="D135" s="3" t="inlineStr"/>
      <c r="E135" s="3" t="inlineStr">
        <is>
          <t>Career Gap/ Non Working</t>
        </is>
      </c>
    </row>
    <row r="136">
      <c r="A136" s="3" t="n">
        <v>1660617</v>
      </c>
      <c r="B136" s="3" t="inlineStr">
        <is>
          <t>Professional Certificate Course In Data Science - December 2024</t>
        </is>
      </c>
      <c r="C136" s="4" t="n">
        <v>46017</v>
      </c>
      <c r="D136" s="3" t="inlineStr"/>
      <c r="E136" s="3" t="inlineStr">
        <is>
          <t>Irrelevant (Non Tech) (Grad&gt;2020)</t>
        </is>
      </c>
    </row>
    <row r="137">
      <c r="A137" s="3" t="n">
        <v>4035</v>
      </c>
      <c r="B137" s="3" t="inlineStr">
        <is>
          <t>Professional Certificate Course In Data Science - December 2024</t>
        </is>
      </c>
      <c r="C137" s="4" t="n">
        <v>46076</v>
      </c>
      <c r="D137" s="3" t="inlineStr"/>
      <c r="E137" s="3" t="inlineStr">
        <is>
          <t>Irrelevant (Tech/IT)</t>
        </is>
      </c>
    </row>
    <row r="138">
      <c r="A138" s="3" t="n">
        <v>173606</v>
      </c>
      <c r="B138" s="3" t="inlineStr">
        <is>
          <t>Professional Certificate Course In Data Science - December 2024</t>
        </is>
      </c>
      <c r="C138" s="4" t="n">
        <v>45790</v>
      </c>
      <c r="D138" s="3" t="inlineStr"/>
      <c r="E138" s="3" t="inlineStr">
        <is>
          <t>Irrelevant (Tech/IT)</t>
        </is>
      </c>
    </row>
    <row r="139">
      <c r="A139" s="3" t="n">
        <v>348305</v>
      </c>
      <c r="B139" s="3" t="inlineStr">
        <is>
          <t>Professional Certificate Course In Data Science - December 2024</t>
        </is>
      </c>
      <c r="C139" s="4" t="n">
        <v>45908</v>
      </c>
      <c r="D139" s="3" t="inlineStr"/>
      <c r="E139" s="3" t="inlineStr">
        <is>
          <t>Career Gap/ Non Working</t>
        </is>
      </c>
    </row>
    <row r="140">
      <c r="A140" s="3" t="n">
        <v>1675652</v>
      </c>
      <c r="B140" s="3" t="inlineStr">
        <is>
          <t>Professional Certificate Course In Data Science - December 2024</t>
        </is>
      </c>
      <c r="C140" s="4" t="n">
        <v>45814</v>
      </c>
      <c r="D140" s="3" t="inlineStr"/>
      <c r="E140" s="3" t="inlineStr">
        <is>
          <t>Irrelevant (Grad&lt;2020)</t>
        </is>
      </c>
    </row>
    <row r="141">
      <c r="A141" s="3" t="n">
        <v>1758648</v>
      </c>
      <c r="B141" s="3" t="inlineStr">
        <is>
          <t>Professional Certificate Course In Data Science - December 2024</t>
        </is>
      </c>
      <c r="C141" s="4" t="n">
        <v>45911</v>
      </c>
      <c r="D141" s="3" t="inlineStr"/>
      <c r="E141" s="3" t="inlineStr">
        <is>
          <t>Career Gap/ Non Working</t>
        </is>
      </c>
    </row>
    <row r="142">
      <c r="A142" s="3" t="n">
        <v>1901018</v>
      </c>
      <c r="B142" s="3" t="inlineStr">
        <is>
          <t>Professional Certificate Course In Data Science - December 2024</t>
        </is>
      </c>
      <c r="C142" s="4" t="n">
        <v>45839</v>
      </c>
      <c r="D142" s="3" t="inlineStr"/>
      <c r="E142" s="3" t="inlineStr">
        <is>
          <t>Relevant</t>
        </is>
      </c>
    </row>
    <row r="143">
      <c r="A143" s="3" t="n">
        <v>1993405</v>
      </c>
      <c r="B143" s="3" t="inlineStr">
        <is>
          <t>Professional Certificate Course In Data Science - December 2024</t>
        </is>
      </c>
      <c r="C143" s="4" t="n">
        <v>45796</v>
      </c>
      <c r="D143" s="3" t="inlineStr"/>
      <c r="E143" s="3" t="inlineStr">
        <is>
          <t>Irrelevant (Non Tech) (Grad&gt;2020)</t>
        </is>
      </c>
    </row>
    <row r="144">
      <c r="A144" s="3" t="n">
        <v>1995007</v>
      </c>
      <c r="B144" s="3" t="inlineStr">
        <is>
          <t>Professional Certificate Course In Data Science - December 2024</t>
        </is>
      </c>
      <c r="C144" s="4" t="n">
        <v>45840</v>
      </c>
      <c r="D144" s="3" t="inlineStr"/>
      <c r="E144" s="3" t="inlineStr">
        <is>
          <t>Irrelevant (Grad&lt;2020)</t>
        </is>
      </c>
    </row>
    <row r="145">
      <c r="A145" s="3" t="n">
        <v>1997250</v>
      </c>
      <c r="B145" s="3" t="inlineStr">
        <is>
          <t>Professional Certificate Course In Data Science - December 2024</t>
        </is>
      </c>
      <c r="C145" s="4" t="n">
        <v>45789</v>
      </c>
      <c r="D145" s="3" t="inlineStr"/>
      <c r="E145" s="3" t="inlineStr">
        <is>
          <t>Fresher</t>
        </is>
      </c>
    </row>
    <row r="146">
      <c r="A146" s="3" t="n">
        <v>2011808</v>
      </c>
      <c r="B146" s="3" t="inlineStr">
        <is>
          <t>Professional Certificate Course In Data Science - December 2024</t>
        </is>
      </c>
      <c r="C146" s="4" t="n">
        <v>45774</v>
      </c>
      <c r="D146" s="3" t="inlineStr"/>
      <c r="E146" s="3" t="inlineStr">
        <is>
          <t>Relevant</t>
        </is>
      </c>
    </row>
    <row r="147">
      <c r="A147" s="3" t="n">
        <v>2012378</v>
      </c>
      <c r="B147" s="3" t="inlineStr">
        <is>
          <t>Professional Certificate Course In Data Science - December 2024</t>
        </is>
      </c>
      <c r="C147" s="4" t="n">
        <v>45820</v>
      </c>
      <c r="D147" s="3" t="inlineStr"/>
      <c r="E147" s="3" t="inlineStr">
        <is>
          <t>Relevant</t>
        </is>
      </c>
    </row>
    <row r="148">
      <c r="A148" s="3" t="n">
        <v>2012381</v>
      </c>
      <c r="B148" s="3" t="inlineStr">
        <is>
          <t>Professional Certificate Course In Data Science - December 2024</t>
        </is>
      </c>
      <c r="C148" s="4" t="n">
        <v>45814</v>
      </c>
      <c r="D148" s="3" t="inlineStr"/>
      <c r="E148" s="3" t="inlineStr">
        <is>
          <t>Irrelevant (Non Tech) (Grad&gt;2020)</t>
        </is>
      </c>
    </row>
    <row r="149">
      <c r="A149" s="3" t="n">
        <v>2019936</v>
      </c>
      <c r="B149" s="3" t="inlineStr">
        <is>
          <t>Professional Certificate Course In Data Science - December 2024</t>
        </is>
      </c>
      <c r="C149" s="4" t="n">
        <v>45762</v>
      </c>
      <c r="D149" s="3" t="inlineStr"/>
      <c r="E149" s="3" t="inlineStr">
        <is>
          <t>Fresher</t>
        </is>
      </c>
    </row>
    <row r="150">
      <c r="A150" s="3" t="n">
        <v>2020004</v>
      </c>
      <c r="B150" s="3" t="inlineStr">
        <is>
          <t>Professional Certificate Course In Data Science - December 2024</t>
        </is>
      </c>
      <c r="C150" s="4" t="n">
        <v>45775</v>
      </c>
      <c r="D150" s="3" t="inlineStr"/>
      <c r="E150" s="3" t="inlineStr">
        <is>
          <t>Relevant</t>
        </is>
      </c>
    </row>
    <row r="151">
      <c r="A151" s="3" t="n">
        <v>2021042</v>
      </c>
      <c r="B151" s="3" t="inlineStr">
        <is>
          <t>Professional Certificate Course In Data Science - December 2024</t>
        </is>
      </c>
      <c r="C151" s="4" t="n">
        <v>45878</v>
      </c>
      <c r="D151" s="3" t="inlineStr"/>
      <c r="E151" s="3" t="inlineStr">
        <is>
          <t>Irrelevant (Non Tech) (Grad&gt;2020)</t>
        </is>
      </c>
    </row>
    <row r="152">
      <c r="A152" s="3" t="n">
        <v>2026953</v>
      </c>
      <c r="B152" s="3" t="inlineStr">
        <is>
          <t>Professional Certificate Course In Data Science - December 2024</t>
        </is>
      </c>
      <c r="C152" s="4" t="n">
        <v>45777</v>
      </c>
      <c r="D152" s="3" t="inlineStr"/>
      <c r="E152" s="3" t="inlineStr">
        <is>
          <t>Relevant</t>
        </is>
      </c>
    </row>
    <row r="153">
      <c r="A153" s="3" t="n">
        <v>2027279</v>
      </c>
      <c r="B153" s="3" t="inlineStr">
        <is>
          <t>Professional Certificate Course In Data Science - December 2024</t>
        </is>
      </c>
      <c r="C153" s="4" t="n">
        <v>45825</v>
      </c>
      <c r="D153" s="3" t="inlineStr"/>
      <c r="E153" s="3" t="inlineStr">
        <is>
          <t>Irrelevant (Non Tech) (Grad&gt;2020)</t>
        </is>
      </c>
    </row>
    <row r="154">
      <c r="A154" s="3" t="n">
        <v>2031897</v>
      </c>
      <c r="B154" s="3" t="inlineStr">
        <is>
          <t>Professional Certificate Course In Data Science - December 2024</t>
        </is>
      </c>
      <c r="C154" s="4" t="n">
        <v>45806</v>
      </c>
      <c r="D154" s="3" t="inlineStr"/>
      <c r="E154" s="3" t="inlineStr">
        <is>
          <t>Irrelevant (Non Tech) (Grad&gt;2020)</t>
        </is>
      </c>
    </row>
    <row r="155">
      <c r="A155" s="3" t="n">
        <v>2037833</v>
      </c>
      <c r="B155" s="3" t="inlineStr">
        <is>
          <t>Professional Certificate Course In Data Science - December 2024</t>
        </is>
      </c>
      <c r="C155" s="4" t="n">
        <v>45830</v>
      </c>
      <c r="D155" s="3" t="inlineStr"/>
      <c r="E155" s="3" t="inlineStr">
        <is>
          <t>Irrelevant (Non Tech) (Grad&gt;2020)</t>
        </is>
      </c>
    </row>
    <row r="156">
      <c r="A156" s="3" t="n">
        <v>2041143</v>
      </c>
      <c r="B156" s="3" t="inlineStr">
        <is>
          <t>Professional Certificate Course In Data Science - December 2024</t>
        </is>
      </c>
      <c r="C156" s="4" t="n">
        <v>45779</v>
      </c>
      <c r="D156" s="3" t="inlineStr"/>
      <c r="E156" s="3" t="inlineStr">
        <is>
          <t>Fresher</t>
        </is>
      </c>
    </row>
    <row r="157">
      <c r="A157" s="3" t="n">
        <v>2044175</v>
      </c>
      <c r="B157" s="3" t="inlineStr">
        <is>
          <t>Professional Certificate Course In Data Science - December 2024</t>
        </is>
      </c>
      <c r="C157" s="4" t="n">
        <v>45791</v>
      </c>
      <c r="D157" s="3" t="inlineStr"/>
      <c r="E157" s="3" t="inlineStr">
        <is>
          <t>Career Gap/ Non Working</t>
        </is>
      </c>
    </row>
    <row r="158">
      <c r="A158" s="3" t="n">
        <v>2045868</v>
      </c>
      <c r="B158" s="3" t="inlineStr">
        <is>
          <t>Professional Certificate Course In Data Science - December 2024</t>
        </is>
      </c>
      <c r="C158" s="4" t="n">
        <v>45904</v>
      </c>
      <c r="D158" s="3" t="inlineStr"/>
      <c r="E158" s="3" t="inlineStr">
        <is>
          <t>Irrelevant (Non Tech) (Grad&gt;2020)</t>
        </is>
      </c>
    </row>
    <row r="159">
      <c r="A159" s="3" t="n">
        <v>2046514</v>
      </c>
      <c r="B159" s="3" t="inlineStr">
        <is>
          <t>Professional Certificate Course In Data Science - December 2024</t>
        </is>
      </c>
      <c r="C159" s="4" t="n">
        <v>45786</v>
      </c>
      <c r="D159" s="3" t="inlineStr"/>
      <c r="E159" s="3" t="inlineStr">
        <is>
          <t>Fresher</t>
        </is>
      </c>
    </row>
    <row r="160">
      <c r="A160" s="3" t="n">
        <v>94841</v>
      </c>
      <c r="B160" s="3" t="inlineStr">
        <is>
          <t>Professional Certificate Course In Data Science - February 2024</t>
        </is>
      </c>
      <c r="C160" s="4" t="n">
        <v>45559</v>
      </c>
      <c r="D160" s="3" t="inlineStr"/>
      <c r="E160" s="3" t="inlineStr">
        <is>
          <t>Career Gap/ Non Working</t>
        </is>
      </c>
    </row>
    <row r="161">
      <c r="A161" s="3" t="n">
        <v>145852</v>
      </c>
      <c r="B161" s="3" t="inlineStr">
        <is>
          <t>Professional Certificate Course In Data Science - February 2024</t>
        </is>
      </c>
      <c r="C161" s="4" t="n">
        <v>45594</v>
      </c>
      <c r="D161" s="3" t="inlineStr"/>
      <c r="E161" s="3" t="inlineStr">
        <is>
          <t>Irrelevant (Tech/IT)</t>
        </is>
      </c>
    </row>
    <row r="162">
      <c r="A162" s="3" t="n">
        <v>1061886</v>
      </c>
      <c r="B162" s="3" t="inlineStr">
        <is>
          <t>Professional Certificate Course In Data Science - February 2024</t>
        </is>
      </c>
      <c r="C162" s="4" t="n">
        <v>45590</v>
      </c>
      <c r="D162" s="3" t="inlineStr"/>
      <c r="E162" s="3" t="inlineStr">
        <is>
          <t>Career Gap/ Non Working</t>
        </is>
      </c>
    </row>
    <row r="163">
      <c r="A163" s="3" t="n">
        <v>1189777</v>
      </c>
      <c r="B163" s="3" t="inlineStr">
        <is>
          <t>Professional Certificate Course In Data Science - February 2024</t>
        </is>
      </c>
      <c r="C163" s="4" t="n">
        <v>45594</v>
      </c>
      <c r="D163" s="3" t="inlineStr"/>
      <c r="E163" s="3" t="inlineStr">
        <is>
          <t>Irrelevant (Tech/IT)</t>
        </is>
      </c>
    </row>
    <row r="164">
      <c r="A164" s="3" t="n">
        <v>1354736</v>
      </c>
      <c r="B164" s="3" t="inlineStr">
        <is>
          <t>Professional Certificate Course In Data Science - February 2024</t>
        </is>
      </c>
      <c r="C164" s="4" t="n">
        <v>45443</v>
      </c>
      <c r="D164" s="3" t="inlineStr"/>
      <c r="E164" s="3" t="inlineStr"/>
    </row>
    <row r="165">
      <c r="A165" s="3" t="n">
        <v>1552110</v>
      </c>
      <c r="B165" s="3" t="inlineStr">
        <is>
          <t>Professional Certificate Course In Data Science - February 2024</t>
        </is>
      </c>
      <c r="C165" s="4" t="n">
        <v>45594</v>
      </c>
      <c r="D165" s="3" t="inlineStr"/>
      <c r="E165" s="3" t="inlineStr"/>
    </row>
    <row r="166">
      <c r="A166" s="3" t="n">
        <v>1597460</v>
      </c>
      <c r="B166" s="3" t="inlineStr">
        <is>
          <t>Professional Certificate Course In Data Science - February 2024</t>
        </is>
      </c>
      <c r="C166" s="4" t="n">
        <v>45594</v>
      </c>
      <c r="D166" s="3" t="inlineStr"/>
      <c r="E166" s="3" t="inlineStr">
        <is>
          <t>Career Gap/ Non Working</t>
        </is>
      </c>
    </row>
    <row r="167">
      <c r="A167" s="3" t="n">
        <v>1649214</v>
      </c>
      <c r="B167" s="3" t="inlineStr">
        <is>
          <t>Professional Certificate Course In Data Science - February 2024</t>
        </is>
      </c>
      <c r="C167" s="4" t="n">
        <v>45735</v>
      </c>
      <c r="D167" s="3" t="inlineStr"/>
      <c r="E167" s="3" t="inlineStr">
        <is>
          <t>Irrelevant (Non Tech) (Grad&gt;2020)</t>
        </is>
      </c>
    </row>
    <row r="168">
      <c r="A168" s="3" t="n">
        <v>1657480</v>
      </c>
      <c r="B168" s="3" t="inlineStr">
        <is>
          <t>Professional Certificate Course In Data Science - February 2024</t>
        </is>
      </c>
      <c r="C168" s="4" t="n">
        <v>45632</v>
      </c>
      <c r="D168" s="3" t="inlineStr"/>
      <c r="E168" s="3" t="inlineStr">
        <is>
          <t>Relevant</t>
        </is>
      </c>
    </row>
    <row r="169">
      <c r="A169" s="3" t="n">
        <v>1658231</v>
      </c>
      <c r="B169" s="3" t="inlineStr">
        <is>
          <t>Professional Certificate Course In Data Science - February 2024</t>
        </is>
      </c>
      <c r="C169" s="4" t="n">
        <v>45480</v>
      </c>
      <c r="D169" s="3" t="inlineStr"/>
      <c r="E169" s="3" t="inlineStr">
        <is>
          <t>Relevant</t>
        </is>
      </c>
    </row>
    <row r="170">
      <c r="A170" s="3" t="n">
        <v>1659861</v>
      </c>
      <c r="B170" s="3" t="inlineStr">
        <is>
          <t>Professional Certificate Course In Data Science - February 2024</t>
        </is>
      </c>
      <c r="C170" s="4" t="n">
        <v>45594</v>
      </c>
      <c r="D170" s="3" t="inlineStr"/>
      <c r="E170" s="3" t="inlineStr">
        <is>
          <t>Fresher</t>
        </is>
      </c>
    </row>
    <row r="171">
      <c r="A171" s="3" t="n">
        <v>1660767</v>
      </c>
      <c r="B171" s="3" t="inlineStr">
        <is>
          <t>Professional Certificate Course In Data Science - February 2024</t>
        </is>
      </c>
      <c r="C171" s="4" t="n">
        <v>45594</v>
      </c>
      <c r="D171" s="3" t="inlineStr"/>
      <c r="E171" s="3" t="inlineStr">
        <is>
          <t>Irrelevant (Tech/IT)</t>
        </is>
      </c>
    </row>
    <row r="172">
      <c r="A172" s="3" t="n">
        <v>1665378</v>
      </c>
      <c r="B172" s="3" t="inlineStr">
        <is>
          <t>Professional Certificate Course In Data Science - February 2024</t>
        </is>
      </c>
      <c r="C172" s="4" t="n">
        <v>45594</v>
      </c>
      <c r="D172" s="3" t="inlineStr"/>
      <c r="E172" s="3" t="inlineStr"/>
    </row>
    <row r="173">
      <c r="A173" s="3" t="n">
        <v>1704408</v>
      </c>
      <c r="B173" s="3" t="inlineStr">
        <is>
          <t>Professional Certificate Course In Data Science - February 2024</t>
        </is>
      </c>
      <c r="C173" s="4" t="n">
        <v>45512</v>
      </c>
      <c r="D173" s="3" t="inlineStr"/>
      <c r="E173" s="3" t="inlineStr">
        <is>
          <t>Fresher</t>
        </is>
      </c>
    </row>
    <row r="174">
      <c r="A174" s="3" t="n">
        <v>641583</v>
      </c>
      <c r="B174" s="3" t="inlineStr">
        <is>
          <t>Professional Certificate Course In Data Science - February 2025</t>
        </is>
      </c>
      <c r="C174" s="4" t="n">
        <v>45904</v>
      </c>
      <c r="D174" s="3" t="inlineStr"/>
      <c r="E174" s="3" t="inlineStr">
        <is>
          <t>Career Gap/ Non Working</t>
        </is>
      </c>
    </row>
    <row r="175">
      <c r="A175" s="3" t="n">
        <v>53614</v>
      </c>
      <c r="B175" s="3" t="inlineStr">
        <is>
          <t>Professional Certificate Course In Data Science - February 2025</t>
        </is>
      </c>
      <c r="C175" s="4" t="n">
        <v>45874</v>
      </c>
      <c r="D175" s="3" t="inlineStr"/>
      <c r="E175" s="3" t="inlineStr">
        <is>
          <t>Fresher</t>
        </is>
      </c>
    </row>
    <row r="176">
      <c r="A176" s="3" t="n">
        <v>233103</v>
      </c>
      <c r="B176" s="3" t="inlineStr">
        <is>
          <t>Professional Certificate Course In Data Science - February 2025</t>
        </is>
      </c>
      <c r="C176" s="4" t="n">
        <v>45911</v>
      </c>
      <c r="D176" s="3" t="inlineStr"/>
      <c r="E176" s="3" t="inlineStr">
        <is>
          <t>Career Gap/ Non Working</t>
        </is>
      </c>
    </row>
    <row r="177">
      <c r="A177" s="3" t="n">
        <v>736904</v>
      </c>
      <c r="B177" s="3" t="inlineStr">
        <is>
          <t>Professional Certificate Course In Data Science - February 2025</t>
        </is>
      </c>
      <c r="C177" s="4" t="n">
        <v>45972</v>
      </c>
      <c r="D177" s="3" t="inlineStr"/>
      <c r="E177" s="3" t="inlineStr">
        <is>
          <t>Fresher</t>
        </is>
      </c>
    </row>
    <row r="178">
      <c r="A178" s="3" t="n">
        <v>820169</v>
      </c>
      <c r="B178" s="3" t="inlineStr">
        <is>
          <t>Professional Certificate Course In Data Science - February 2025</t>
        </is>
      </c>
      <c r="C178" s="4" t="n">
        <v>45967</v>
      </c>
      <c r="D178" s="3" t="inlineStr"/>
      <c r="E178" s="3" t="inlineStr">
        <is>
          <t>Relevant</t>
        </is>
      </c>
    </row>
    <row r="179">
      <c r="A179" s="3" t="n">
        <v>1020732</v>
      </c>
      <c r="B179" s="3" t="inlineStr">
        <is>
          <t>Professional Certificate Course In Data Science - February 2025</t>
        </is>
      </c>
      <c r="C179" s="4" t="n">
        <v>45815</v>
      </c>
      <c r="D179" s="3" t="inlineStr"/>
      <c r="E179" s="3" t="inlineStr">
        <is>
          <t>Relevant</t>
        </is>
      </c>
    </row>
    <row r="180">
      <c r="A180" s="3" t="n">
        <v>1086337</v>
      </c>
      <c r="B180" s="3" t="inlineStr">
        <is>
          <t>Professional Certificate Course In Data Science - February 2025</t>
        </is>
      </c>
      <c r="C180" s="4" t="n">
        <v>46160</v>
      </c>
      <c r="D180" s="3" t="inlineStr"/>
      <c r="E180" s="3" t="inlineStr">
        <is>
          <t>Career Gap/ Non Working</t>
        </is>
      </c>
    </row>
    <row r="181">
      <c r="A181" s="3" t="n">
        <v>1417903</v>
      </c>
      <c r="B181" s="3" t="inlineStr">
        <is>
          <t>Professional Certificate Course In Data Science - February 2025</t>
        </is>
      </c>
      <c r="C181" s="4" t="n">
        <v>45839</v>
      </c>
      <c r="D181" s="3" t="inlineStr"/>
      <c r="E181" s="3" t="inlineStr">
        <is>
          <t>Irrelevant (Non Tech) (Grad&gt;2020)</t>
        </is>
      </c>
    </row>
    <row r="182">
      <c r="A182" s="3" t="n">
        <v>1690208</v>
      </c>
      <c r="B182" s="3" t="inlineStr">
        <is>
          <t>Professional Certificate Course In Data Science - February 2025</t>
        </is>
      </c>
      <c r="C182" s="4" t="n">
        <v>45967</v>
      </c>
      <c r="D182" s="3" t="inlineStr"/>
      <c r="E182" s="3" t="inlineStr">
        <is>
          <t>Career Gap/ Non Working</t>
        </is>
      </c>
    </row>
    <row r="183">
      <c r="A183" s="3" t="n">
        <v>1881526</v>
      </c>
      <c r="B183" s="3" t="inlineStr">
        <is>
          <t>Professional Certificate Course In Data Science - February 2025</t>
        </is>
      </c>
      <c r="C183" s="4" t="n">
        <v>45905</v>
      </c>
      <c r="D183" s="3" t="inlineStr"/>
      <c r="E183" s="3" t="inlineStr">
        <is>
          <t>Fresher</t>
        </is>
      </c>
    </row>
    <row r="184">
      <c r="A184" s="3" t="n">
        <v>2003489</v>
      </c>
      <c r="B184" s="3" t="inlineStr">
        <is>
          <t>Professional Certificate Course In Data Science - February 2025</t>
        </is>
      </c>
      <c r="C184" s="4" t="n">
        <v>45967</v>
      </c>
      <c r="D184" s="3" t="inlineStr"/>
      <c r="E184" s="3" t="inlineStr">
        <is>
          <t>Irrelevant (Non Tech) (Grad&gt;2020)</t>
        </is>
      </c>
    </row>
    <row r="185">
      <c r="A185" s="3" t="n">
        <v>2008718</v>
      </c>
      <c r="B185" s="3" t="inlineStr">
        <is>
          <t>Professional Certificate Course In Data Science - February 2025</t>
        </is>
      </c>
      <c r="C185" s="4" t="n">
        <v>46027</v>
      </c>
      <c r="D185" s="3" t="inlineStr"/>
      <c r="E185" s="3" t="inlineStr">
        <is>
          <t>Fresher</t>
        </is>
      </c>
    </row>
    <row r="186">
      <c r="A186" s="3" t="n">
        <v>2028477</v>
      </c>
      <c r="B186" s="3" t="inlineStr">
        <is>
          <t>Professional Certificate Course In Data Science - February 2025</t>
        </is>
      </c>
      <c r="C186" s="4" t="n">
        <v>46014</v>
      </c>
      <c r="D186" s="3" t="inlineStr"/>
      <c r="E186" s="3" t="inlineStr">
        <is>
          <t>Career Gap/ Non Working</t>
        </is>
      </c>
    </row>
    <row r="187">
      <c r="A187" s="3" t="n">
        <v>2066439</v>
      </c>
      <c r="B187" s="3" t="inlineStr">
        <is>
          <t>Professional Certificate Course In Data Science - February 2025</t>
        </is>
      </c>
      <c r="C187" s="4" t="n">
        <v>45920</v>
      </c>
      <c r="D187" s="3" t="inlineStr"/>
      <c r="E187" s="3" t="inlineStr">
        <is>
          <t>Fresher</t>
        </is>
      </c>
    </row>
    <row r="188">
      <c r="A188" s="3" t="n">
        <v>2088055</v>
      </c>
      <c r="B188" s="3" t="inlineStr">
        <is>
          <t>Professional Certificate Course In Data Science - February 2025</t>
        </is>
      </c>
      <c r="C188" s="4" t="n">
        <v>45908</v>
      </c>
      <c r="D188" s="3" t="inlineStr"/>
      <c r="E188" s="3" t="inlineStr">
        <is>
          <t>Relevant</t>
        </is>
      </c>
    </row>
    <row r="189">
      <c r="A189" s="3" t="n">
        <v>2088254</v>
      </c>
      <c r="B189" s="3" t="inlineStr">
        <is>
          <t>Professional Certificate Course In Data Science - February 2025</t>
        </is>
      </c>
      <c r="C189" s="4" t="n">
        <v>46140</v>
      </c>
      <c r="D189" s="3" t="inlineStr"/>
      <c r="E189" s="3" t="inlineStr">
        <is>
          <t>Career Gap/ Non Working</t>
        </is>
      </c>
    </row>
    <row r="190">
      <c r="A190" s="3" t="n">
        <v>2088523</v>
      </c>
      <c r="B190" s="3" t="inlineStr">
        <is>
          <t>Professional Certificate Course In Data Science - February 2025</t>
        </is>
      </c>
      <c r="C190" s="4" t="n">
        <v>45835</v>
      </c>
      <c r="D190" s="3" t="inlineStr"/>
      <c r="E190" s="3" t="inlineStr">
        <is>
          <t>Fresher</t>
        </is>
      </c>
    </row>
    <row r="191">
      <c r="A191" s="3" t="n">
        <v>2088920</v>
      </c>
      <c r="B191" s="3" t="inlineStr">
        <is>
          <t>Professional Certificate Course In Data Science - February 2025</t>
        </is>
      </c>
      <c r="C191" s="4" t="n">
        <v>45967</v>
      </c>
      <c r="D191" s="3" t="inlineStr"/>
      <c r="E191" s="3" t="inlineStr">
        <is>
          <t>Irrelevant (Non Tech) (Grad&gt;2020)</t>
        </is>
      </c>
    </row>
    <row r="192">
      <c r="A192" s="3" t="n">
        <v>2090212</v>
      </c>
      <c r="B192" s="3" t="inlineStr">
        <is>
          <t>Professional Certificate Course In Data Science - February 2025</t>
        </is>
      </c>
      <c r="C192" s="4" t="n">
        <v>45834</v>
      </c>
      <c r="D192" s="3" t="inlineStr"/>
      <c r="E192" s="3" t="inlineStr">
        <is>
          <t>Fresher</t>
        </is>
      </c>
    </row>
    <row r="193">
      <c r="A193" s="3" t="n">
        <v>2091525</v>
      </c>
      <c r="B193" s="3" t="inlineStr">
        <is>
          <t>Professional Certificate Course In Data Science - February 2025</t>
        </is>
      </c>
      <c r="C193" s="4" t="n">
        <v>45835</v>
      </c>
      <c r="D193" s="3" t="inlineStr"/>
      <c r="E193" s="3" t="inlineStr">
        <is>
          <t>Career Gap/ Non Working</t>
        </is>
      </c>
    </row>
    <row r="194">
      <c r="A194" s="3" t="n">
        <v>2092346</v>
      </c>
      <c r="B194" s="3" t="inlineStr">
        <is>
          <t>Professional Certificate Course In Data Science - February 2025</t>
        </is>
      </c>
      <c r="C194" s="4" t="n">
        <v>46087</v>
      </c>
      <c r="D194" s="3" t="inlineStr"/>
      <c r="E194" s="3" t="inlineStr">
        <is>
          <t>Irrelevant (Tech/IT)</t>
        </is>
      </c>
    </row>
    <row r="195">
      <c r="A195" s="3" t="n">
        <v>2097845</v>
      </c>
      <c r="B195" s="3" t="inlineStr">
        <is>
          <t>Professional Certificate Course In Data Science - February 2025</t>
        </is>
      </c>
      <c r="C195" s="4" t="n">
        <v>45911</v>
      </c>
      <c r="D195" s="3" t="inlineStr"/>
      <c r="E195" s="3" t="inlineStr">
        <is>
          <t>Relevant</t>
        </is>
      </c>
    </row>
    <row r="196">
      <c r="A196" s="3" t="n">
        <v>2113427</v>
      </c>
      <c r="B196" s="3" t="inlineStr">
        <is>
          <t>Professional Certificate Course In Data Science - February 2025</t>
        </is>
      </c>
      <c r="C196" s="4" t="n">
        <v>45948</v>
      </c>
      <c r="D196" s="3" t="inlineStr"/>
      <c r="E196" s="3" t="inlineStr">
        <is>
          <t>Fresher</t>
        </is>
      </c>
    </row>
    <row r="197">
      <c r="A197" s="3" t="n">
        <v>2125579</v>
      </c>
      <c r="B197" s="3" t="inlineStr">
        <is>
          <t>Professional Certificate Course In Data Science - February 2025</t>
        </is>
      </c>
      <c r="C197" s="4" t="n">
        <v>46028</v>
      </c>
      <c r="D197" s="3" t="inlineStr"/>
      <c r="E197" s="3" t="inlineStr">
        <is>
          <t>Irrelevant (Non Tech) (Grad&gt;2020)</t>
        </is>
      </c>
    </row>
    <row r="198">
      <c r="A198" s="3" t="n">
        <v>2130874</v>
      </c>
      <c r="B198" s="3" t="inlineStr">
        <is>
          <t>Professional Certificate Course In Data Science - February 2025</t>
        </is>
      </c>
      <c r="C198" s="4" t="n">
        <v>45842</v>
      </c>
      <c r="D198" s="3" t="inlineStr"/>
      <c r="E198" s="3" t="inlineStr">
        <is>
          <t>Relevant</t>
        </is>
      </c>
    </row>
    <row r="199">
      <c r="A199" s="3" t="n">
        <v>66071</v>
      </c>
      <c r="B199" s="3" t="inlineStr">
        <is>
          <t>Professional Certificate Course In Data Science - January 2024</t>
        </is>
      </c>
      <c r="C199" s="4" t="n">
        <v>45594</v>
      </c>
      <c r="D199" s="3" t="inlineStr"/>
      <c r="E199" s="3" t="inlineStr">
        <is>
          <t>Relevant</t>
        </is>
      </c>
    </row>
    <row r="200">
      <c r="A200" s="3" t="n">
        <v>280424</v>
      </c>
      <c r="B200" s="3" t="inlineStr">
        <is>
          <t>Professional Certificate Course In Data Science - January 2024</t>
        </is>
      </c>
      <c r="C200" s="4" t="n">
        <v>45594</v>
      </c>
      <c r="D200" s="3" t="inlineStr"/>
      <c r="E200" s="3" t="inlineStr">
        <is>
          <t>Irrelevant (Tech/IT)</t>
        </is>
      </c>
    </row>
    <row r="201">
      <c r="A201" s="3" t="n">
        <v>784009</v>
      </c>
      <c r="B201" s="3" t="inlineStr">
        <is>
          <t>Professional Certificate Course In Data Science - January 2024</t>
        </is>
      </c>
      <c r="C201" s="4" t="n">
        <v>45594</v>
      </c>
      <c r="D201" s="3" t="inlineStr"/>
      <c r="E201" s="3" t="inlineStr">
        <is>
          <t>Relevant</t>
        </is>
      </c>
    </row>
    <row r="202">
      <c r="A202" s="3" t="n">
        <v>899736</v>
      </c>
      <c r="B202" s="3" t="inlineStr">
        <is>
          <t>Professional Certificate Course In Data Science - January 2024</t>
        </is>
      </c>
      <c r="C202" s="4" t="n">
        <v>45594</v>
      </c>
      <c r="D202" s="3" t="inlineStr"/>
      <c r="E202" s="3" t="inlineStr"/>
    </row>
    <row r="203">
      <c r="A203" s="3" t="n">
        <v>1333521</v>
      </c>
      <c r="B203" s="3" t="inlineStr">
        <is>
          <t>Professional Certificate Course In Data Science - January 2024</t>
        </is>
      </c>
      <c r="C203" s="4" t="n">
        <v>45618</v>
      </c>
      <c r="D203" s="3" t="inlineStr"/>
      <c r="E203" s="3" t="inlineStr">
        <is>
          <t>Irrelevant (Non Tech) (Grad&gt;2020)</t>
        </is>
      </c>
    </row>
    <row r="204">
      <c r="A204" s="3" t="n">
        <v>1398471</v>
      </c>
      <c r="B204" s="3" t="inlineStr">
        <is>
          <t>Professional Certificate Course In Data Science - January 2024</t>
        </is>
      </c>
      <c r="C204" s="4" t="n">
        <v>45461</v>
      </c>
      <c r="D204" s="3" t="inlineStr"/>
      <c r="E204" s="3" t="inlineStr">
        <is>
          <t>Irrelevant (Grad&lt;2020)</t>
        </is>
      </c>
    </row>
    <row r="205">
      <c r="A205" s="3" t="n">
        <v>1461306</v>
      </c>
      <c r="B205" s="3" t="inlineStr">
        <is>
          <t>Professional Certificate Course In Data Science - January 2024</t>
        </is>
      </c>
      <c r="C205" s="4" t="n">
        <v>45594</v>
      </c>
      <c r="D205" s="3" t="inlineStr"/>
      <c r="E205" s="3" t="inlineStr">
        <is>
          <t>Irrelevant (Grad&lt;2020)</t>
        </is>
      </c>
    </row>
    <row r="206">
      <c r="A206" s="3" t="n">
        <v>1488024</v>
      </c>
      <c r="B206" s="3" t="inlineStr">
        <is>
          <t>Professional Certificate Course In Data Science - January 2024</t>
        </is>
      </c>
      <c r="C206" s="4" t="n">
        <v>45699</v>
      </c>
      <c r="D206" s="3" t="inlineStr"/>
      <c r="E206" s="3" t="inlineStr">
        <is>
          <t>Fresher</t>
        </is>
      </c>
    </row>
    <row r="207">
      <c r="A207" s="3" t="n">
        <v>1539120</v>
      </c>
      <c r="B207" s="3" t="inlineStr">
        <is>
          <t>Professional Certificate Course In Data Science - January 2024</t>
        </is>
      </c>
      <c r="C207" s="4" t="n">
        <v>45601</v>
      </c>
      <c r="D207" s="3" t="inlineStr"/>
      <c r="E207" s="3" t="inlineStr">
        <is>
          <t>Irrelevant (Non Tech) (Grad&gt;2020)</t>
        </is>
      </c>
    </row>
    <row r="208">
      <c r="A208" s="3" t="n">
        <v>1539775</v>
      </c>
      <c r="B208" s="3" t="inlineStr">
        <is>
          <t>Professional Certificate Course In Data Science - January 2024</t>
        </is>
      </c>
      <c r="C208" s="4" t="n">
        <v>45479</v>
      </c>
      <c r="D208" s="3" t="inlineStr"/>
      <c r="E208" s="3" t="inlineStr"/>
    </row>
    <row r="209">
      <c r="A209" s="3" t="n">
        <v>1599886</v>
      </c>
      <c r="B209" s="3" t="inlineStr">
        <is>
          <t>Professional Certificate Course In Data Science - January 2024</t>
        </is>
      </c>
      <c r="C209" s="4" t="n">
        <v>45479</v>
      </c>
      <c r="D209" s="3" t="inlineStr"/>
      <c r="E209" s="3" t="inlineStr">
        <is>
          <t>Irrelevant (Grad&lt;2020)</t>
        </is>
      </c>
    </row>
    <row r="210">
      <c r="A210" s="3" t="n">
        <v>1612485</v>
      </c>
      <c r="B210" s="3" t="inlineStr">
        <is>
          <t>Professional Certificate Course In Data Science - January 2024</t>
        </is>
      </c>
      <c r="C210" s="4" t="n">
        <v>45601</v>
      </c>
      <c r="D210" s="3" t="inlineStr"/>
      <c r="E210" s="3" t="inlineStr">
        <is>
          <t>Relevant</t>
        </is>
      </c>
    </row>
    <row r="211">
      <c r="A211" s="3" t="n">
        <v>1612541</v>
      </c>
      <c r="B211" s="3" t="inlineStr">
        <is>
          <t>Professional Certificate Course In Data Science - January 2024</t>
        </is>
      </c>
      <c r="C211" s="4" t="n">
        <v>45601</v>
      </c>
      <c r="D211" s="3" t="inlineStr"/>
      <c r="E211" s="3" t="inlineStr">
        <is>
          <t>Irrelevant (Grad&lt;2020)</t>
        </is>
      </c>
    </row>
    <row r="212">
      <c r="A212" s="3" t="n">
        <v>1612668</v>
      </c>
      <c r="B212" s="3" t="inlineStr">
        <is>
          <t>Professional Certificate Course In Data Science - January 2024</t>
        </is>
      </c>
      <c r="C212" s="4" t="n">
        <v>45453</v>
      </c>
      <c r="D212" s="3" t="inlineStr"/>
      <c r="E212" s="3" t="inlineStr"/>
    </row>
    <row r="213">
      <c r="A213" s="3" t="n">
        <v>1624132</v>
      </c>
      <c r="B213" s="3" t="inlineStr">
        <is>
          <t>Professional Certificate Course In Data Science - January 2024</t>
        </is>
      </c>
      <c r="C213" s="4" t="n">
        <v>45594</v>
      </c>
      <c r="D213" s="3" t="inlineStr"/>
      <c r="E213" s="3" t="inlineStr">
        <is>
          <t>Irrelevant (Tech/IT)</t>
        </is>
      </c>
    </row>
    <row r="214">
      <c r="A214" s="3" t="n">
        <v>1635589</v>
      </c>
      <c r="B214" s="3" t="inlineStr">
        <is>
          <t>Professional Certificate Course In Data Science - January 2024</t>
        </is>
      </c>
      <c r="C214" s="4" t="n">
        <v>45601</v>
      </c>
      <c r="D214" s="3" t="inlineStr"/>
      <c r="E214" s="3" t="inlineStr">
        <is>
          <t>Fresher</t>
        </is>
      </c>
    </row>
    <row r="215">
      <c r="A215" s="3" t="n">
        <v>1675754</v>
      </c>
      <c r="B215" s="3" t="inlineStr">
        <is>
          <t>Professional Certificate Course In Data Science - January 2024</t>
        </is>
      </c>
      <c r="C215" s="4" t="n">
        <v>45594</v>
      </c>
      <c r="D215" s="3" t="inlineStr"/>
      <c r="E215" s="3" t="inlineStr"/>
    </row>
    <row r="216">
      <c r="A216" s="3" t="n">
        <v>1686804</v>
      </c>
      <c r="B216" s="3" t="inlineStr">
        <is>
          <t>Professional Certificate Course In Data Science - January 2024</t>
        </is>
      </c>
      <c r="C216" s="4" t="n">
        <v>45594</v>
      </c>
      <c r="D216" s="3" t="inlineStr"/>
      <c r="E216" s="3" t="inlineStr">
        <is>
          <t>Relevant</t>
        </is>
      </c>
    </row>
    <row r="217">
      <c r="A217" s="3" t="n">
        <v>198669</v>
      </c>
      <c r="B217" s="3" t="inlineStr">
        <is>
          <t>Professional Certificate Course In Data Science - January 2025</t>
        </is>
      </c>
      <c r="C217" s="4" t="n">
        <v>45802</v>
      </c>
      <c r="D217" s="3" t="inlineStr"/>
      <c r="E217" s="3" t="inlineStr">
        <is>
          <t>Relevant</t>
        </is>
      </c>
    </row>
    <row r="218">
      <c r="A218" s="3" t="n">
        <v>317452</v>
      </c>
      <c r="B218" s="3" t="inlineStr">
        <is>
          <t>Professional Certificate Course In Data Science - January 2025</t>
        </is>
      </c>
      <c r="C218" s="4" t="n">
        <v>45783</v>
      </c>
      <c r="D218" s="3" t="inlineStr"/>
      <c r="E218" s="3" t="inlineStr">
        <is>
          <t>Irrelevant (Tech/IT)</t>
        </is>
      </c>
    </row>
    <row r="219">
      <c r="A219" s="3" t="n">
        <v>447433</v>
      </c>
      <c r="B219" s="3" t="inlineStr">
        <is>
          <t>Professional Certificate Course In Data Science - January 2025</t>
        </is>
      </c>
      <c r="C219" s="4" t="n">
        <v>46007</v>
      </c>
      <c r="D219" s="3" t="inlineStr"/>
      <c r="E219" s="3" t="inlineStr">
        <is>
          <t>Irrelevant (Tech/IT)</t>
        </is>
      </c>
    </row>
    <row r="220">
      <c r="A220" s="3" t="n">
        <v>885466</v>
      </c>
      <c r="B220" s="3" t="inlineStr">
        <is>
          <t>Professional Certificate Course In Data Science - January 2025</t>
        </is>
      </c>
      <c r="C220" s="4" t="n">
        <v>45895</v>
      </c>
      <c r="D220" s="3" t="inlineStr"/>
      <c r="E220" s="3" t="inlineStr">
        <is>
          <t>Fresher</t>
        </is>
      </c>
    </row>
    <row r="221">
      <c r="A221" s="3" t="n">
        <v>1333356</v>
      </c>
      <c r="B221" s="3" t="inlineStr">
        <is>
          <t>Professional Certificate Course In Data Science - January 2025</t>
        </is>
      </c>
      <c r="C221" s="4" t="n">
        <v>45917</v>
      </c>
      <c r="D221" s="3" t="inlineStr"/>
      <c r="E221" s="3" t="inlineStr">
        <is>
          <t>Irrelevant (Non Tech) (Grad&gt;2020)</t>
        </is>
      </c>
    </row>
    <row r="222">
      <c r="A222" s="3" t="n">
        <v>1499811</v>
      </c>
      <c r="B222" s="3" t="inlineStr">
        <is>
          <t>Professional Certificate Course In Data Science - January 2025</t>
        </is>
      </c>
      <c r="C222" s="4" t="n">
        <v>45779</v>
      </c>
      <c r="D222" s="3" t="inlineStr"/>
      <c r="E222" s="3" t="inlineStr">
        <is>
          <t>Fresher</t>
        </is>
      </c>
    </row>
    <row r="223">
      <c r="A223" s="3" t="n">
        <v>1540103</v>
      </c>
      <c r="B223" s="3" t="inlineStr">
        <is>
          <t>Professional Certificate Course In Data Science - January 2025</t>
        </is>
      </c>
      <c r="C223" s="4" t="n">
        <v>45888</v>
      </c>
      <c r="D223" s="3" t="inlineStr"/>
      <c r="E223" s="3" t="inlineStr">
        <is>
          <t>Irrelevant (Non Tech) (Grad&gt;2020)</t>
        </is>
      </c>
    </row>
    <row r="224">
      <c r="A224" s="3" t="n">
        <v>1692395</v>
      </c>
      <c r="B224" s="3" t="inlineStr">
        <is>
          <t>Professional Certificate Course In Data Science - January 2025</t>
        </is>
      </c>
      <c r="C224" s="4" t="n">
        <v>45746</v>
      </c>
      <c r="D224" s="3" t="inlineStr"/>
      <c r="E224" s="3" t="inlineStr">
        <is>
          <t>Irrelevant (Tech/IT)</t>
        </is>
      </c>
    </row>
    <row r="225">
      <c r="A225" s="3" t="n">
        <v>1706794</v>
      </c>
      <c r="B225" s="3" t="inlineStr">
        <is>
          <t>Professional Certificate Course In Data Science - January 2025</t>
        </is>
      </c>
      <c r="C225" s="4" t="n">
        <v>45945</v>
      </c>
      <c r="D225" s="3" t="inlineStr"/>
      <c r="E225" s="3" t="inlineStr">
        <is>
          <t>Relevant</t>
        </is>
      </c>
    </row>
    <row r="226">
      <c r="A226" s="3" t="n">
        <v>2009967</v>
      </c>
      <c r="B226" s="3" t="inlineStr">
        <is>
          <t>Professional Certificate Course In Data Science - January 2025</t>
        </is>
      </c>
      <c r="C226" s="4" t="n">
        <v>46079</v>
      </c>
      <c r="D226" s="3" t="inlineStr"/>
      <c r="E226" s="3" t="inlineStr">
        <is>
          <t>Irrelevant (Non Tech) (Grad&gt;2020)</t>
        </is>
      </c>
    </row>
    <row r="227">
      <c r="A227" s="3" t="n">
        <v>2017898</v>
      </c>
      <c r="B227" s="3" t="inlineStr">
        <is>
          <t>Professional Certificate Course In Data Science - January 2025</t>
        </is>
      </c>
      <c r="C227" s="4" t="n">
        <v>45982</v>
      </c>
      <c r="D227" s="3" t="inlineStr"/>
      <c r="E227" s="3" t="inlineStr">
        <is>
          <t>Career Gap/ Non Working</t>
        </is>
      </c>
    </row>
    <row r="228">
      <c r="A228" s="3" t="n">
        <v>2024846</v>
      </c>
      <c r="B228" s="3" t="inlineStr">
        <is>
          <t>Professional Certificate Course In Data Science - January 2025</t>
        </is>
      </c>
      <c r="C228" s="4" t="n">
        <v>45919</v>
      </c>
      <c r="D228" s="3" t="inlineStr"/>
      <c r="E228" s="3" t="inlineStr">
        <is>
          <t>Career Gap/ Non Working</t>
        </is>
      </c>
    </row>
    <row r="229">
      <c r="A229" s="3" t="n">
        <v>2050026</v>
      </c>
      <c r="B229" s="3" t="inlineStr">
        <is>
          <t>Professional Certificate Course In Data Science - January 2025</t>
        </is>
      </c>
      <c r="C229" s="4" t="n">
        <v>45901</v>
      </c>
      <c r="D229" s="3" t="inlineStr"/>
      <c r="E229" s="3" t="inlineStr">
        <is>
          <t>Fresher</t>
        </is>
      </c>
    </row>
    <row r="230">
      <c r="A230" s="3" t="n">
        <v>2058426</v>
      </c>
      <c r="B230" s="3" t="inlineStr">
        <is>
          <t>Professional Certificate Course In Data Science - January 2025</t>
        </is>
      </c>
      <c r="C230" s="4" t="n">
        <v>45785</v>
      </c>
      <c r="D230" s="3" t="inlineStr"/>
      <c r="E230" s="3" t="inlineStr">
        <is>
          <t>Relevant</t>
        </is>
      </c>
    </row>
    <row r="231">
      <c r="A231" s="3" t="n">
        <v>2058598</v>
      </c>
      <c r="B231" s="3" t="inlineStr">
        <is>
          <t>Professional Certificate Course In Data Science - January 2025</t>
        </is>
      </c>
      <c r="C231" s="4" t="n">
        <v>45779</v>
      </c>
      <c r="D231" s="3" t="inlineStr"/>
      <c r="E231" s="3" t="inlineStr">
        <is>
          <t>Fresher</t>
        </is>
      </c>
    </row>
    <row r="232">
      <c r="A232" s="3" t="n">
        <v>2060168</v>
      </c>
      <c r="B232" s="3" t="inlineStr">
        <is>
          <t>Professional Certificate Course In Data Science - January 2025</t>
        </is>
      </c>
      <c r="C232" s="4" t="n">
        <v>45811</v>
      </c>
      <c r="D232" s="3" t="inlineStr"/>
      <c r="E232" s="3" t="inlineStr">
        <is>
          <t>Irrelevant (Non Tech) (Grad&gt;2020)</t>
        </is>
      </c>
    </row>
    <row r="233">
      <c r="A233" s="3" t="n">
        <v>2061322</v>
      </c>
      <c r="B233" s="3" t="inlineStr">
        <is>
          <t>Professional Certificate Course In Data Science - January 2025</t>
        </is>
      </c>
      <c r="C233" s="4" t="n">
        <v>46073</v>
      </c>
      <c r="D233" s="3" t="inlineStr"/>
      <c r="E233" s="3" t="inlineStr">
        <is>
          <t>Irrelevant (Grad&lt;2020)</t>
        </is>
      </c>
    </row>
    <row r="234">
      <c r="A234" s="3" t="n">
        <v>2061843</v>
      </c>
      <c r="B234" s="3" t="inlineStr">
        <is>
          <t>Professional Certificate Course In Data Science - January 2025</t>
        </is>
      </c>
      <c r="C234" s="4" t="n">
        <v>45783</v>
      </c>
      <c r="D234" s="3" t="inlineStr"/>
      <c r="E234" s="3" t="inlineStr">
        <is>
          <t>Career Gap/ Non Working</t>
        </is>
      </c>
    </row>
    <row r="235">
      <c r="A235" s="3" t="n">
        <v>2070825</v>
      </c>
      <c r="B235" s="3" t="inlineStr">
        <is>
          <t>Professional Certificate Course In Data Science - January 2025</t>
        </is>
      </c>
      <c r="C235" s="4" t="n">
        <v>45786</v>
      </c>
      <c r="D235" s="3" t="inlineStr"/>
      <c r="E235" s="3" t="inlineStr">
        <is>
          <t>Relevant</t>
        </is>
      </c>
    </row>
    <row r="236">
      <c r="A236" s="3" t="n">
        <v>2071311</v>
      </c>
      <c r="B236" s="3" t="inlineStr">
        <is>
          <t>Professional Certificate Course In Data Science - January 2025</t>
        </is>
      </c>
      <c r="C236" s="4" t="n">
        <v>45905</v>
      </c>
      <c r="D236" s="3" t="inlineStr"/>
      <c r="E236" s="3" t="inlineStr">
        <is>
          <t>Fresher</t>
        </is>
      </c>
    </row>
    <row r="237">
      <c r="A237" s="3" t="n">
        <v>2072818</v>
      </c>
      <c r="B237" s="3" t="inlineStr">
        <is>
          <t>Professional Certificate Course In Data Science - January 2025</t>
        </is>
      </c>
      <c r="C237" s="4" t="n">
        <v>45902</v>
      </c>
      <c r="D237" s="3" t="inlineStr"/>
      <c r="E237" s="3" t="inlineStr">
        <is>
          <t>Fresher</t>
        </is>
      </c>
    </row>
    <row r="238">
      <c r="A238" s="3" t="n">
        <v>2074404</v>
      </c>
      <c r="B238" s="3" t="inlineStr">
        <is>
          <t>Professional Certificate Course In Data Science - January 2025</t>
        </is>
      </c>
      <c r="C238" s="4" t="n">
        <v>45869</v>
      </c>
      <c r="D238" s="3" t="inlineStr"/>
      <c r="E238" s="3" t="inlineStr">
        <is>
          <t>Career Gap/ Non Working</t>
        </is>
      </c>
    </row>
    <row r="239">
      <c r="A239" s="3" t="n">
        <v>2075750</v>
      </c>
      <c r="B239" s="3" t="inlineStr">
        <is>
          <t>Professional Certificate Course In Data Science - January 2025</t>
        </is>
      </c>
      <c r="C239" s="4" t="n">
        <v>45891</v>
      </c>
      <c r="D239" s="3" t="inlineStr"/>
      <c r="E239" s="3" t="inlineStr">
        <is>
          <t>Career Gap/ Non Working</t>
        </is>
      </c>
    </row>
    <row r="240">
      <c r="A240" s="3" t="n">
        <v>2077824</v>
      </c>
      <c r="B240" s="3" t="inlineStr">
        <is>
          <t>Professional Certificate Course In Data Science - January 2025</t>
        </is>
      </c>
      <c r="C240" s="4" t="n">
        <v>45787</v>
      </c>
      <c r="D240" s="3" t="inlineStr"/>
      <c r="E240" s="3" t="inlineStr">
        <is>
          <t>Fresher</t>
        </is>
      </c>
    </row>
    <row r="241">
      <c r="A241" s="3" t="n">
        <v>2077965</v>
      </c>
      <c r="B241" s="3" t="inlineStr">
        <is>
          <t>Professional Certificate Course In Data Science - January 2025</t>
        </is>
      </c>
      <c r="C241" s="4" t="n">
        <v>45964</v>
      </c>
      <c r="D241" s="3" t="inlineStr"/>
      <c r="E241" s="3" t="inlineStr">
        <is>
          <t>Relevant</t>
        </is>
      </c>
    </row>
    <row r="242">
      <c r="A242" s="3" t="n">
        <v>2080409</v>
      </c>
      <c r="B242" s="3" t="inlineStr">
        <is>
          <t>Professional Certificate Course In Data Science - January 2025</t>
        </is>
      </c>
      <c r="C242" s="4" t="n">
        <v>45910</v>
      </c>
      <c r="D242" s="3" t="inlineStr"/>
      <c r="E242" s="3" t="inlineStr">
        <is>
          <t>Irrelevant (Non Tech) (Grad&gt;2020)</t>
        </is>
      </c>
    </row>
    <row r="243">
      <c r="A243" s="3" t="n">
        <v>493517</v>
      </c>
      <c r="B243" s="3" t="inlineStr">
        <is>
          <t>Professional Certificate Course In Data Science - July 2023</t>
        </is>
      </c>
      <c r="C243" s="4" t="n">
        <v>45723</v>
      </c>
      <c r="D243" s="3" t="inlineStr"/>
      <c r="E243" s="3" t="inlineStr"/>
    </row>
    <row r="244">
      <c r="A244" s="3" t="n">
        <v>660185</v>
      </c>
      <c r="B244" s="3" t="inlineStr">
        <is>
          <t>Professional Certificate Course In Data Science - July 2023</t>
        </is>
      </c>
      <c r="C244" s="4" t="n">
        <v>45618</v>
      </c>
      <c r="D244" s="3" t="inlineStr"/>
      <c r="E244" s="3" t="inlineStr"/>
    </row>
    <row r="245">
      <c r="A245" s="3" t="n">
        <v>1056733</v>
      </c>
      <c r="B245" s="3" t="inlineStr">
        <is>
          <t>Professional Certificate Course In Data Science - July 2023</t>
        </is>
      </c>
      <c r="C245" s="4" t="n">
        <v>45618</v>
      </c>
      <c r="D245" s="3" t="inlineStr"/>
      <c r="E245" s="3" t="inlineStr"/>
    </row>
    <row r="246">
      <c r="A246" s="3" t="n">
        <v>1386096</v>
      </c>
      <c r="B246" s="3" t="inlineStr">
        <is>
          <t>Professional Certificate Course In Data Science - July 2023</t>
        </is>
      </c>
      <c r="C246" s="4" t="n">
        <v>45777</v>
      </c>
      <c r="D246" s="3" t="inlineStr"/>
      <c r="E246" s="3" t="inlineStr"/>
    </row>
    <row r="247">
      <c r="A247" s="3" t="n">
        <v>1389146</v>
      </c>
      <c r="B247" s="3" t="inlineStr">
        <is>
          <t>Professional Certificate Course In Data Science - July 2023</t>
        </is>
      </c>
      <c r="C247" s="4" t="n">
        <v>45618</v>
      </c>
      <c r="D247" s="3" t="inlineStr"/>
      <c r="E247" s="3" t="inlineStr">
        <is>
          <t>Relevant</t>
        </is>
      </c>
    </row>
    <row r="248">
      <c r="A248" s="3" t="n">
        <v>1411231</v>
      </c>
      <c r="B248" s="3" t="inlineStr">
        <is>
          <t>Professional Certificate Course In Data Science - July 2023</t>
        </is>
      </c>
      <c r="C248" s="4" t="n">
        <v>45618</v>
      </c>
      <c r="D248" s="3" t="inlineStr"/>
      <c r="E248" s="3" t="inlineStr"/>
    </row>
    <row r="249">
      <c r="A249" s="3" t="n">
        <v>1413239</v>
      </c>
      <c r="B249" s="3" t="inlineStr">
        <is>
          <t>Professional Certificate Course In Data Science - July 2023</t>
        </is>
      </c>
      <c r="C249" s="4" t="n">
        <v>45646</v>
      </c>
      <c r="D249" s="3" t="inlineStr"/>
      <c r="E249" s="3" t="inlineStr"/>
    </row>
    <row r="250">
      <c r="A250" s="3" t="n">
        <v>1414417</v>
      </c>
      <c r="B250" s="3" t="inlineStr">
        <is>
          <t>Professional Certificate Course In Data Science - July 2023</t>
        </is>
      </c>
      <c r="C250" s="3" t="n"/>
      <c r="D250" s="3" t="inlineStr"/>
      <c r="E250" s="3" t="inlineStr"/>
    </row>
    <row r="251">
      <c r="A251" s="3" t="n">
        <v>1415160</v>
      </c>
      <c r="B251" s="3" t="inlineStr">
        <is>
          <t>Professional Certificate Course In Data Science - July 2023</t>
        </is>
      </c>
      <c r="C251" s="4" t="n">
        <v>45363</v>
      </c>
      <c r="D251" s="3" t="inlineStr"/>
      <c r="E251" s="3" t="inlineStr"/>
    </row>
    <row r="252">
      <c r="A252" s="3" t="n">
        <v>1415373</v>
      </c>
      <c r="B252" s="3" t="inlineStr">
        <is>
          <t>Professional Certificate Course In Data Science - July 2023</t>
        </is>
      </c>
      <c r="C252" s="3" t="n"/>
      <c r="D252" s="3" t="inlineStr"/>
      <c r="E252" s="3" t="inlineStr"/>
    </row>
    <row r="253">
      <c r="A253" s="3" t="n">
        <v>1420756</v>
      </c>
      <c r="B253" s="3" t="inlineStr">
        <is>
          <t>Professional Certificate Course In Data Science - July 2023</t>
        </is>
      </c>
      <c r="C253" s="4" t="n">
        <v>45441</v>
      </c>
      <c r="D253" s="3" t="inlineStr"/>
      <c r="E253" s="3" t="inlineStr"/>
    </row>
    <row r="254">
      <c r="A254" s="3" t="n">
        <v>1430046</v>
      </c>
      <c r="B254" s="3" t="inlineStr">
        <is>
          <t>Professional Certificate Course In Data Science - July 2023</t>
        </is>
      </c>
      <c r="C254" s="4" t="n">
        <v>45601</v>
      </c>
      <c r="D254" s="3" t="inlineStr"/>
      <c r="E254" s="3" t="inlineStr">
        <is>
          <t>Irrelevant (Grad&lt;2020)</t>
        </is>
      </c>
    </row>
    <row r="255">
      <c r="A255" s="3" t="n">
        <v>543849</v>
      </c>
      <c r="B255" s="3" t="inlineStr">
        <is>
          <t>Professional Certificate Course In Data Science - July 2024</t>
        </is>
      </c>
      <c r="C255" s="4" t="n">
        <v>45638</v>
      </c>
      <c r="D255" s="3" t="inlineStr"/>
      <c r="E255" s="3" t="inlineStr">
        <is>
          <t>Fresher</t>
        </is>
      </c>
    </row>
    <row r="256">
      <c r="A256" s="3" t="n">
        <v>789606</v>
      </c>
      <c r="B256" s="3" t="inlineStr">
        <is>
          <t>Professional Certificate Course In Data Science - July 2024</t>
        </is>
      </c>
      <c r="C256" s="4" t="n">
        <v>45688</v>
      </c>
      <c r="D256" s="3" t="inlineStr"/>
      <c r="E256" s="3" t="inlineStr">
        <is>
          <t>Career Gap/ Non Working</t>
        </is>
      </c>
    </row>
    <row r="257">
      <c r="A257" s="3" t="n">
        <v>1433947</v>
      </c>
      <c r="B257" s="3" t="inlineStr">
        <is>
          <t>Professional Certificate Course In Data Science - July 2024</t>
        </is>
      </c>
      <c r="C257" s="4" t="n">
        <v>45588</v>
      </c>
      <c r="D257" s="3" t="inlineStr"/>
      <c r="E257" s="3" t="inlineStr">
        <is>
          <t>Relevant</t>
        </is>
      </c>
    </row>
    <row r="258">
      <c r="A258" s="3" t="n">
        <v>1599976</v>
      </c>
      <c r="B258" s="3" t="inlineStr">
        <is>
          <t>Professional Certificate Course In Data Science - July 2024</t>
        </is>
      </c>
      <c r="C258" s="4" t="n">
        <v>45663</v>
      </c>
      <c r="D258" s="3" t="inlineStr"/>
      <c r="E258" s="3" t="inlineStr">
        <is>
          <t>Relevant</t>
        </is>
      </c>
    </row>
    <row r="259">
      <c r="A259" s="3" t="n">
        <v>1614480</v>
      </c>
      <c r="B259" s="3" t="inlineStr">
        <is>
          <t>Professional Certificate Course In Data Science - July 2024</t>
        </is>
      </c>
      <c r="C259" s="4" t="n">
        <v>45650</v>
      </c>
      <c r="D259" s="3" t="inlineStr"/>
      <c r="E259" s="3" t="inlineStr">
        <is>
          <t>Fresher</t>
        </is>
      </c>
    </row>
    <row r="260">
      <c r="A260" s="3" t="n">
        <v>1677414</v>
      </c>
      <c r="B260" s="3" t="inlineStr">
        <is>
          <t>Professional Certificate Course In Data Science - July 2024</t>
        </is>
      </c>
      <c r="C260" s="4" t="n">
        <v>45603</v>
      </c>
      <c r="D260" s="3" t="inlineStr"/>
      <c r="E260" s="3" t="inlineStr">
        <is>
          <t>Irrelevant (Tech/IT)</t>
        </is>
      </c>
    </row>
    <row r="261">
      <c r="A261" s="3" t="n">
        <v>1692878</v>
      </c>
      <c r="B261" s="3" t="inlineStr">
        <is>
          <t>Professional Certificate Course In Data Science - July 2024</t>
        </is>
      </c>
      <c r="C261" s="4" t="n">
        <v>45663</v>
      </c>
      <c r="D261" s="3" t="inlineStr"/>
      <c r="E261" s="3" t="inlineStr">
        <is>
          <t>Career Gap/ Non Working</t>
        </is>
      </c>
    </row>
    <row r="262">
      <c r="A262" s="3" t="n">
        <v>1749569</v>
      </c>
      <c r="B262" s="3" t="inlineStr">
        <is>
          <t>Professional Certificate Course In Data Science - July 2024</t>
        </is>
      </c>
      <c r="C262" s="4" t="n">
        <v>45588</v>
      </c>
      <c r="D262" s="3" t="inlineStr"/>
      <c r="E262" s="3" t="inlineStr">
        <is>
          <t>Irrelevant (Non Tech) (Grad&gt;2020)</t>
        </is>
      </c>
    </row>
    <row r="263">
      <c r="A263" s="3" t="n">
        <v>1751103</v>
      </c>
      <c r="B263" s="3" t="inlineStr">
        <is>
          <t>Professional Certificate Course In Data Science - July 2024</t>
        </is>
      </c>
      <c r="C263" s="4" t="n">
        <v>45588</v>
      </c>
      <c r="D263" s="3" t="inlineStr"/>
      <c r="E263" s="3" t="inlineStr">
        <is>
          <t>Irrelevant (Tech/IT)</t>
        </is>
      </c>
    </row>
    <row r="264">
      <c r="A264" s="3" t="n">
        <v>1769343</v>
      </c>
      <c r="B264" s="3" t="inlineStr">
        <is>
          <t>Professional Certificate Course In Data Science - July 2024</t>
        </is>
      </c>
      <c r="C264" s="4" t="n">
        <v>45588</v>
      </c>
      <c r="D264" s="3" t="inlineStr"/>
      <c r="E264" s="3" t="inlineStr">
        <is>
          <t>Relevant</t>
        </is>
      </c>
    </row>
    <row r="265">
      <c r="A265" s="3" t="n">
        <v>1773188</v>
      </c>
      <c r="B265" s="3" t="inlineStr">
        <is>
          <t>Professional Certificate Course In Data Science - July 2024</t>
        </is>
      </c>
      <c r="C265" s="4" t="n">
        <v>45663</v>
      </c>
      <c r="D265" s="3" t="inlineStr"/>
      <c r="E265" s="3" t="inlineStr">
        <is>
          <t>Irrelevant (Non Tech) (Grad&gt;2020)</t>
        </is>
      </c>
    </row>
    <row r="266">
      <c r="A266" s="3" t="n">
        <v>1776512</v>
      </c>
      <c r="B266" s="3" t="inlineStr">
        <is>
          <t>Professional Certificate Course In Data Science - July 2024</t>
        </is>
      </c>
      <c r="C266" s="4" t="n">
        <v>45587</v>
      </c>
      <c r="D266" s="3" t="inlineStr"/>
      <c r="E266" s="3" t="inlineStr">
        <is>
          <t>Relevant</t>
        </is>
      </c>
    </row>
    <row r="267">
      <c r="A267" s="3" t="n">
        <v>1782095</v>
      </c>
      <c r="B267" s="3" t="inlineStr">
        <is>
          <t>Professional Certificate Course In Data Science - July 2024</t>
        </is>
      </c>
      <c r="C267" s="4" t="n">
        <v>45631</v>
      </c>
      <c r="D267" s="3" t="inlineStr"/>
      <c r="E267" s="3" t="inlineStr">
        <is>
          <t>Career Gap/ Non Working</t>
        </is>
      </c>
    </row>
    <row r="268">
      <c r="A268" s="3" t="n">
        <v>1783849</v>
      </c>
      <c r="B268" s="3" t="inlineStr">
        <is>
          <t>Professional Certificate Course In Data Science - July 2024</t>
        </is>
      </c>
      <c r="C268" s="4" t="n">
        <v>45602</v>
      </c>
      <c r="D268" s="3" t="inlineStr"/>
      <c r="E268" s="3" t="inlineStr">
        <is>
          <t>Fresher</t>
        </is>
      </c>
    </row>
    <row r="269">
      <c r="A269" s="3" t="n">
        <v>1802649</v>
      </c>
      <c r="B269" s="3" t="inlineStr">
        <is>
          <t>Professional Certificate Course In Data Science - July 2024</t>
        </is>
      </c>
      <c r="C269" s="4" t="n">
        <v>45687</v>
      </c>
      <c r="D269" s="3" t="inlineStr"/>
      <c r="E269" s="3" t="inlineStr">
        <is>
          <t>Fresher</t>
        </is>
      </c>
    </row>
    <row r="270">
      <c r="A270" s="3" t="n">
        <v>1812943</v>
      </c>
      <c r="B270" s="3" t="inlineStr">
        <is>
          <t>Professional Certificate Course In Data Science - July 2024</t>
        </is>
      </c>
      <c r="C270" s="4" t="n">
        <v>45540</v>
      </c>
      <c r="D270" s="3" t="inlineStr"/>
      <c r="E270" s="3" t="inlineStr">
        <is>
          <t>Relevant</t>
        </is>
      </c>
    </row>
    <row r="271">
      <c r="A271" s="3" t="n">
        <v>1819063</v>
      </c>
      <c r="B271" s="3" t="inlineStr">
        <is>
          <t>Professional Certificate Course In Data Science - July 2024</t>
        </is>
      </c>
      <c r="C271" s="4" t="n">
        <v>45602</v>
      </c>
      <c r="D271" s="3" t="inlineStr"/>
      <c r="E271" s="3" t="inlineStr">
        <is>
          <t>Career Gap/ Non Working</t>
        </is>
      </c>
    </row>
    <row r="272">
      <c r="A272" s="3" t="n">
        <v>1862371</v>
      </c>
      <c r="B272" s="3" t="inlineStr">
        <is>
          <t>Professional Certificate Course In Data Science - July 2024</t>
        </is>
      </c>
      <c r="C272" s="4" t="n">
        <v>45985</v>
      </c>
      <c r="D272" s="3" t="inlineStr"/>
      <c r="E272" s="3" t="inlineStr">
        <is>
          <t>Relevant</t>
        </is>
      </c>
    </row>
    <row r="273">
      <c r="A273" s="3" t="n">
        <v>1871986</v>
      </c>
      <c r="B273" s="3" t="inlineStr">
        <is>
          <t>Professional Certificate Course In Data Science - July 2024</t>
        </is>
      </c>
      <c r="C273" s="4" t="n">
        <v>45618</v>
      </c>
      <c r="D273" s="3" t="inlineStr"/>
      <c r="E273" s="3" t="inlineStr">
        <is>
          <t>Fresher</t>
        </is>
      </c>
    </row>
    <row r="274">
      <c r="A274" s="3" t="n">
        <v>1879220</v>
      </c>
      <c r="B274" s="3" t="inlineStr">
        <is>
          <t>Professional Certificate Course In Data Science - July 2024</t>
        </is>
      </c>
      <c r="C274" s="4" t="n">
        <v>45601</v>
      </c>
      <c r="D274" s="3" t="inlineStr"/>
      <c r="E274" s="3" t="inlineStr">
        <is>
          <t>Relevant</t>
        </is>
      </c>
    </row>
    <row r="275">
      <c r="A275" s="3" t="n">
        <v>1880960</v>
      </c>
      <c r="B275" s="3" t="inlineStr">
        <is>
          <t>Professional Certificate Course In Data Science - July 2024</t>
        </is>
      </c>
      <c r="C275" s="4" t="n">
        <v>45588</v>
      </c>
      <c r="D275" s="3" t="inlineStr"/>
      <c r="E275" s="3" t="inlineStr">
        <is>
          <t>Relevant</t>
        </is>
      </c>
    </row>
    <row r="276">
      <c r="A276" s="3" t="n">
        <v>1909088</v>
      </c>
      <c r="B276" s="3" t="inlineStr">
        <is>
          <t>Professional Certificate Course In Data Science - July 2024</t>
        </is>
      </c>
      <c r="C276" s="4" t="n">
        <v>45624</v>
      </c>
      <c r="D276" s="3" t="inlineStr"/>
      <c r="E276" s="3" t="inlineStr">
        <is>
          <t>Career Gap/ Non Working</t>
        </is>
      </c>
    </row>
    <row r="277">
      <c r="A277" s="3" t="n">
        <v>1912322</v>
      </c>
      <c r="B277" s="3" t="inlineStr">
        <is>
          <t>Professional Certificate Course In Data Science - July 2024</t>
        </is>
      </c>
      <c r="C277" s="4" t="n">
        <v>45618</v>
      </c>
      <c r="D277" s="3" t="inlineStr"/>
      <c r="E277" s="3" t="inlineStr">
        <is>
          <t>Irrelevant (Grad&lt;2020)</t>
        </is>
      </c>
    </row>
    <row r="278">
      <c r="A278" s="3" t="n">
        <v>1914102</v>
      </c>
      <c r="B278" s="3" t="inlineStr">
        <is>
          <t>Professional Certificate Course In Data Science - July 2024</t>
        </is>
      </c>
      <c r="C278" s="4" t="n">
        <v>45588</v>
      </c>
      <c r="D278" s="3" t="inlineStr"/>
      <c r="E278" s="3" t="inlineStr">
        <is>
          <t>Irrelevant (Non Tech) (Grad&gt;2020)</t>
        </is>
      </c>
    </row>
    <row r="279">
      <c r="A279" s="3" t="n">
        <v>1917951</v>
      </c>
      <c r="B279" s="3" t="inlineStr">
        <is>
          <t>Professional Certificate Course In Data Science - July 2024</t>
        </is>
      </c>
      <c r="C279" s="4" t="n">
        <v>45719</v>
      </c>
      <c r="D279" s="3" t="inlineStr"/>
      <c r="E279" s="3" t="inlineStr">
        <is>
          <t>Relevant</t>
        </is>
      </c>
    </row>
    <row r="280">
      <c r="A280" s="3" t="n">
        <v>163560</v>
      </c>
      <c r="B280" s="3" t="inlineStr">
        <is>
          <t>Professional Certificate Course In Data Science - July 2025</t>
        </is>
      </c>
      <c r="C280" s="4" t="n">
        <v>46074</v>
      </c>
      <c r="D280" s="3" t="inlineStr"/>
      <c r="E280" s="3" t="inlineStr">
        <is>
          <t>Career Gap/ Non Working</t>
        </is>
      </c>
    </row>
    <row r="281">
      <c r="A281" s="3" t="n">
        <v>2540909</v>
      </c>
      <c r="B281" s="3" t="inlineStr">
        <is>
          <t>Professional Certificate Course In Data Science - July 2025</t>
        </is>
      </c>
      <c r="C281" s="4" t="n">
        <v>45961</v>
      </c>
      <c r="D281" s="3" t="inlineStr"/>
      <c r="E281" s="3" t="inlineStr">
        <is>
          <t>Relevant</t>
        </is>
      </c>
    </row>
    <row r="282">
      <c r="A282" s="3" t="n">
        <v>190061</v>
      </c>
      <c r="B282" s="3" t="inlineStr">
        <is>
          <t>Professional Certificate Course In Data Science - July 2025</t>
        </is>
      </c>
      <c r="C282" s="4" t="n">
        <v>46027</v>
      </c>
      <c r="D282" s="3" t="inlineStr"/>
      <c r="E282" s="3" t="inlineStr">
        <is>
          <t>Irrelevant (Tech/IT)</t>
        </is>
      </c>
    </row>
    <row r="283">
      <c r="A283" s="3" t="n">
        <v>976303</v>
      </c>
      <c r="B283" s="3" t="inlineStr">
        <is>
          <t>Professional Certificate Course In Data Science - July 2025</t>
        </is>
      </c>
      <c r="C283" s="4" t="n">
        <v>45975</v>
      </c>
      <c r="D283" s="3" t="inlineStr"/>
      <c r="E283" s="3" t="inlineStr">
        <is>
          <t>Irrelevant (Non Tech) (Grad&gt;2020)</t>
        </is>
      </c>
    </row>
    <row r="284">
      <c r="A284" s="3" t="n">
        <v>2097927</v>
      </c>
      <c r="B284" s="3" t="inlineStr">
        <is>
          <t>Professional Certificate Course In Data Science - July 2025</t>
        </is>
      </c>
      <c r="C284" s="4" t="n">
        <v>45993</v>
      </c>
      <c r="D284" s="3" t="inlineStr"/>
      <c r="E284" s="3" t="inlineStr">
        <is>
          <t>Fresher</t>
        </is>
      </c>
    </row>
    <row r="285">
      <c r="A285" s="3" t="n">
        <v>2307969</v>
      </c>
      <c r="B285" s="3" t="inlineStr">
        <is>
          <t>Professional Certificate Course In Data Science - July 2025</t>
        </is>
      </c>
      <c r="C285" s="4" t="n">
        <v>45986</v>
      </c>
      <c r="D285" s="3" t="inlineStr"/>
      <c r="E285" s="3" t="inlineStr">
        <is>
          <t>Career Gap/ Non Working</t>
        </is>
      </c>
    </row>
    <row r="286">
      <c r="A286" s="3" t="n">
        <v>2444818</v>
      </c>
      <c r="B286" s="3" t="inlineStr">
        <is>
          <t>Professional Certificate Course In Data Science - July 2025</t>
        </is>
      </c>
      <c r="C286" s="4" t="n">
        <v>45961</v>
      </c>
      <c r="D286" s="3" t="inlineStr"/>
      <c r="E286" s="3" t="inlineStr">
        <is>
          <t>Fresher</t>
        </is>
      </c>
    </row>
    <row r="287">
      <c r="A287" s="3" t="n">
        <v>2482825</v>
      </c>
      <c r="B287" s="3" t="inlineStr">
        <is>
          <t>Professional Certificate Course In Data Science - July 2025</t>
        </is>
      </c>
      <c r="C287" s="4" t="n">
        <v>46076</v>
      </c>
      <c r="D287" s="3" t="inlineStr"/>
      <c r="E287" s="3" t="inlineStr">
        <is>
          <t>Career Gap/ Non Working</t>
        </is>
      </c>
    </row>
    <row r="288">
      <c r="A288" s="3" t="n">
        <v>2623001</v>
      </c>
      <c r="B288" s="3" t="inlineStr">
        <is>
          <t>Professional Certificate Course In Data Science - July 2025</t>
        </is>
      </c>
      <c r="C288" s="4" t="n">
        <v>46007</v>
      </c>
      <c r="D288" s="3" t="inlineStr"/>
      <c r="E288" s="3" t="inlineStr">
        <is>
          <t>Fresher</t>
        </is>
      </c>
    </row>
    <row r="289">
      <c r="A289" s="3" t="n">
        <v>2628277</v>
      </c>
      <c r="B289" s="3" t="inlineStr">
        <is>
          <t>Professional Certificate Course In Data Science - July 2025</t>
        </is>
      </c>
      <c r="C289" s="4" t="n">
        <v>46027</v>
      </c>
      <c r="D289" s="3" t="inlineStr"/>
      <c r="E289" s="3" t="inlineStr">
        <is>
          <t>Fresher</t>
        </is>
      </c>
    </row>
    <row r="290">
      <c r="A290" s="3" t="n">
        <v>2630122</v>
      </c>
      <c r="B290" s="3" t="inlineStr">
        <is>
          <t>Professional Certificate Course In Data Science - July 2025</t>
        </is>
      </c>
      <c r="C290" s="4" t="n">
        <v>46073</v>
      </c>
      <c r="D290" s="3" t="inlineStr"/>
      <c r="E290" s="3" t="inlineStr">
        <is>
          <t>Career Gap/ Non Working</t>
        </is>
      </c>
    </row>
    <row r="291">
      <c r="A291" s="3" t="n">
        <v>2670433</v>
      </c>
      <c r="B291" s="3" t="inlineStr">
        <is>
          <t>Professional Certificate Course In Data Science - July 2025</t>
        </is>
      </c>
      <c r="C291" s="4" t="n">
        <v>46055</v>
      </c>
      <c r="D291" s="3" t="inlineStr"/>
      <c r="E291" s="3" t="inlineStr">
        <is>
          <t>Career Gap/ Non Working</t>
        </is>
      </c>
    </row>
    <row r="292">
      <c r="A292" s="3" t="n">
        <v>2677696</v>
      </c>
      <c r="B292" s="3" t="inlineStr">
        <is>
          <t>Professional Certificate Course In Data Science - July 2025</t>
        </is>
      </c>
      <c r="C292" s="4" t="n">
        <v>45971</v>
      </c>
      <c r="D292" s="3" t="inlineStr"/>
      <c r="E292" s="3" t="inlineStr">
        <is>
          <t>Fresher</t>
        </is>
      </c>
    </row>
    <row r="293">
      <c r="A293" s="3" t="n">
        <v>2701082</v>
      </c>
      <c r="B293" s="3" t="inlineStr">
        <is>
          <t>Professional Certificate Course In Data Science - July 2025</t>
        </is>
      </c>
      <c r="C293" s="4" t="n">
        <v>45993</v>
      </c>
      <c r="D293" s="3" t="inlineStr"/>
      <c r="E293" s="3" t="inlineStr">
        <is>
          <t>Irrelevant (Non Tech) (Grad&gt;2020)</t>
        </is>
      </c>
    </row>
    <row r="294">
      <c r="A294" s="3" t="n">
        <v>2701931</v>
      </c>
      <c r="B294" s="3" t="inlineStr">
        <is>
          <t>Professional Certificate Course In Data Science - July 2025</t>
        </is>
      </c>
      <c r="C294" s="4" t="n">
        <v>46072</v>
      </c>
      <c r="D294" s="3" t="inlineStr"/>
      <c r="E294" s="3" t="inlineStr">
        <is>
          <t>Irrelevant (Non Tech) (Grad&gt;2020)</t>
        </is>
      </c>
    </row>
    <row r="295">
      <c r="A295" s="3" t="n">
        <v>2703036</v>
      </c>
      <c r="B295" s="3" t="inlineStr">
        <is>
          <t>Professional Certificate Course In Data Science - July 2025</t>
        </is>
      </c>
      <c r="C295" s="4" t="n">
        <v>46122</v>
      </c>
      <c r="D295" s="3" t="inlineStr"/>
      <c r="E295" s="3" t="inlineStr">
        <is>
          <t>Irrelevant (Non Tech) (Grad&gt;2020)</t>
        </is>
      </c>
    </row>
    <row r="296">
      <c r="A296" s="3" t="n">
        <v>2731494</v>
      </c>
      <c r="B296" s="3" t="inlineStr">
        <is>
          <t>Professional Certificate Course In Data Science - July 2025</t>
        </is>
      </c>
      <c r="C296" s="4" t="n">
        <v>45974</v>
      </c>
      <c r="D296" s="3" t="inlineStr"/>
      <c r="E296" s="3" t="inlineStr">
        <is>
          <t>Irrelevant (Non Tech) (Grad&gt;2020)</t>
        </is>
      </c>
    </row>
    <row r="297">
      <c r="A297" s="3" t="n">
        <v>2761505</v>
      </c>
      <c r="B297" s="3" t="inlineStr">
        <is>
          <t>Professional Certificate Course In Data Science - July 2025</t>
        </is>
      </c>
      <c r="C297" s="4" t="n">
        <v>45995</v>
      </c>
      <c r="D297" s="3" t="inlineStr"/>
      <c r="E297" s="3" t="inlineStr">
        <is>
          <t>Irrelevant (Tech/IT)</t>
        </is>
      </c>
    </row>
    <row r="298">
      <c r="A298" s="3" t="n">
        <v>99838</v>
      </c>
      <c r="B298" s="3" t="inlineStr">
        <is>
          <t>Professional Certificate Course In Data Science - June 2023</t>
        </is>
      </c>
      <c r="C298" s="4" t="n">
        <v>46181</v>
      </c>
      <c r="D298" s="3" t="inlineStr"/>
      <c r="E298" s="3" t="inlineStr">
        <is>
          <t>Relevant</t>
        </is>
      </c>
    </row>
    <row r="299">
      <c r="A299" s="3" t="n">
        <v>179069</v>
      </c>
      <c r="B299" s="3" t="inlineStr">
        <is>
          <t>Professional Certificate Course In Data Science - June 2023</t>
        </is>
      </c>
      <c r="C299" s="4" t="n">
        <v>45594</v>
      </c>
      <c r="D299" s="3" t="inlineStr"/>
      <c r="E299" s="3" t="inlineStr"/>
    </row>
    <row r="300">
      <c r="A300" s="3" t="n">
        <v>769951</v>
      </c>
      <c r="B300" s="3" t="inlineStr">
        <is>
          <t>Professional Certificate Course In Data Science - June 2023</t>
        </is>
      </c>
      <c r="C300" s="4" t="n">
        <v>45594</v>
      </c>
      <c r="D300" s="3" t="inlineStr"/>
      <c r="E300" s="3" t="inlineStr"/>
    </row>
    <row r="301">
      <c r="A301" s="3" t="n">
        <v>857371</v>
      </c>
      <c r="B301" s="3" t="inlineStr">
        <is>
          <t>Professional Certificate Course In Data Science - June 2023</t>
        </is>
      </c>
      <c r="C301" s="3" t="n"/>
      <c r="D301" s="3" t="inlineStr"/>
      <c r="E301" s="3" t="inlineStr"/>
    </row>
    <row r="302">
      <c r="A302" s="3" t="n">
        <v>861105</v>
      </c>
      <c r="B302" s="3" t="inlineStr">
        <is>
          <t>Professional Certificate Course In Data Science - June 2023</t>
        </is>
      </c>
      <c r="C302" s="4" t="n">
        <v>45611</v>
      </c>
      <c r="D302" s="3" t="inlineStr"/>
      <c r="E302" s="3" t="inlineStr"/>
    </row>
    <row r="303">
      <c r="A303" s="3" t="n">
        <v>1326972</v>
      </c>
      <c r="B303" s="3" t="inlineStr">
        <is>
          <t>Professional Certificate Course In Data Science - June 2023</t>
        </is>
      </c>
      <c r="C303" s="4" t="n">
        <v>45437</v>
      </c>
      <c r="D303" s="3" t="inlineStr"/>
      <c r="E303" s="3" t="inlineStr">
        <is>
          <t>Irrelevant (Tech/IT)</t>
        </is>
      </c>
    </row>
    <row r="304">
      <c r="A304" s="3" t="n">
        <v>1329046</v>
      </c>
      <c r="B304" s="3" t="inlineStr">
        <is>
          <t>Professional Certificate Course In Data Science - June 2023</t>
        </is>
      </c>
      <c r="C304" s="4" t="n">
        <v>45618</v>
      </c>
      <c r="D304" s="3" t="inlineStr"/>
      <c r="E304" s="3" t="inlineStr"/>
    </row>
    <row r="305">
      <c r="A305" s="3" t="n">
        <v>1334042</v>
      </c>
      <c r="B305" s="3" t="inlineStr">
        <is>
          <t>Professional Certificate Course In Data Science - June 2023</t>
        </is>
      </c>
      <c r="C305" s="4" t="n">
        <v>45439</v>
      </c>
      <c r="D305" s="3" t="inlineStr"/>
      <c r="E305" s="3" t="inlineStr">
        <is>
          <t>Career Gap/ Non Working</t>
        </is>
      </c>
    </row>
    <row r="306">
      <c r="A306" s="3" t="n">
        <v>1341917</v>
      </c>
      <c r="B306" s="3" t="inlineStr">
        <is>
          <t>Professional Certificate Course In Data Science - June 2023</t>
        </is>
      </c>
      <c r="C306" s="3" t="n"/>
      <c r="D306" s="3" t="inlineStr"/>
      <c r="E306" s="3" t="inlineStr">
        <is>
          <t>Relevant</t>
        </is>
      </c>
    </row>
    <row r="307">
      <c r="A307" s="3" t="n">
        <v>1344237</v>
      </c>
      <c r="B307" s="3" t="inlineStr">
        <is>
          <t>Professional Certificate Course In Data Science - June 2023</t>
        </is>
      </c>
      <c r="C307" s="4" t="n">
        <v>45735</v>
      </c>
      <c r="D307" s="3" t="inlineStr"/>
      <c r="E307" s="3" t="inlineStr">
        <is>
          <t>Irrelevant (Grad&lt;2020)</t>
        </is>
      </c>
    </row>
    <row r="308">
      <c r="A308" s="3" t="n">
        <v>1345131</v>
      </c>
      <c r="B308" s="3" t="inlineStr">
        <is>
          <t>Professional Certificate Course In Data Science - June 2023</t>
        </is>
      </c>
      <c r="C308" s="3" t="n"/>
      <c r="D308" s="3" t="inlineStr"/>
      <c r="E308" s="3" t="inlineStr"/>
    </row>
    <row r="309">
      <c r="A309" s="3" t="n">
        <v>1346532</v>
      </c>
      <c r="B309" s="3" t="inlineStr">
        <is>
          <t>Professional Certificate Course In Data Science - June 2023</t>
        </is>
      </c>
      <c r="C309" s="3" t="n"/>
      <c r="D309" s="3" t="inlineStr"/>
      <c r="E309" s="3" t="inlineStr"/>
    </row>
    <row r="310">
      <c r="A310" s="3" t="n">
        <v>1359926</v>
      </c>
      <c r="B310" s="3" t="inlineStr">
        <is>
          <t>Professional Certificate Course In Data Science - June 2023</t>
        </is>
      </c>
      <c r="C310" s="4" t="n">
        <v>45439</v>
      </c>
      <c r="D310" s="3" t="inlineStr"/>
      <c r="E310" s="3" t="inlineStr"/>
    </row>
    <row r="311">
      <c r="A311" s="3" t="n">
        <v>1363494</v>
      </c>
      <c r="B311" s="3" t="inlineStr">
        <is>
          <t>Professional Certificate Course In Data Science - June 2023</t>
        </is>
      </c>
      <c r="C311" s="4" t="n">
        <v>45444</v>
      </c>
      <c r="D311" s="3" t="inlineStr"/>
      <c r="E311" s="3" t="inlineStr">
        <is>
          <t>Irrelevant (Tech/IT)</t>
        </is>
      </c>
    </row>
    <row r="312">
      <c r="A312" s="3" t="n">
        <v>1366210</v>
      </c>
      <c r="B312" s="3" t="inlineStr">
        <is>
          <t>Professional Certificate Course In Data Science - June 2023</t>
        </is>
      </c>
      <c r="C312" s="3" t="n"/>
      <c r="D312" s="3" t="inlineStr"/>
      <c r="E312" s="3" t="inlineStr"/>
    </row>
    <row r="313">
      <c r="A313" s="3" t="n">
        <v>186977</v>
      </c>
      <c r="B313" s="3" t="inlineStr">
        <is>
          <t>Professional Certificate Course In Data Science - June 2024</t>
        </is>
      </c>
      <c r="C313" s="4" t="n">
        <v>45664</v>
      </c>
      <c r="D313" s="3" t="inlineStr"/>
      <c r="E313" s="3" t="inlineStr">
        <is>
          <t>Relevant</t>
        </is>
      </c>
    </row>
    <row r="314">
      <c r="A314" s="3" t="n">
        <v>513457</v>
      </c>
      <c r="B314" s="3" t="inlineStr">
        <is>
          <t>Professional Certificate Course In Data Science - June 2024</t>
        </is>
      </c>
      <c r="C314" s="4" t="n">
        <v>45652</v>
      </c>
      <c r="D314" s="3" t="inlineStr"/>
      <c r="E314" s="3" t="inlineStr">
        <is>
          <t>Irrelevant (Tech/IT)</t>
        </is>
      </c>
    </row>
    <row r="315">
      <c r="A315" s="3" t="n">
        <v>1616630</v>
      </c>
      <c r="B315" s="3" t="inlineStr">
        <is>
          <t>Professional Certificate Course In Data Science - June 2024</t>
        </is>
      </c>
      <c r="C315" s="4" t="n">
        <v>45896</v>
      </c>
      <c r="D315" s="3" t="inlineStr"/>
      <c r="E315" s="3" t="inlineStr">
        <is>
          <t>Relevant</t>
        </is>
      </c>
    </row>
    <row r="316">
      <c r="A316" s="3" t="n">
        <v>1676374</v>
      </c>
      <c r="B316" s="3" t="inlineStr">
        <is>
          <t>Professional Certificate Course In Data Science - June 2024</t>
        </is>
      </c>
      <c r="C316" s="4" t="n">
        <v>45593</v>
      </c>
      <c r="D316" s="3" t="inlineStr"/>
      <c r="E316" s="3" t="inlineStr">
        <is>
          <t>Irrelevant (Tech/IT)</t>
        </is>
      </c>
    </row>
    <row r="317">
      <c r="A317" s="3" t="n">
        <v>1700495</v>
      </c>
      <c r="B317" s="3" t="inlineStr">
        <is>
          <t>Professional Certificate Course In Data Science - June 2024</t>
        </is>
      </c>
      <c r="C317" s="4" t="n">
        <v>45624</v>
      </c>
      <c r="D317" s="3" t="inlineStr"/>
      <c r="E317" s="3" t="inlineStr">
        <is>
          <t>Relevant</t>
        </is>
      </c>
    </row>
    <row r="318">
      <c r="A318" s="3" t="n">
        <v>1705794</v>
      </c>
      <c r="B318" s="3" t="inlineStr">
        <is>
          <t>Professional Certificate Course In Data Science - June 2024</t>
        </is>
      </c>
      <c r="C318" s="4" t="n">
        <v>45560</v>
      </c>
      <c r="D318" s="3" t="inlineStr"/>
      <c r="E318" s="3" t="inlineStr">
        <is>
          <t>Career Gap/ Non Working</t>
        </is>
      </c>
    </row>
    <row r="319">
      <c r="A319" s="3" t="n">
        <v>1729061</v>
      </c>
      <c r="B319" s="3" t="inlineStr">
        <is>
          <t>Professional Certificate Course In Data Science - June 2024</t>
        </is>
      </c>
      <c r="C319" s="4" t="n">
        <v>45664</v>
      </c>
      <c r="D319" s="3" t="inlineStr"/>
      <c r="E319" s="3" t="inlineStr">
        <is>
          <t>Irrelevant (Non Tech) (Grad&gt;2020)</t>
        </is>
      </c>
    </row>
    <row r="320">
      <c r="A320" s="3" t="n">
        <v>1749987</v>
      </c>
      <c r="B320" s="3" t="inlineStr">
        <is>
          <t>Professional Certificate Course In Data Science - June 2024</t>
        </is>
      </c>
      <c r="C320" s="4" t="n">
        <v>45720</v>
      </c>
      <c r="D320" s="3" t="inlineStr"/>
      <c r="E320" s="3" t="inlineStr">
        <is>
          <t>Irrelevant (Tech/IT)</t>
        </is>
      </c>
    </row>
    <row r="321">
      <c r="A321" s="3" t="n">
        <v>1750620</v>
      </c>
      <c r="B321" s="3" t="inlineStr">
        <is>
          <t>Professional Certificate Course In Data Science - June 2024</t>
        </is>
      </c>
      <c r="C321" s="4" t="n">
        <v>45594</v>
      </c>
      <c r="D321" s="3" t="inlineStr"/>
      <c r="E321" s="3" t="inlineStr">
        <is>
          <t>Career Gap/ Non Working</t>
        </is>
      </c>
    </row>
    <row r="322">
      <c r="A322" s="3" t="n">
        <v>1756778</v>
      </c>
      <c r="B322" s="3" t="inlineStr">
        <is>
          <t>Professional Certificate Course In Data Science - June 2024</t>
        </is>
      </c>
      <c r="C322" s="4" t="n">
        <v>45594</v>
      </c>
      <c r="D322" s="3" t="inlineStr"/>
      <c r="E322" s="3" t="inlineStr">
        <is>
          <t>Irrelevant (Tech/IT)</t>
        </is>
      </c>
    </row>
    <row r="323">
      <c r="A323" s="3" t="n">
        <v>1758452</v>
      </c>
      <c r="B323" s="3" t="inlineStr">
        <is>
          <t>Professional Certificate Course In Data Science - June 2024</t>
        </is>
      </c>
      <c r="C323" s="4" t="n">
        <v>45566</v>
      </c>
      <c r="D323" s="3" t="inlineStr"/>
      <c r="E323" s="3" t="inlineStr">
        <is>
          <t>Fresher</t>
        </is>
      </c>
    </row>
    <row r="324">
      <c r="A324" s="3" t="n">
        <v>1763992</v>
      </c>
      <c r="B324" s="3" t="inlineStr">
        <is>
          <t>Professional Certificate Course In Data Science - June 2024</t>
        </is>
      </c>
      <c r="C324" s="4" t="n">
        <v>45594</v>
      </c>
      <c r="D324" s="3" t="inlineStr"/>
      <c r="E324" s="3" t="inlineStr">
        <is>
          <t>Irrelevant (Non Tech) (Grad&gt;2020)</t>
        </is>
      </c>
    </row>
    <row r="325">
      <c r="A325" s="3" t="n">
        <v>1765337</v>
      </c>
      <c r="B325" s="3" t="inlineStr">
        <is>
          <t>Professional Certificate Course In Data Science - June 2024</t>
        </is>
      </c>
      <c r="C325" s="4" t="n">
        <v>45568</v>
      </c>
      <c r="D325" s="3" t="inlineStr"/>
      <c r="E325" s="3" t="inlineStr">
        <is>
          <t>Relevant</t>
        </is>
      </c>
    </row>
    <row r="326">
      <c r="A326" s="3" t="n">
        <v>1765728</v>
      </c>
      <c r="B326" s="3" t="inlineStr">
        <is>
          <t>Professional Certificate Course In Data Science - June 2024</t>
        </is>
      </c>
      <c r="C326" s="4" t="n">
        <v>45642</v>
      </c>
      <c r="D326" s="3" t="inlineStr"/>
      <c r="E326" s="3" t="inlineStr">
        <is>
          <t>Irrelevant (Tech/IT)</t>
        </is>
      </c>
    </row>
    <row r="327">
      <c r="A327" s="3" t="n">
        <v>1767342</v>
      </c>
      <c r="B327" s="3" t="inlineStr">
        <is>
          <t>Professional Certificate Course In Data Science - June 2024</t>
        </is>
      </c>
      <c r="C327" s="4" t="n">
        <v>45659</v>
      </c>
      <c r="D327" s="3" t="inlineStr"/>
      <c r="E327" s="3" t="inlineStr">
        <is>
          <t>Irrelevant (Tech/IT)</t>
        </is>
      </c>
    </row>
    <row r="328">
      <c r="A328" s="3" t="n">
        <v>1771864</v>
      </c>
      <c r="B328" s="3" t="inlineStr">
        <is>
          <t>Professional Certificate Course In Data Science - June 2024</t>
        </is>
      </c>
      <c r="C328" s="4" t="n">
        <v>45594</v>
      </c>
      <c r="D328" s="3" t="inlineStr"/>
      <c r="E328" s="3" t="inlineStr">
        <is>
          <t>Career Gap/ Non Working</t>
        </is>
      </c>
    </row>
    <row r="329">
      <c r="A329" s="3" t="n">
        <v>1772065</v>
      </c>
      <c r="B329" s="3" t="inlineStr">
        <is>
          <t>Professional Certificate Course In Data Science - June 2024</t>
        </is>
      </c>
      <c r="C329" s="4" t="n">
        <v>45772</v>
      </c>
      <c r="D329" s="3" t="inlineStr"/>
      <c r="E329" s="3" t="inlineStr">
        <is>
          <t>Fresher</t>
        </is>
      </c>
    </row>
    <row r="330">
      <c r="A330" s="3" t="n">
        <v>246958</v>
      </c>
      <c r="B330" s="3" t="inlineStr">
        <is>
          <t>Professional Certificate Course In Data Science - June 2024</t>
        </is>
      </c>
      <c r="C330" s="4" t="n">
        <v>45593</v>
      </c>
      <c r="D330" s="3" t="inlineStr"/>
      <c r="E330" s="3" t="inlineStr">
        <is>
          <t>Irrelevant (Non Tech) (Grad&gt;2020)</t>
        </is>
      </c>
    </row>
    <row r="331">
      <c r="A331" s="3" t="n">
        <v>1773761</v>
      </c>
      <c r="B331" s="3" t="inlineStr">
        <is>
          <t>Professional Certificate Course In Data Science - June 2024</t>
        </is>
      </c>
      <c r="C331" s="4" t="n">
        <v>45733</v>
      </c>
      <c r="D331" s="3" t="inlineStr"/>
      <c r="E331" s="3" t="inlineStr">
        <is>
          <t>Irrelevant (Tech/IT)</t>
        </is>
      </c>
    </row>
    <row r="332">
      <c r="A332" s="3" t="n">
        <v>1780303</v>
      </c>
      <c r="B332" s="3" t="inlineStr">
        <is>
          <t>Professional Certificate Course In Data Science - June 2024</t>
        </is>
      </c>
      <c r="C332" s="4" t="n">
        <v>45624</v>
      </c>
      <c r="D332" s="3" t="inlineStr"/>
      <c r="E332" s="3" t="inlineStr">
        <is>
          <t>Relevant</t>
        </is>
      </c>
    </row>
    <row r="333">
      <c r="A333" s="3" t="n">
        <v>1780665</v>
      </c>
      <c r="B333" s="3" t="inlineStr">
        <is>
          <t>Professional Certificate Course In Data Science - June 2024</t>
        </is>
      </c>
      <c r="C333" s="4" t="n">
        <v>45588</v>
      </c>
      <c r="D333" s="3" t="inlineStr"/>
      <c r="E333" s="3" t="inlineStr">
        <is>
          <t>Irrelevant (Tech/IT)</t>
        </is>
      </c>
    </row>
    <row r="334">
      <c r="A334" s="3" t="n">
        <v>1784535</v>
      </c>
      <c r="B334" s="3" t="inlineStr">
        <is>
          <t>Professional Certificate Course In Data Science - June 2024</t>
        </is>
      </c>
      <c r="C334" s="4" t="n">
        <v>45594</v>
      </c>
      <c r="D334" s="3" t="inlineStr"/>
      <c r="E334" s="3" t="inlineStr">
        <is>
          <t>Relevant</t>
        </is>
      </c>
    </row>
    <row r="335">
      <c r="A335" s="3" t="n">
        <v>1792373</v>
      </c>
      <c r="B335" s="3" t="inlineStr">
        <is>
          <t>Professional Certificate Course In Data Science - June 2024</t>
        </is>
      </c>
      <c r="C335" s="4" t="n">
        <v>45615</v>
      </c>
      <c r="D335" s="3" t="inlineStr"/>
      <c r="E335" s="3" t="inlineStr">
        <is>
          <t>Irrelevant (Grad&lt;2020)</t>
        </is>
      </c>
    </row>
    <row r="336">
      <c r="A336" s="3" t="n">
        <v>1430856</v>
      </c>
      <c r="B336" s="3" t="inlineStr">
        <is>
          <t>Professional Certificate Course In Data Science - March 2024</t>
        </is>
      </c>
      <c r="C336" s="4" t="n">
        <v>45594</v>
      </c>
      <c r="D336" s="3" t="inlineStr"/>
      <c r="E336" s="3" t="inlineStr">
        <is>
          <t>Irrelevant (Tech/IT)</t>
        </is>
      </c>
    </row>
    <row r="337">
      <c r="A337" s="3" t="n">
        <v>1926585</v>
      </c>
      <c r="B337" s="3" t="inlineStr">
        <is>
          <t>Professional Certificate Course In Data Science - March 2024</t>
        </is>
      </c>
      <c r="C337" s="4" t="n">
        <v>45594</v>
      </c>
      <c r="D337" s="3" t="inlineStr"/>
      <c r="E337" s="3" t="inlineStr">
        <is>
          <t>Relevant</t>
        </is>
      </c>
    </row>
    <row r="338">
      <c r="A338" s="3" t="n">
        <v>301448</v>
      </c>
      <c r="B338" s="3" t="inlineStr">
        <is>
          <t>Professional Certificate Course In Data Science - March 2024</t>
        </is>
      </c>
      <c r="C338" s="4" t="n">
        <v>45594</v>
      </c>
      <c r="D338" s="3" t="inlineStr"/>
      <c r="E338" s="3" t="inlineStr">
        <is>
          <t>Irrelevant (Tech/IT)</t>
        </is>
      </c>
    </row>
    <row r="339">
      <c r="A339" s="3" t="n">
        <v>466404</v>
      </c>
      <c r="B339" s="3" t="inlineStr">
        <is>
          <t>Professional Certificate Course In Data Science - March 2024</t>
        </is>
      </c>
      <c r="C339" s="4" t="n">
        <v>45437</v>
      </c>
      <c r="D339" s="3" t="inlineStr"/>
      <c r="E339" s="3" t="inlineStr">
        <is>
          <t>Fresher</t>
        </is>
      </c>
    </row>
    <row r="340">
      <c r="A340" s="3" t="n">
        <v>597882</v>
      </c>
      <c r="B340" s="3" t="inlineStr">
        <is>
          <t>Professional Certificate Course In Data Science - March 2024</t>
        </is>
      </c>
      <c r="C340" s="4" t="n">
        <v>45636</v>
      </c>
      <c r="D340" s="3" t="inlineStr"/>
      <c r="E340" s="3" t="inlineStr">
        <is>
          <t>Irrelevant (Non Tech) (Grad&gt;2020)</t>
        </is>
      </c>
    </row>
    <row r="341">
      <c r="A341" s="3" t="n">
        <v>881249</v>
      </c>
      <c r="B341" s="3" t="inlineStr">
        <is>
          <t>Professional Certificate Course In Data Science - March 2024</t>
        </is>
      </c>
      <c r="C341" s="4" t="n">
        <v>45594</v>
      </c>
      <c r="D341" s="3" t="inlineStr"/>
      <c r="E341" s="3" t="inlineStr">
        <is>
          <t>Fresher</t>
        </is>
      </c>
    </row>
    <row r="342">
      <c r="A342" s="3" t="n">
        <v>1349518</v>
      </c>
      <c r="B342" s="3" t="inlineStr">
        <is>
          <t>Professional Certificate Course In Data Science - March 2024</t>
        </is>
      </c>
      <c r="C342" s="4" t="n">
        <v>45594</v>
      </c>
      <c r="D342" s="3" t="inlineStr"/>
      <c r="E342" s="3" t="inlineStr">
        <is>
          <t>Fresher</t>
        </is>
      </c>
    </row>
    <row r="343">
      <c r="A343" s="3" t="n">
        <v>1659631</v>
      </c>
      <c r="B343" s="3" t="inlineStr">
        <is>
          <t>Professional Certificate Course In Data Science - March 2024</t>
        </is>
      </c>
      <c r="C343" s="4" t="n">
        <v>45437</v>
      </c>
      <c r="D343" s="3" t="inlineStr"/>
      <c r="E343" s="3" t="inlineStr">
        <is>
          <t>Irrelevant (Non Tech) (Grad&gt;2020)</t>
        </is>
      </c>
    </row>
    <row r="344">
      <c r="A344" s="3" t="n">
        <v>1659976</v>
      </c>
      <c r="B344" s="3" t="inlineStr">
        <is>
          <t>Professional Certificate Course In Data Science - March 2024</t>
        </is>
      </c>
      <c r="C344" s="4" t="n">
        <v>45594</v>
      </c>
      <c r="D344" s="3" t="inlineStr"/>
      <c r="E344" s="3" t="inlineStr">
        <is>
          <t>Relevant</t>
        </is>
      </c>
    </row>
    <row r="345">
      <c r="A345" s="3" t="n">
        <v>1664674</v>
      </c>
      <c r="B345" s="3" t="inlineStr">
        <is>
          <t>Professional Certificate Course In Data Science - March 2024</t>
        </is>
      </c>
      <c r="C345" s="4" t="n">
        <v>45531</v>
      </c>
      <c r="D345" s="3" t="inlineStr"/>
      <c r="E345" s="3" t="inlineStr">
        <is>
          <t>Relevant</t>
        </is>
      </c>
    </row>
    <row r="346">
      <c r="A346" s="3" t="n">
        <v>1668354</v>
      </c>
      <c r="B346" s="3" t="inlineStr">
        <is>
          <t>Professional Certificate Course In Data Science - March 2024</t>
        </is>
      </c>
      <c r="C346" s="4" t="n">
        <v>45594</v>
      </c>
      <c r="D346" s="3" t="inlineStr"/>
      <c r="E346" s="3" t="inlineStr">
        <is>
          <t>Relevant</t>
        </is>
      </c>
    </row>
    <row r="347">
      <c r="A347" s="3" t="n">
        <v>1668454</v>
      </c>
      <c r="B347" s="3" t="inlineStr">
        <is>
          <t>Professional Certificate Course In Data Science - March 2024</t>
        </is>
      </c>
      <c r="C347" s="4" t="n">
        <v>45740</v>
      </c>
      <c r="D347" s="3" t="inlineStr"/>
      <c r="E347" s="3" t="inlineStr">
        <is>
          <t>Fresher</t>
        </is>
      </c>
    </row>
    <row r="348">
      <c r="A348" s="3" t="n">
        <v>1670884</v>
      </c>
      <c r="B348" s="3" t="inlineStr">
        <is>
          <t>Professional Certificate Course In Data Science - March 2024</t>
        </is>
      </c>
      <c r="C348" s="4" t="n">
        <v>45528</v>
      </c>
      <c r="D348" s="3" t="inlineStr"/>
      <c r="E348" s="3" t="inlineStr">
        <is>
          <t>Career Gap/ Non Working</t>
        </is>
      </c>
    </row>
    <row r="349">
      <c r="A349" s="3" t="n">
        <v>1671248</v>
      </c>
      <c r="B349" s="3" t="inlineStr">
        <is>
          <t>Professional Certificate Course In Data Science - March 2024</t>
        </is>
      </c>
      <c r="C349" s="4" t="n">
        <v>45740</v>
      </c>
      <c r="D349" s="3" t="inlineStr"/>
      <c r="E349" s="3" t="inlineStr">
        <is>
          <t>Relevant</t>
        </is>
      </c>
    </row>
    <row r="350">
      <c r="A350" s="3" t="n">
        <v>1673326</v>
      </c>
      <c r="B350" s="3" t="inlineStr">
        <is>
          <t>Professional Certificate Course In Data Science - March 2024</t>
        </is>
      </c>
      <c r="C350" s="4" t="n">
        <v>45594</v>
      </c>
      <c r="D350" s="3" t="inlineStr"/>
      <c r="E350" s="3" t="inlineStr">
        <is>
          <t>Irrelevant (Tech/IT)</t>
        </is>
      </c>
    </row>
    <row r="351">
      <c r="A351" s="3" t="n">
        <v>1673577</v>
      </c>
      <c r="B351" s="3" t="inlineStr">
        <is>
          <t>Professional Certificate Course In Data Science - March 2024</t>
        </is>
      </c>
      <c r="C351" s="4" t="n">
        <v>45649</v>
      </c>
      <c r="D351" s="3" t="inlineStr"/>
      <c r="E351" s="3" t="inlineStr">
        <is>
          <t>Irrelevant (Non Tech) (Grad&gt;2020)</t>
        </is>
      </c>
    </row>
    <row r="352">
      <c r="A352" s="3" t="n">
        <v>1859452</v>
      </c>
      <c r="B352" s="3" t="inlineStr">
        <is>
          <t>Professional Certificate Course In Data Science - March 2024</t>
        </is>
      </c>
      <c r="C352" s="4" t="n">
        <v>45587</v>
      </c>
      <c r="D352" s="3" t="inlineStr"/>
      <c r="E352" s="3" t="inlineStr">
        <is>
          <t>Fresher</t>
        </is>
      </c>
    </row>
    <row r="353">
      <c r="A353" s="3" t="n">
        <v>1432736</v>
      </c>
      <c r="B353" s="3" t="inlineStr">
        <is>
          <t>Professional Certificate Course In Data Science - March 2024</t>
        </is>
      </c>
      <c r="C353" s="4" t="n">
        <v>45587</v>
      </c>
      <c r="D353" s="3" t="inlineStr"/>
      <c r="E353" s="3" t="inlineStr">
        <is>
          <t>Irrelevant (Non Tech) (Grad&gt;2020)</t>
        </is>
      </c>
    </row>
    <row r="354">
      <c r="A354" s="3" t="n">
        <v>146687</v>
      </c>
      <c r="B354" s="3" t="inlineStr">
        <is>
          <t>Professional Certificate Course In Data Science - March 2025</t>
        </is>
      </c>
      <c r="C354" s="4" t="n">
        <v>46128</v>
      </c>
      <c r="D354" s="3" t="inlineStr"/>
      <c r="E354" s="3" t="inlineStr">
        <is>
          <t>Irrelevant (Tech/IT)</t>
        </is>
      </c>
    </row>
    <row r="355">
      <c r="A355" s="3" t="n">
        <v>285442</v>
      </c>
      <c r="B355" s="3" t="inlineStr">
        <is>
          <t>Professional Certificate Course In Data Science - March 2025</t>
        </is>
      </c>
      <c r="C355" s="4" t="n">
        <v>45965</v>
      </c>
      <c r="D355" s="3" t="inlineStr"/>
      <c r="E355" s="3" t="inlineStr">
        <is>
          <t>Fresher</t>
        </is>
      </c>
    </row>
    <row r="356">
      <c r="A356" s="3" t="n">
        <v>500112</v>
      </c>
      <c r="B356" s="3" t="inlineStr">
        <is>
          <t>Professional Certificate Course In Data Science - March 2025</t>
        </is>
      </c>
      <c r="C356" s="4" t="n">
        <v>45987</v>
      </c>
      <c r="D356" s="3" t="inlineStr"/>
      <c r="E356" s="3" t="inlineStr">
        <is>
          <t>Fresher</t>
        </is>
      </c>
    </row>
    <row r="357">
      <c r="A357" s="3" t="n">
        <v>1291440</v>
      </c>
      <c r="B357" s="3" t="inlineStr">
        <is>
          <t>Professional Certificate Course In Data Science - March 2025</t>
        </is>
      </c>
      <c r="C357" s="4" t="n">
        <v>45929</v>
      </c>
      <c r="D357" s="3" t="inlineStr"/>
      <c r="E357" s="3" t="inlineStr">
        <is>
          <t>Career Gap/ Non Working</t>
        </is>
      </c>
    </row>
    <row r="358">
      <c r="A358" s="3" t="n">
        <v>1471704</v>
      </c>
      <c r="B358" s="3" t="inlineStr">
        <is>
          <t>Professional Certificate Course In Data Science - March 2025</t>
        </is>
      </c>
      <c r="C358" s="4" t="n">
        <v>46071</v>
      </c>
      <c r="D358" s="3" t="inlineStr"/>
      <c r="E358" s="3" t="inlineStr">
        <is>
          <t>Irrelevant (Non Tech) (Grad&gt;2020)</t>
        </is>
      </c>
    </row>
    <row r="359">
      <c r="A359" s="3" t="n">
        <v>1560674</v>
      </c>
      <c r="B359" s="3" t="inlineStr">
        <is>
          <t>Professional Certificate Course In Data Science - March 2025</t>
        </is>
      </c>
      <c r="C359" s="4" t="n">
        <v>45933</v>
      </c>
      <c r="D359" s="3" t="inlineStr"/>
      <c r="E359" s="3" t="inlineStr">
        <is>
          <t>Fresher</t>
        </is>
      </c>
    </row>
    <row r="360">
      <c r="A360" s="3" t="n">
        <v>1985561</v>
      </c>
      <c r="B360" s="3" t="inlineStr">
        <is>
          <t>Professional Certificate Course In Data Science - March 2025</t>
        </is>
      </c>
      <c r="C360" s="4" t="n">
        <v>45863</v>
      </c>
      <c r="D360" s="3" t="inlineStr"/>
      <c r="E360" s="3" t="inlineStr">
        <is>
          <t>Career Gap/ Non Working</t>
        </is>
      </c>
    </row>
    <row r="361">
      <c r="A361" s="3" t="n">
        <v>2017665</v>
      </c>
      <c r="B361" s="3" t="inlineStr">
        <is>
          <t>Professional Certificate Course In Data Science - March 2025</t>
        </is>
      </c>
      <c r="C361" s="4" t="n">
        <v>46115</v>
      </c>
      <c r="D361" s="3" t="inlineStr"/>
      <c r="E361" s="3" t="inlineStr">
        <is>
          <t>Career Gap/ Non Working</t>
        </is>
      </c>
    </row>
    <row r="362">
      <c r="A362" s="3" t="n">
        <v>2020682</v>
      </c>
      <c r="B362" s="3" t="inlineStr">
        <is>
          <t>Professional Certificate Course In Data Science - March 2025</t>
        </is>
      </c>
      <c r="C362" s="4" t="n">
        <v>46163</v>
      </c>
      <c r="D362" s="3" t="inlineStr"/>
      <c r="E362" s="3" t="inlineStr">
        <is>
          <t>Fresher</t>
        </is>
      </c>
    </row>
    <row r="363">
      <c r="A363" s="3" t="n">
        <v>2034018</v>
      </c>
      <c r="B363" s="3" t="inlineStr">
        <is>
          <t>Professional Certificate Course In Data Science - March 2025</t>
        </is>
      </c>
      <c r="C363" s="4" t="n">
        <v>45905</v>
      </c>
      <c r="D363" s="3" t="inlineStr"/>
      <c r="E363" s="3" t="inlineStr">
        <is>
          <t>Relevant</t>
        </is>
      </c>
    </row>
    <row r="364">
      <c r="A364" s="3" t="n">
        <v>2047484</v>
      </c>
      <c r="B364" s="3" t="inlineStr">
        <is>
          <t>Professional Certificate Course In Data Science - March 2025</t>
        </is>
      </c>
      <c r="C364" s="4" t="n">
        <v>46000</v>
      </c>
      <c r="D364" s="3" t="inlineStr"/>
      <c r="E364" s="3" t="inlineStr">
        <is>
          <t>Irrelevant (Tech/IT)</t>
        </is>
      </c>
    </row>
    <row r="365">
      <c r="A365" s="3" t="n">
        <v>2055086</v>
      </c>
      <c r="B365" s="3" t="inlineStr">
        <is>
          <t>Professional Certificate Course In Data Science - March 2025</t>
        </is>
      </c>
      <c r="C365" s="4" t="n">
        <v>45967</v>
      </c>
      <c r="D365" s="3" t="inlineStr"/>
      <c r="E365" s="3" t="inlineStr">
        <is>
          <t>Irrelevant (Non Tech) (Grad&gt;2020)</t>
        </is>
      </c>
    </row>
    <row r="366">
      <c r="A366" s="3" t="n">
        <v>2064334</v>
      </c>
      <c r="B366" s="3" t="inlineStr">
        <is>
          <t>Professional Certificate Course In Data Science - March 2025</t>
        </is>
      </c>
      <c r="C366" s="4" t="n">
        <v>45902</v>
      </c>
      <c r="D366" s="3" t="inlineStr"/>
      <c r="E366" s="3" t="inlineStr">
        <is>
          <t>Irrelevant (Non Tech) (Grad&gt;2020)</t>
        </is>
      </c>
    </row>
    <row r="367">
      <c r="A367" s="3" t="n">
        <v>2105154</v>
      </c>
      <c r="B367" s="3" t="inlineStr">
        <is>
          <t>Professional Certificate Course In Data Science - March 2025</t>
        </is>
      </c>
      <c r="C367" s="4" t="n">
        <v>45911</v>
      </c>
      <c r="D367" s="3" t="inlineStr"/>
      <c r="E367" s="3" t="inlineStr">
        <is>
          <t>Irrelevant (Non Tech) (Grad&gt;2020)</t>
        </is>
      </c>
    </row>
    <row r="368">
      <c r="A368" s="3" t="n">
        <v>2113478</v>
      </c>
      <c r="B368" s="3" t="inlineStr">
        <is>
          <t>Professional Certificate Course In Data Science - March 2025</t>
        </is>
      </c>
      <c r="C368" s="4" t="n">
        <v>45881</v>
      </c>
      <c r="D368" s="3" t="inlineStr"/>
      <c r="E368" s="3" t="inlineStr">
        <is>
          <t>Fresher</t>
        </is>
      </c>
    </row>
    <row r="369">
      <c r="A369" s="3" t="n">
        <v>2129844</v>
      </c>
      <c r="B369" s="3" t="inlineStr">
        <is>
          <t>Professional Certificate Course In Data Science - March 2025</t>
        </is>
      </c>
      <c r="C369" s="4" t="n">
        <v>45978</v>
      </c>
      <c r="D369" s="3" t="inlineStr"/>
      <c r="E369" s="3" t="inlineStr">
        <is>
          <t>Career Gap/ Non Working</t>
        </is>
      </c>
    </row>
    <row r="370">
      <c r="A370" s="3" t="n">
        <v>2138273</v>
      </c>
      <c r="B370" s="3" t="inlineStr">
        <is>
          <t>Professional Certificate Course In Data Science - March 2025</t>
        </is>
      </c>
      <c r="C370" s="4" t="n">
        <v>45967</v>
      </c>
      <c r="D370" s="3" t="inlineStr"/>
      <c r="E370" s="3" t="inlineStr">
        <is>
          <t>Fresher</t>
        </is>
      </c>
    </row>
    <row r="371">
      <c r="A371" s="3" t="n">
        <v>2139560</v>
      </c>
      <c r="B371" s="3" t="inlineStr">
        <is>
          <t>Professional Certificate Course In Data Science - March 2025</t>
        </is>
      </c>
      <c r="C371" s="4" t="n">
        <v>45919</v>
      </c>
      <c r="D371" s="3" t="inlineStr"/>
      <c r="E371" s="3" t="inlineStr">
        <is>
          <t>Irrelevant (Non Tech) (Grad&gt;2020)</t>
        </is>
      </c>
    </row>
    <row r="372">
      <c r="A372" s="3" t="n">
        <v>2145917</v>
      </c>
      <c r="B372" s="3" t="inlineStr">
        <is>
          <t>Professional Certificate Course In Data Science - March 2025</t>
        </is>
      </c>
      <c r="C372" s="4" t="n">
        <v>45897</v>
      </c>
      <c r="D372" s="3" t="inlineStr"/>
      <c r="E372" s="3" t="inlineStr">
        <is>
          <t>Irrelevant (Tech/IT)</t>
        </is>
      </c>
    </row>
    <row r="373">
      <c r="A373" s="3" t="n">
        <v>2151684</v>
      </c>
      <c r="B373" s="3" t="inlineStr">
        <is>
          <t>Professional Certificate Course In Data Science - March 2025</t>
        </is>
      </c>
      <c r="C373" s="4" t="n">
        <v>46153</v>
      </c>
      <c r="D373" s="3" t="inlineStr"/>
      <c r="E373" s="3" t="inlineStr">
        <is>
          <t>Irrelevant (Non Tech) (Grad&gt;2020)</t>
        </is>
      </c>
    </row>
    <row r="374">
      <c r="A374" s="3" t="n">
        <v>2152547</v>
      </c>
      <c r="B374" s="3" t="inlineStr">
        <is>
          <t>Professional Certificate Course In Data Science - March 2025</t>
        </is>
      </c>
      <c r="C374" s="4" t="n">
        <v>45870</v>
      </c>
      <c r="D374" s="3" t="inlineStr"/>
      <c r="E374" s="3" t="inlineStr">
        <is>
          <t>Career Gap/ Non Working</t>
        </is>
      </c>
    </row>
    <row r="375">
      <c r="A375" s="3" t="n">
        <v>2170689</v>
      </c>
      <c r="B375" s="3" t="inlineStr">
        <is>
          <t>Professional Certificate Course In Data Science - March 2025</t>
        </is>
      </c>
      <c r="C375" s="4" t="n">
        <v>45874</v>
      </c>
      <c r="D375" s="3" t="inlineStr"/>
      <c r="E375" s="3" t="inlineStr">
        <is>
          <t>Irrelevant (Tech/IT)</t>
        </is>
      </c>
    </row>
    <row r="376">
      <c r="A376" s="3" t="n">
        <v>2171315</v>
      </c>
      <c r="B376" s="3" t="inlineStr">
        <is>
          <t>Professional Certificate Course In Data Science - March 2025</t>
        </is>
      </c>
      <c r="C376" s="4" t="n">
        <v>45946</v>
      </c>
      <c r="D376" s="3" t="inlineStr"/>
      <c r="E376" s="3" t="inlineStr">
        <is>
          <t>Irrelevant (Non Tech) (Grad&gt;2020)</t>
        </is>
      </c>
    </row>
    <row r="377">
      <c r="A377" s="3" t="n">
        <v>2171488</v>
      </c>
      <c r="B377" s="3" t="inlineStr">
        <is>
          <t>Professional Certificate Course In Data Science - March 2025</t>
        </is>
      </c>
      <c r="C377" s="4" t="n">
        <v>45877</v>
      </c>
      <c r="D377" s="3" t="inlineStr"/>
      <c r="E377" s="3" t="inlineStr">
        <is>
          <t>Relevant</t>
        </is>
      </c>
    </row>
    <row r="378">
      <c r="A378" s="3" t="n">
        <v>2178861</v>
      </c>
      <c r="B378" s="3" t="inlineStr">
        <is>
          <t>Professional Certificate Course In Data Science - March 2025</t>
        </is>
      </c>
      <c r="C378" s="4" t="n">
        <v>45898</v>
      </c>
      <c r="D378" s="3" t="inlineStr"/>
      <c r="E378" s="3" t="inlineStr">
        <is>
          <t>Irrelevant (Tech/IT)</t>
        </is>
      </c>
    </row>
    <row r="379">
      <c r="A379" s="3" t="n">
        <v>2182612</v>
      </c>
      <c r="B379" s="3" t="inlineStr">
        <is>
          <t>Professional Certificate Course In Data Science - March 2025</t>
        </is>
      </c>
      <c r="C379" s="4" t="n">
        <v>46150</v>
      </c>
      <c r="D379" s="3" t="inlineStr"/>
      <c r="E379" s="3" t="inlineStr">
        <is>
          <t>Irrelevant (Non Tech) (Grad&gt;2020)</t>
        </is>
      </c>
    </row>
    <row r="380">
      <c r="A380" s="3" t="n">
        <v>2184135</v>
      </c>
      <c r="B380" s="3" t="inlineStr">
        <is>
          <t>Professional Certificate Course In Data Science - March 2025</t>
        </is>
      </c>
      <c r="C380" s="4" t="n">
        <v>45943</v>
      </c>
      <c r="D380" s="3" t="inlineStr"/>
      <c r="E380" s="3" t="inlineStr">
        <is>
          <t>Irrelevant (Tech/IT)</t>
        </is>
      </c>
    </row>
    <row r="381">
      <c r="A381" s="3" t="n">
        <v>2186048</v>
      </c>
      <c r="B381" s="3" t="inlineStr">
        <is>
          <t>Professional Certificate Course In Data Science - March 2025</t>
        </is>
      </c>
      <c r="C381" s="4" t="n">
        <v>45967</v>
      </c>
      <c r="D381" s="3" t="inlineStr"/>
      <c r="E381" s="3" t="inlineStr">
        <is>
          <t>Irrelevant (Non Tech) (Grad&gt;2020)</t>
        </is>
      </c>
    </row>
    <row r="382">
      <c r="A382" s="3" t="n">
        <v>2189422</v>
      </c>
      <c r="B382" s="3" t="inlineStr">
        <is>
          <t>Professional Certificate Course In Data Science - March 2025</t>
        </is>
      </c>
      <c r="C382" s="4" t="n">
        <v>45881</v>
      </c>
      <c r="D382" s="3" t="inlineStr"/>
      <c r="E382" s="3" t="inlineStr">
        <is>
          <t>Relevant</t>
        </is>
      </c>
    </row>
    <row r="383">
      <c r="A383" s="3" t="n">
        <v>2192994</v>
      </c>
      <c r="B383" s="3" t="inlineStr">
        <is>
          <t>Professional Certificate Course In Data Science - March 2025</t>
        </is>
      </c>
      <c r="C383" s="4" t="n">
        <v>45890</v>
      </c>
      <c r="D383" s="3" t="inlineStr"/>
      <c r="E383" s="3" t="inlineStr">
        <is>
          <t>Career Gap/ Non Working</t>
        </is>
      </c>
    </row>
    <row r="384">
      <c r="A384" s="3" t="n">
        <v>192763</v>
      </c>
      <c r="B384" s="3" t="inlineStr">
        <is>
          <t>Professional Certificate Course In Data Science - May 2023</t>
        </is>
      </c>
      <c r="C384" s="3" t="n"/>
      <c r="D384" s="3" t="inlineStr"/>
      <c r="E384" s="3" t="inlineStr"/>
    </row>
    <row r="385">
      <c r="A385" s="3" t="n">
        <v>365627</v>
      </c>
      <c r="B385" s="3" t="inlineStr">
        <is>
          <t>Professional Certificate Course In Data Science - May 2023</t>
        </is>
      </c>
      <c r="C385" s="4" t="n">
        <v>45594</v>
      </c>
      <c r="D385" s="3" t="inlineStr"/>
      <c r="E385" s="3" t="inlineStr">
        <is>
          <t>Fresher</t>
        </is>
      </c>
    </row>
    <row r="386">
      <c r="A386" s="3" t="n">
        <v>475767</v>
      </c>
      <c r="B386" s="3" t="inlineStr">
        <is>
          <t>Professional Certificate Course In Data Science - May 2023</t>
        </is>
      </c>
      <c r="C386" s="3" t="n"/>
      <c r="D386" s="3" t="inlineStr"/>
      <c r="E386" s="3" t="inlineStr"/>
    </row>
    <row r="387">
      <c r="A387" s="3" t="n">
        <v>696802</v>
      </c>
      <c r="B387" s="3" t="inlineStr">
        <is>
          <t>Professional Certificate Course In Data Science - May 2023</t>
        </is>
      </c>
      <c r="C387" s="4" t="n">
        <v>45594</v>
      </c>
      <c r="D387" s="3" t="inlineStr"/>
      <c r="E387" s="3" t="inlineStr"/>
    </row>
    <row r="388">
      <c r="A388" s="3" t="n">
        <v>1101341</v>
      </c>
      <c r="B388" s="3" t="inlineStr">
        <is>
          <t>Professional Certificate Course In Data Science - May 2023</t>
        </is>
      </c>
      <c r="C388" s="4" t="n">
        <v>46104</v>
      </c>
      <c r="D388" s="3" t="inlineStr"/>
      <c r="E388" s="3" t="inlineStr"/>
    </row>
    <row r="389">
      <c r="A389" s="3" t="n">
        <v>1129647</v>
      </c>
      <c r="B389" s="3" t="inlineStr">
        <is>
          <t>Professional Certificate Course In Data Science - May 2023</t>
        </is>
      </c>
      <c r="C389" s="4" t="n">
        <v>45618</v>
      </c>
      <c r="D389" s="3" t="inlineStr"/>
      <c r="E389" s="3" t="inlineStr"/>
    </row>
    <row r="390">
      <c r="A390" s="3" t="n">
        <v>1224601</v>
      </c>
      <c r="B390" s="3" t="inlineStr">
        <is>
          <t>Professional Certificate Course In Data Science - May 2023</t>
        </is>
      </c>
      <c r="C390" s="4" t="n">
        <v>45618</v>
      </c>
      <c r="D390" s="3" t="inlineStr"/>
      <c r="E390" s="3" t="inlineStr"/>
    </row>
    <row r="391">
      <c r="A391" s="3" t="n">
        <v>1266076</v>
      </c>
      <c r="B391" s="3" t="inlineStr">
        <is>
          <t>Professional Certificate Course In Data Science - May 2023</t>
        </is>
      </c>
      <c r="C391" s="4" t="n">
        <v>45733</v>
      </c>
      <c r="D391" s="3" t="inlineStr"/>
      <c r="E391" s="3" t="inlineStr"/>
    </row>
    <row r="392">
      <c r="A392" s="3" t="n">
        <v>1292013</v>
      </c>
      <c r="B392" s="3" t="inlineStr">
        <is>
          <t>Professional Certificate Course In Data Science - May 2023</t>
        </is>
      </c>
      <c r="C392" s="4" t="n">
        <v>46027</v>
      </c>
      <c r="D392" s="3" t="inlineStr"/>
      <c r="E392" s="3" t="inlineStr">
        <is>
          <t>Relevant</t>
        </is>
      </c>
    </row>
    <row r="393">
      <c r="A393" s="3" t="n">
        <v>1306022</v>
      </c>
      <c r="B393" s="3" t="inlineStr">
        <is>
          <t>Professional Certificate Course In Data Science - May 2023</t>
        </is>
      </c>
      <c r="C393" s="4" t="n">
        <v>45720</v>
      </c>
      <c r="D393" s="3" t="inlineStr"/>
      <c r="E393" s="3" t="inlineStr">
        <is>
          <t>Irrelevant (Tech/IT)</t>
        </is>
      </c>
    </row>
    <row r="394">
      <c r="A394" s="3" t="n">
        <v>1315301</v>
      </c>
      <c r="B394" s="3" t="inlineStr">
        <is>
          <t>Professional Certificate Course In Data Science - May 2023</t>
        </is>
      </c>
      <c r="C394" s="4" t="n">
        <v>46058</v>
      </c>
      <c r="D394" s="3" t="inlineStr"/>
      <c r="E394" s="3" t="inlineStr">
        <is>
          <t>Relevant</t>
        </is>
      </c>
    </row>
    <row r="395">
      <c r="A395" s="3" t="n">
        <v>1316006</v>
      </c>
      <c r="B395" s="3" t="inlineStr">
        <is>
          <t>Professional Certificate Course In Data Science - May 2023</t>
        </is>
      </c>
      <c r="C395" s="4" t="n">
        <v>45601</v>
      </c>
      <c r="D395" s="3" t="inlineStr"/>
      <c r="E395" s="3" t="inlineStr">
        <is>
          <t>Irrelevant (Non Tech) (Grad&gt;2020)</t>
        </is>
      </c>
    </row>
    <row r="396">
      <c r="A396" s="3" t="n">
        <v>1320593</v>
      </c>
      <c r="B396" s="3" t="inlineStr">
        <is>
          <t>Professional Certificate Course In Data Science - May 2023</t>
        </is>
      </c>
      <c r="C396" s="4" t="n">
        <v>45593</v>
      </c>
      <c r="D396" s="3" t="inlineStr"/>
      <c r="E396" s="3" t="inlineStr">
        <is>
          <t>Relevant</t>
        </is>
      </c>
    </row>
    <row r="397">
      <c r="A397" s="3" t="n">
        <v>92888</v>
      </c>
      <c r="B397" s="3" t="inlineStr">
        <is>
          <t>Professional Certificate Course In Data Science - May 2024</t>
        </is>
      </c>
      <c r="C397" s="4" t="n">
        <v>45940</v>
      </c>
      <c r="D397" s="3" t="inlineStr"/>
      <c r="E397" s="3" t="inlineStr">
        <is>
          <t>Irrelevant (Tech/IT)</t>
        </is>
      </c>
    </row>
    <row r="398">
      <c r="A398" s="3" t="n">
        <v>437984</v>
      </c>
      <c r="B398" s="3" t="inlineStr">
        <is>
          <t>Professional Certificate Course In Data Science - May 2024</t>
        </is>
      </c>
      <c r="C398" s="4" t="n">
        <v>45558</v>
      </c>
      <c r="D398" s="3" t="inlineStr"/>
      <c r="E398" s="3" t="inlineStr">
        <is>
          <t>Relevant</t>
        </is>
      </c>
    </row>
    <row r="399">
      <c r="A399" s="3" t="n">
        <v>658079</v>
      </c>
      <c r="B399" s="3" t="inlineStr">
        <is>
          <t>Professional Certificate Course In Data Science - May 2024</t>
        </is>
      </c>
      <c r="C399" s="4" t="n">
        <v>45558</v>
      </c>
      <c r="D399" s="3" t="inlineStr"/>
      <c r="E399" s="3" t="inlineStr">
        <is>
          <t>Relevant</t>
        </is>
      </c>
    </row>
    <row r="400">
      <c r="A400" s="3" t="n">
        <v>1648348</v>
      </c>
      <c r="B400" s="3" t="inlineStr">
        <is>
          <t>Professional Certificate Course In Data Science - May 2024</t>
        </is>
      </c>
      <c r="C400" s="4" t="n">
        <v>45729</v>
      </c>
      <c r="D400" s="3" t="inlineStr"/>
      <c r="E400" s="3" t="inlineStr">
        <is>
          <t>Irrelevant (Tech/IT)</t>
        </is>
      </c>
    </row>
    <row r="401">
      <c r="A401" s="3" t="n">
        <v>1680926</v>
      </c>
      <c r="B401" s="3" t="inlineStr">
        <is>
          <t>Professional Certificate Course In Data Science - May 2024</t>
        </is>
      </c>
      <c r="C401" s="4" t="n">
        <v>45601</v>
      </c>
      <c r="D401" s="3" t="inlineStr"/>
      <c r="E401" s="3" t="inlineStr">
        <is>
          <t>Irrelevant (Grad&lt;2020)</t>
        </is>
      </c>
    </row>
    <row r="402">
      <c r="A402" s="3" t="n">
        <v>1693819</v>
      </c>
      <c r="B402" s="3" t="inlineStr">
        <is>
          <t>Professional Certificate Course In Data Science - May 2024</t>
        </is>
      </c>
      <c r="C402" s="4" t="n">
        <v>45594</v>
      </c>
      <c r="D402" s="3" t="inlineStr"/>
      <c r="E402" s="3" t="inlineStr">
        <is>
          <t>Relevant</t>
        </is>
      </c>
    </row>
    <row r="403">
      <c r="A403" s="3" t="n">
        <v>1695954</v>
      </c>
      <c r="B403" s="3" t="inlineStr">
        <is>
          <t>Professional Certificate Course In Data Science - May 2024</t>
        </is>
      </c>
      <c r="C403" s="4" t="n">
        <v>45601</v>
      </c>
      <c r="D403" s="3" t="inlineStr"/>
      <c r="E403" s="3" t="inlineStr">
        <is>
          <t>Fresher</t>
        </is>
      </c>
    </row>
    <row r="404">
      <c r="A404" s="3" t="n">
        <v>1696917</v>
      </c>
      <c r="B404" s="3" t="inlineStr">
        <is>
          <t>Professional Certificate Course In Data Science - May 2024</t>
        </is>
      </c>
      <c r="C404" s="4" t="n">
        <v>45685</v>
      </c>
      <c r="D404" s="3" t="inlineStr"/>
      <c r="E404" s="3" t="inlineStr">
        <is>
          <t>Irrelevant (Non Tech) (Grad&gt;2020)</t>
        </is>
      </c>
    </row>
    <row r="405">
      <c r="A405" s="3" t="n">
        <v>1699122</v>
      </c>
      <c r="B405" s="3" t="inlineStr">
        <is>
          <t>Professional Certificate Course In Data Science - May 2024</t>
        </is>
      </c>
      <c r="C405" s="4" t="n">
        <v>45594</v>
      </c>
      <c r="D405" s="3" t="inlineStr"/>
      <c r="E405" s="3" t="inlineStr">
        <is>
          <t>Irrelevant (Grad&lt;2020)</t>
        </is>
      </c>
    </row>
    <row r="406">
      <c r="A406" s="3" t="n">
        <v>1699615</v>
      </c>
      <c r="B406" s="3" t="inlineStr">
        <is>
          <t>Professional Certificate Course In Data Science - May 2024</t>
        </is>
      </c>
      <c r="C406" s="4" t="n">
        <v>45524</v>
      </c>
      <c r="D406" s="3" t="inlineStr"/>
      <c r="E406" s="3" t="inlineStr">
        <is>
          <t>Irrelevant (Non Tech) (Grad&gt;2020)</t>
        </is>
      </c>
    </row>
    <row r="407">
      <c r="A407" s="3" t="n">
        <v>1702900</v>
      </c>
      <c r="B407" s="3" t="inlineStr">
        <is>
          <t>Professional Certificate Course In Data Science - May 2024</t>
        </is>
      </c>
      <c r="C407" s="4" t="n">
        <v>45514</v>
      </c>
      <c r="D407" s="3" t="inlineStr"/>
      <c r="E407" s="3" t="inlineStr">
        <is>
          <t>Relevant</t>
        </is>
      </c>
    </row>
    <row r="408">
      <c r="A408" s="3" t="n">
        <v>1706901</v>
      </c>
      <c r="B408" s="3" t="inlineStr">
        <is>
          <t>Professional Certificate Course In Data Science - May 2024</t>
        </is>
      </c>
      <c r="C408" s="4" t="n">
        <v>45558</v>
      </c>
      <c r="D408" s="3" t="inlineStr"/>
      <c r="E408" s="3" t="inlineStr">
        <is>
          <t>Relevant</t>
        </is>
      </c>
    </row>
    <row r="409">
      <c r="A409" s="3" t="n">
        <v>1709537</v>
      </c>
      <c r="B409" s="3" t="inlineStr">
        <is>
          <t>Professional Certificate Course In Data Science - May 2024</t>
        </is>
      </c>
      <c r="C409" s="4" t="n">
        <v>45601</v>
      </c>
      <c r="D409" s="3" t="inlineStr"/>
      <c r="E409" s="3" t="inlineStr">
        <is>
          <t>Irrelevant (Non Tech) (Grad&gt;2020)</t>
        </is>
      </c>
    </row>
    <row r="410">
      <c r="A410" s="3" t="n">
        <v>1718042</v>
      </c>
      <c r="B410" s="3" t="inlineStr">
        <is>
          <t>Professional Certificate Course In Data Science - May 2024</t>
        </is>
      </c>
      <c r="C410" s="4" t="n">
        <v>45656</v>
      </c>
      <c r="D410" s="3" t="inlineStr"/>
      <c r="E410" s="3" t="inlineStr">
        <is>
          <t>Irrelevant (Non Tech) (Grad&gt;2020)</t>
        </is>
      </c>
    </row>
    <row r="411">
      <c r="A411" s="3" t="n">
        <v>1721529</v>
      </c>
      <c r="B411" s="3" t="inlineStr">
        <is>
          <t>Professional Certificate Course In Data Science - May 2024</t>
        </is>
      </c>
      <c r="C411" s="4" t="n">
        <v>45524</v>
      </c>
      <c r="D411" s="3" t="inlineStr"/>
      <c r="E411" s="3" t="inlineStr">
        <is>
          <t>Fresher</t>
        </is>
      </c>
    </row>
    <row r="412">
      <c r="A412" s="3" t="n">
        <v>1725609</v>
      </c>
      <c r="B412" s="3" t="inlineStr">
        <is>
          <t>Professional Certificate Course In Data Science - May 2024</t>
        </is>
      </c>
      <c r="C412" s="4" t="n">
        <v>45618</v>
      </c>
      <c r="D412" s="3" t="inlineStr"/>
      <c r="E412" s="3" t="inlineStr">
        <is>
          <t>Fresher</t>
        </is>
      </c>
    </row>
    <row r="413">
      <c r="A413" s="3" t="n">
        <v>1733943</v>
      </c>
      <c r="B413" s="3" t="inlineStr">
        <is>
          <t>Professional Certificate Course In Data Science - May 2024</t>
        </is>
      </c>
      <c r="C413" s="4" t="n">
        <v>45521</v>
      </c>
      <c r="D413" s="3" t="inlineStr"/>
      <c r="E413" s="3" t="inlineStr">
        <is>
          <t>Relevant</t>
        </is>
      </c>
    </row>
    <row r="414">
      <c r="A414" s="3" t="n">
        <v>1738624</v>
      </c>
      <c r="B414" s="3" t="inlineStr">
        <is>
          <t>Professional Certificate Course In Data Science - May 2024</t>
        </is>
      </c>
      <c r="C414" s="4" t="n">
        <v>45521</v>
      </c>
      <c r="D414" s="3" t="inlineStr"/>
      <c r="E414" s="3" t="inlineStr">
        <is>
          <t>Relevant</t>
        </is>
      </c>
    </row>
    <row r="415">
      <c r="A415" s="3" t="n">
        <v>768870</v>
      </c>
      <c r="B415" s="3" t="inlineStr">
        <is>
          <t>Professional Certificate Course In Data Science - May 2025</t>
        </is>
      </c>
      <c r="C415" s="4" t="n">
        <v>45911</v>
      </c>
      <c r="D415" s="3" t="inlineStr"/>
      <c r="E415" s="3" t="inlineStr">
        <is>
          <t>Irrelevant (Tech/IT)</t>
        </is>
      </c>
    </row>
    <row r="416">
      <c r="A416" s="3" t="n">
        <v>2223663</v>
      </c>
      <c r="B416" s="3" t="inlineStr">
        <is>
          <t>Professional Certificate Course In Data Science - May 2025</t>
        </is>
      </c>
      <c r="C416" s="4" t="n">
        <v>45924</v>
      </c>
      <c r="D416" s="3" t="inlineStr"/>
      <c r="E416" s="3" t="inlineStr">
        <is>
          <t>Irrelevant (Grad&lt;2020)</t>
        </is>
      </c>
    </row>
    <row r="417">
      <c r="A417" s="3" t="n">
        <v>293505</v>
      </c>
      <c r="B417" s="3" t="inlineStr">
        <is>
          <t>Professional Certificate Course In Data Science - May 2025</t>
        </is>
      </c>
      <c r="C417" s="4" t="n">
        <v>45996</v>
      </c>
      <c r="D417" s="3" t="inlineStr"/>
      <c r="E417" s="3" t="inlineStr">
        <is>
          <t>Irrelevant (Grad&lt;2020)</t>
        </is>
      </c>
    </row>
    <row r="418">
      <c r="A418" s="3" t="n">
        <v>401354</v>
      </c>
      <c r="B418" s="3" t="inlineStr">
        <is>
          <t>Professional Certificate Course In Data Science - May 2025</t>
        </is>
      </c>
      <c r="C418" s="4" t="n">
        <v>46010</v>
      </c>
      <c r="D418" s="3" t="inlineStr"/>
      <c r="E418" s="3" t="inlineStr">
        <is>
          <t>Irrelevant (Tech/IT)</t>
        </is>
      </c>
    </row>
    <row r="419">
      <c r="A419" s="3" t="n">
        <v>426659</v>
      </c>
      <c r="B419" s="3" t="inlineStr">
        <is>
          <t>Professional Certificate Course In Data Science - May 2025</t>
        </is>
      </c>
      <c r="C419" s="4" t="n">
        <v>45944</v>
      </c>
      <c r="D419" s="3" t="inlineStr"/>
      <c r="E419" s="3" t="inlineStr">
        <is>
          <t>Relevant</t>
        </is>
      </c>
    </row>
    <row r="420">
      <c r="A420" s="3" t="n">
        <v>1361166</v>
      </c>
      <c r="B420" s="3" t="inlineStr">
        <is>
          <t>Professional Certificate Course In Data Science - May 2025</t>
        </is>
      </c>
      <c r="C420" s="4" t="n">
        <v>45937</v>
      </c>
      <c r="D420" s="3" t="inlineStr"/>
      <c r="E420" s="3" t="inlineStr">
        <is>
          <t>Irrelevant (Tech/IT)</t>
        </is>
      </c>
    </row>
    <row r="421">
      <c r="A421" s="3" t="n">
        <v>1638600</v>
      </c>
      <c r="B421" s="3" t="inlineStr">
        <is>
          <t>Professional Certificate Course In Data Science - May 2025</t>
        </is>
      </c>
      <c r="C421" s="4" t="n">
        <v>46106</v>
      </c>
      <c r="D421" s="3" t="inlineStr"/>
      <c r="E421" s="3" t="inlineStr">
        <is>
          <t>Irrelevant (Non Tech) (Grad&gt;2020)</t>
        </is>
      </c>
    </row>
    <row r="422">
      <c r="A422" s="3" t="n">
        <v>2031050</v>
      </c>
      <c r="B422" s="3" t="inlineStr">
        <is>
          <t>Professional Certificate Course In Data Science - May 2025</t>
        </is>
      </c>
      <c r="C422" s="4" t="n">
        <v>45922</v>
      </c>
      <c r="D422" s="3" t="inlineStr"/>
      <c r="E422" s="3" t="inlineStr">
        <is>
          <t>Fresher</t>
        </is>
      </c>
    </row>
    <row r="423">
      <c r="A423" s="3" t="n">
        <v>2098999</v>
      </c>
      <c r="B423" s="3" t="inlineStr">
        <is>
          <t>Professional Certificate Course In Data Science - May 2025</t>
        </is>
      </c>
      <c r="C423" s="4" t="n">
        <v>45912</v>
      </c>
      <c r="D423" s="3" t="inlineStr"/>
      <c r="E423" s="3" t="inlineStr">
        <is>
          <t>Relevant</t>
        </is>
      </c>
    </row>
    <row r="424">
      <c r="A424" s="3" t="n">
        <v>2106211</v>
      </c>
      <c r="B424" s="3" t="inlineStr">
        <is>
          <t>Professional Certificate Course In Data Science - May 2025</t>
        </is>
      </c>
      <c r="C424" s="4" t="n">
        <v>46126</v>
      </c>
      <c r="D424" s="3" t="inlineStr"/>
      <c r="E424" s="3" t="inlineStr">
        <is>
          <t>Irrelevant (Non Tech) (Grad&gt;2020)</t>
        </is>
      </c>
    </row>
    <row r="425">
      <c r="A425" s="3" t="n">
        <v>2236186</v>
      </c>
      <c r="B425" s="3" t="inlineStr">
        <is>
          <t>Professional Certificate Course In Data Science - May 2025</t>
        </is>
      </c>
      <c r="C425" s="4" t="n">
        <v>46092</v>
      </c>
      <c r="D425" s="3" t="inlineStr"/>
      <c r="E425" s="3" t="inlineStr">
        <is>
          <t>Irrelevant (Non Tech) (Grad&gt;2020)</t>
        </is>
      </c>
    </row>
    <row r="426">
      <c r="A426" s="3" t="n">
        <v>2267689</v>
      </c>
      <c r="B426" s="3" t="inlineStr">
        <is>
          <t>Professional Certificate Course In Data Science - May 2025</t>
        </is>
      </c>
      <c r="C426" s="4" t="n">
        <v>45954</v>
      </c>
      <c r="D426" s="3" t="inlineStr"/>
      <c r="E426" s="3" t="inlineStr">
        <is>
          <t>Relevant</t>
        </is>
      </c>
    </row>
    <row r="427">
      <c r="A427" s="3" t="n">
        <v>2274397</v>
      </c>
      <c r="B427" s="3" t="inlineStr">
        <is>
          <t>Professional Certificate Course In Data Science - May 2025</t>
        </is>
      </c>
      <c r="C427" s="4" t="n">
        <v>45937</v>
      </c>
      <c r="D427" s="3" t="inlineStr"/>
      <c r="E427" s="3" t="inlineStr">
        <is>
          <t>Irrelevant (Non Tech) (Grad&gt;2020)</t>
        </is>
      </c>
    </row>
    <row r="428">
      <c r="A428" s="3" t="n">
        <v>2280947</v>
      </c>
      <c r="B428" s="3" t="inlineStr">
        <is>
          <t>Professional Certificate Course In Data Science - May 2025</t>
        </is>
      </c>
      <c r="C428" s="4" t="n">
        <v>45965</v>
      </c>
      <c r="D428" s="3" t="inlineStr"/>
      <c r="E428" s="3" t="inlineStr">
        <is>
          <t>Fresher</t>
        </is>
      </c>
    </row>
    <row r="429">
      <c r="A429" s="3" t="n">
        <v>2291103</v>
      </c>
      <c r="B429" s="3" t="inlineStr">
        <is>
          <t>Professional Certificate Course In Data Science - May 2025</t>
        </is>
      </c>
      <c r="C429" s="4" t="n">
        <v>45944</v>
      </c>
      <c r="D429" s="3" t="inlineStr"/>
      <c r="E429" s="3" t="inlineStr">
        <is>
          <t>Relevant</t>
        </is>
      </c>
    </row>
    <row r="430">
      <c r="A430" s="3" t="n">
        <v>2300849</v>
      </c>
      <c r="B430" s="3" t="inlineStr">
        <is>
          <t>Professional Certificate Course In Data Science - May 2025</t>
        </is>
      </c>
      <c r="C430" s="4" t="n">
        <v>45939</v>
      </c>
      <c r="D430" s="3" t="inlineStr"/>
      <c r="E430" s="3" t="inlineStr">
        <is>
          <t>Irrelevant (Tech/IT)</t>
        </is>
      </c>
    </row>
    <row r="431">
      <c r="A431" s="3" t="n">
        <v>2310074</v>
      </c>
      <c r="B431" s="3" t="inlineStr">
        <is>
          <t>Professional Certificate Course In Data Science - May 2025</t>
        </is>
      </c>
      <c r="C431" s="4" t="n">
        <v>45911</v>
      </c>
      <c r="D431" s="3" t="inlineStr"/>
      <c r="E431" s="3" t="inlineStr">
        <is>
          <t>Fresher</t>
        </is>
      </c>
    </row>
    <row r="432">
      <c r="A432" s="3" t="n">
        <v>2316793</v>
      </c>
      <c r="B432" s="3" t="inlineStr">
        <is>
          <t>Professional Certificate Course In Data Science - May 2025</t>
        </is>
      </c>
      <c r="C432" s="4" t="n">
        <v>45954</v>
      </c>
      <c r="D432" s="3" t="inlineStr"/>
      <c r="E432" s="3" t="inlineStr">
        <is>
          <t>Irrelevant (Tech/IT)</t>
        </is>
      </c>
    </row>
    <row r="433">
      <c r="A433" s="3" t="n">
        <v>2322602</v>
      </c>
      <c r="B433" s="3" t="inlineStr">
        <is>
          <t>Professional Certificate Course In Data Science - May 2025</t>
        </is>
      </c>
      <c r="C433" s="4" t="n">
        <v>45958</v>
      </c>
      <c r="D433" s="3" t="inlineStr"/>
      <c r="E433" s="3" t="inlineStr">
        <is>
          <t>Irrelevant (Non Tech) (Grad&gt;2020)</t>
        </is>
      </c>
    </row>
    <row r="434">
      <c r="A434" s="3" t="n">
        <v>2330434</v>
      </c>
      <c r="B434" s="3" t="inlineStr">
        <is>
          <t>Professional Certificate Course In Data Science - May 2025</t>
        </is>
      </c>
      <c r="C434" s="4" t="n">
        <v>45959</v>
      </c>
      <c r="D434" s="3" t="inlineStr"/>
      <c r="E434" s="3" t="inlineStr">
        <is>
          <t>Fresher</t>
        </is>
      </c>
    </row>
    <row r="435">
      <c r="A435" s="3" t="n">
        <v>2338006</v>
      </c>
      <c r="B435" s="3" t="inlineStr">
        <is>
          <t>Professional Certificate Course In Data Science - May 2025</t>
        </is>
      </c>
      <c r="C435" s="4" t="n">
        <v>45908</v>
      </c>
      <c r="D435" s="3" t="inlineStr"/>
      <c r="E435" s="3" t="inlineStr">
        <is>
          <t>Relevant</t>
        </is>
      </c>
    </row>
    <row r="436">
      <c r="A436" s="3" t="n">
        <v>2343235</v>
      </c>
      <c r="B436" s="3" t="inlineStr">
        <is>
          <t>Professional Certificate Course In Data Science - May 2025</t>
        </is>
      </c>
      <c r="C436" s="4" t="n">
        <v>45965</v>
      </c>
      <c r="D436" s="3" t="inlineStr"/>
      <c r="E436" s="3" t="inlineStr">
        <is>
          <t>Fresher</t>
        </is>
      </c>
    </row>
    <row r="437">
      <c r="A437" s="3" t="n">
        <v>2343294</v>
      </c>
      <c r="B437" s="3" t="inlineStr">
        <is>
          <t>Professional Certificate Course In Data Science - May 2025</t>
        </is>
      </c>
      <c r="C437" s="4" t="n">
        <v>45986</v>
      </c>
      <c r="D437" s="3" t="inlineStr"/>
      <c r="E437" s="3" t="inlineStr">
        <is>
          <t>Career Gap/ Non Working</t>
        </is>
      </c>
    </row>
    <row r="438">
      <c r="A438" s="3" t="n">
        <v>2344931</v>
      </c>
      <c r="B438" s="3" t="inlineStr">
        <is>
          <t>Professional Certificate Course In Data Science - May 2025</t>
        </is>
      </c>
      <c r="C438" s="4" t="n">
        <v>46092</v>
      </c>
      <c r="D438" s="3" t="inlineStr"/>
      <c r="E438" s="3" t="inlineStr">
        <is>
          <t>Fresher</t>
        </is>
      </c>
    </row>
    <row r="439">
      <c r="A439" s="3" t="n">
        <v>2385647</v>
      </c>
      <c r="B439" s="3" t="inlineStr">
        <is>
          <t>Professional Certificate Course In Data Science - May 2025</t>
        </is>
      </c>
      <c r="C439" s="4" t="n">
        <v>45931</v>
      </c>
      <c r="D439" s="3" t="inlineStr"/>
      <c r="E439" s="3" t="inlineStr">
        <is>
          <t>Irrelevant (Grad&lt;2020)</t>
        </is>
      </c>
    </row>
    <row r="440">
      <c r="A440" s="3" t="n">
        <v>2415972</v>
      </c>
      <c r="B440" s="3" t="inlineStr">
        <is>
          <t>Professional Certificate Course In Data Science - May 2025</t>
        </is>
      </c>
      <c r="C440" s="4" t="n">
        <v>45972</v>
      </c>
      <c r="D440" s="3" t="inlineStr"/>
      <c r="E440" s="3" t="inlineStr">
        <is>
          <t>Fresher</t>
        </is>
      </c>
    </row>
    <row r="441">
      <c r="A441" s="3" t="n">
        <v>2426975</v>
      </c>
      <c r="B441" s="3" t="inlineStr">
        <is>
          <t>Professional Certificate Course In Data Science - May 2025</t>
        </is>
      </c>
      <c r="C441" s="4" t="n">
        <v>46037</v>
      </c>
      <c r="D441" s="3" t="inlineStr"/>
      <c r="E441" s="3" t="inlineStr">
        <is>
          <t>Career Gap/ Non Working</t>
        </is>
      </c>
    </row>
    <row r="442">
      <c r="A442" s="3" t="n">
        <v>2429219</v>
      </c>
      <c r="B442" s="3" t="inlineStr">
        <is>
          <t>Professional Certificate Course In Data Science - May 2025</t>
        </is>
      </c>
      <c r="C442" s="4" t="n">
        <v>45960</v>
      </c>
      <c r="D442" s="3" t="inlineStr"/>
      <c r="E442" s="3" t="inlineStr">
        <is>
          <t>Relevant</t>
        </is>
      </c>
    </row>
    <row r="443">
      <c r="A443" s="3" t="n">
        <v>2441794</v>
      </c>
      <c r="B443" s="3" t="inlineStr">
        <is>
          <t>Professional Certificate Course In Data Science - May 2025</t>
        </is>
      </c>
      <c r="C443" s="4" t="n">
        <v>46069</v>
      </c>
      <c r="D443" s="3" t="inlineStr"/>
      <c r="E443" s="3" t="inlineStr">
        <is>
          <t>Irrelevant (Tech/IT)</t>
        </is>
      </c>
    </row>
    <row r="444">
      <c r="A444" s="3" t="n">
        <v>2457391</v>
      </c>
      <c r="B444" s="3" t="inlineStr">
        <is>
          <t>Professional Certificate Course In Data Science - May 2025</t>
        </is>
      </c>
      <c r="C444" s="4" t="n">
        <v>45980</v>
      </c>
      <c r="D444" s="3" t="inlineStr"/>
      <c r="E444" s="3" t="inlineStr">
        <is>
          <t>Relevant</t>
        </is>
      </c>
    </row>
    <row r="445">
      <c r="A445" s="3" t="n">
        <v>99291</v>
      </c>
      <c r="B445" s="3" t="inlineStr">
        <is>
          <t>Professional Certificate Course In Data Science - November 2023</t>
        </is>
      </c>
      <c r="C445" s="4" t="n">
        <v>45443</v>
      </c>
      <c r="D445" s="3" t="inlineStr"/>
      <c r="E445" s="3" t="inlineStr"/>
    </row>
    <row r="446">
      <c r="A446" s="3" t="n">
        <v>641855</v>
      </c>
      <c r="B446" s="3" t="inlineStr">
        <is>
          <t>Professional Certificate Course In Data Science - November 2023</t>
        </is>
      </c>
      <c r="C446" s="3" t="n"/>
      <c r="D446" s="3" t="inlineStr"/>
      <c r="E446" s="3" t="inlineStr"/>
    </row>
    <row r="447">
      <c r="A447" s="3" t="n">
        <v>689204</v>
      </c>
      <c r="B447" s="3" t="inlineStr">
        <is>
          <t>Professional Certificate Course In Data Science - November 2023</t>
        </is>
      </c>
      <c r="C447" s="4" t="n">
        <v>45618</v>
      </c>
      <c r="D447" s="3" t="inlineStr"/>
      <c r="E447" s="3" t="inlineStr"/>
    </row>
    <row r="448">
      <c r="A448" s="3" t="n">
        <v>815763</v>
      </c>
      <c r="B448" s="3" t="inlineStr">
        <is>
          <t>Professional Certificate Course In Data Science - November 2023</t>
        </is>
      </c>
      <c r="C448" s="4" t="n">
        <v>45443</v>
      </c>
      <c r="D448" s="3" t="inlineStr"/>
      <c r="E448" s="3" t="inlineStr">
        <is>
          <t>Relevant</t>
        </is>
      </c>
    </row>
    <row r="449">
      <c r="A449" s="3" t="n">
        <v>985490</v>
      </c>
      <c r="B449" s="3" t="inlineStr">
        <is>
          <t>Professional Certificate Course In Data Science - November 2023</t>
        </is>
      </c>
      <c r="C449" s="4" t="n">
        <v>45594</v>
      </c>
      <c r="D449" s="3" t="inlineStr"/>
      <c r="E449" s="3" t="inlineStr"/>
    </row>
    <row r="450">
      <c r="A450" s="3" t="n">
        <v>1027748</v>
      </c>
      <c r="B450" s="3" t="inlineStr">
        <is>
          <t>Professional Certificate Course In Data Science - November 2023</t>
        </is>
      </c>
      <c r="C450" s="3" t="n"/>
      <c r="D450" s="3" t="inlineStr"/>
      <c r="E450" s="3" t="inlineStr">
        <is>
          <t>Relevant</t>
        </is>
      </c>
    </row>
    <row r="451">
      <c r="A451" s="3" t="n">
        <v>1193673</v>
      </c>
      <c r="B451" s="3" t="inlineStr">
        <is>
          <t>Professional Certificate Course In Data Science - November 2023</t>
        </is>
      </c>
      <c r="C451" s="4" t="n">
        <v>46191</v>
      </c>
      <c r="D451" s="3" t="inlineStr"/>
      <c r="E451" s="3" t="inlineStr">
        <is>
          <t>Relevant</t>
        </is>
      </c>
    </row>
    <row r="452">
      <c r="A452" s="3" t="n">
        <v>1464028</v>
      </c>
      <c r="B452" s="3" t="inlineStr">
        <is>
          <t>Professional Certificate Course In Data Science - November 2023</t>
        </is>
      </c>
      <c r="C452" s="4" t="n">
        <v>45601</v>
      </c>
      <c r="D452" s="3" t="inlineStr"/>
      <c r="E452" s="3" t="inlineStr">
        <is>
          <t>Career Gap/ Non Working</t>
        </is>
      </c>
    </row>
    <row r="453">
      <c r="A453" s="3" t="n">
        <v>1485733</v>
      </c>
      <c r="B453" s="3" t="inlineStr">
        <is>
          <t>Professional Certificate Course In Data Science - November 2023</t>
        </is>
      </c>
      <c r="C453" s="4" t="n">
        <v>45618</v>
      </c>
      <c r="D453" s="3" t="inlineStr"/>
      <c r="E453" s="3" t="inlineStr"/>
    </row>
    <row r="454">
      <c r="A454" s="3" t="n">
        <v>1489820</v>
      </c>
      <c r="B454" s="3" t="inlineStr">
        <is>
          <t>Professional Certificate Course In Data Science - November 2023</t>
        </is>
      </c>
      <c r="C454" s="4" t="n">
        <v>45568</v>
      </c>
      <c r="D454" s="3" t="inlineStr"/>
      <c r="E454" s="3" t="inlineStr">
        <is>
          <t>Irrelevant (Grad&lt;2020)</t>
        </is>
      </c>
    </row>
    <row r="455">
      <c r="A455" s="3" t="n">
        <v>1500663</v>
      </c>
      <c r="B455" s="3" t="inlineStr">
        <is>
          <t>Professional Certificate Course In Data Science - November 2023</t>
        </is>
      </c>
      <c r="C455" s="4" t="n">
        <v>45594</v>
      </c>
      <c r="D455" s="3" t="inlineStr"/>
      <c r="E455" s="3" t="inlineStr">
        <is>
          <t>Irrelevant (Grad&lt;2020)</t>
        </is>
      </c>
    </row>
    <row r="456">
      <c r="A456" s="3" t="n">
        <v>1505453</v>
      </c>
      <c r="B456" s="3" t="inlineStr">
        <is>
          <t>Professional Certificate Course In Data Science - November 2023</t>
        </is>
      </c>
      <c r="C456" s="4" t="n">
        <v>45400</v>
      </c>
      <c r="D456" s="3" t="inlineStr"/>
      <c r="E456" s="3" t="inlineStr">
        <is>
          <t>Career Gap/ Non Working</t>
        </is>
      </c>
    </row>
    <row r="457">
      <c r="A457" s="3" t="n">
        <v>1539092</v>
      </c>
      <c r="B457" s="3" t="inlineStr">
        <is>
          <t>Professional Certificate Course In Data Science - November 2023</t>
        </is>
      </c>
      <c r="C457" s="4" t="n">
        <v>45594</v>
      </c>
      <c r="D457" s="3" t="inlineStr"/>
      <c r="E457" s="3" t="inlineStr"/>
    </row>
    <row r="458">
      <c r="A458" s="3" t="n">
        <v>1540560</v>
      </c>
      <c r="B458" s="3" t="inlineStr">
        <is>
          <t>Professional Certificate Course In Data Science - November 2023</t>
        </is>
      </c>
      <c r="C458" s="4" t="n">
        <v>45601</v>
      </c>
      <c r="D458" s="3" t="inlineStr"/>
      <c r="E458" s="3" t="inlineStr">
        <is>
          <t>Irrelevant (Tech/IT)</t>
        </is>
      </c>
    </row>
    <row r="459">
      <c r="A459" s="3" t="n">
        <v>1540815</v>
      </c>
      <c r="B459" s="3" t="inlineStr">
        <is>
          <t>Professional Certificate Course In Data Science - November 2023</t>
        </is>
      </c>
      <c r="C459" s="4" t="n">
        <v>45517</v>
      </c>
      <c r="D459" s="3" t="inlineStr"/>
      <c r="E459" s="3" t="inlineStr">
        <is>
          <t>Irrelevant (Non Tech) (Grad&gt;2020)</t>
        </is>
      </c>
    </row>
    <row r="460">
      <c r="A460" s="3" t="n">
        <v>1541534</v>
      </c>
      <c r="B460" s="3" t="inlineStr">
        <is>
          <t>Professional Certificate Course In Data Science - November 2023</t>
        </is>
      </c>
      <c r="C460" s="4" t="n">
        <v>45574</v>
      </c>
      <c r="D460" s="3" t="inlineStr"/>
      <c r="E460" s="3" t="inlineStr">
        <is>
          <t>Irrelevant (Non Tech) (Grad&gt;2020)</t>
        </is>
      </c>
    </row>
    <row r="461">
      <c r="A461" s="3" t="n">
        <v>1543168</v>
      </c>
      <c r="B461" s="3" t="inlineStr">
        <is>
          <t>Professional Certificate Course In Data Science - November 2023</t>
        </is>
      </c>
      <c r="C461" s="4" t="n">
        <v>45630</v>
      </c>
      <c r="D461" s="3" t="inlineStr"/>
      <c r="E461" s="3" t="inlineStr">
        <is>
          <t>Fresher</t>
        </is>
      </c>
    </row>
    <row r="462">
      <c r="A462" s="3" t="n">
        <v>1544496</v>
      </c>
      <c r="B462" s="3" t="inlineStr">
        <is>
          <t>Professional Certificate Course In Data Science - November 2023</t>
        </is>
      </c>
      <c r="C462" s="4" t="n">
        <v>45601</v>
      </c>
      <c r="D462" s="3" t="inlineStr"/>
      <c r="E462" s="3" t="inlineStr">
        <is>
          <t>Relevant</t>
        </is>
      </c>
    </row>
    <row r="463">
      <c r="A463" s="3" t="n">
        <v>1545248</v>
      </c>
      <c r="B463" s="3" t="inlineStr">
        <is>
          <t>Professional Certificate Course In Data Science - November 2023</t>
        </is>
      </c>
      <c r="C463" s="4" t="n">
        <v>45594</v>
      </c>
      <c r="D463" s="3" t="inlineStr"/>
      <c r="E463" s="3" t="inlineStr">
        <is>
          <t>Relevant</t>
        </is>
      </c>
    </row>
    <row r="464">
      <c r="A464" s="3" t="n">
        <v>1546702</v>
      </c>
      <c r="B464" s="3" t="inlineStr">
        <is>
          <t>Professional Certificate Course In Data Science - November 2023</t>
        </is>
      </c>
      <c r="C464" s="4" t="n">
        <v>45593</v>
      </c>
      <c r="D464" s="3" t="inlineStr"/>
      <c r="E464" s="3" t="inlineStr"/>
    </row>
    <row r="465">
      <c r="A465" s="3" t="n">
        <v>1549269</v>
      </c>
      <c r="B465" s="3" t="inlineStr">
        <is>
          <t>Professional Certificate Course In Data Science - November 2023</t>
        </is>
      </c>
      <c r="C465" s="4" t="n">
        <v>45535</v>
      </c>
      <c r="D465" s="3" t="inlineStr"/>
      <c r="E465" s="3" t="inlineStr">
        <is>
          <t>Irrelevant (Grad&lt;2020)</t>
        </is>
      </c>
    </row>
    <row r="466">
      <c r="A466" s="3" t="n">
        <v>1558343</v>
      </c>
      <c r="B466" s="3" t="inlineStr">
        <is>
          <t>Professional Certificate Course In Data Science - November 2023</t>
        </is>
      </c>
      <c r="C466" s="4" t="n">
        <v>45618</v>
      </c>
      <c r="D466" s="3" t="inlineStr"/>
      <c r="E466" s="3" t="inlineStr">
        <is>
          <t>Irrelevant (Non Tech) (Grad&gt;2020)</t>
        </is>
      </c>
    </row>
    <row r="467">
      <c r="A467" s="3" t="n">
        <v>1612862</v>
      </c>
      <c r="B467" s="3" t="inlineStr">
        <is>
          <t>Professional Certificate Course In Data Science - November 2023</t>
        </is>
      </c>
      <c r="C467" s="4" t="n">
        <v>45437</v>
      </c>
      <c r="D467" s="3" t="inlineStr"/>
      <c r="E467" s="3" t="inlineStr">
        <is>
          <t>Career Gap/ Non Working</t>
        </is>
      </c>
    </row>
    <row r="468">
      <c r="A468" s="3" t="n">
        <v>1678733</v>
      </c>
      <c r="B468" s="3" t="inlineStr">
        <is>
          <t>Professional Certificate Course In Data Science - November 2023</t>
        </is>
      </c>
      <c r="C468" s="4" t="n">
        <v>45462</v>
      </c>
      <c r="D468" s="3" t="inlineStr"/>
      <c r="E468" s="3" t="inlineStr"/>
    </row>
    <row r="469">
      <c r="A469" s="3" t="n">
        <v>170954</v>
      </c>
      <c r="B469" s="3" t="inlineStr">
        <is>
          <t>Professional Certificate Course In Data Science - November 2024</t>
        </is>
      </c>
      <c r="C469" s="4" t="n">
        <v>45750</v>
      </c>
      <c r="D469" s="3" t="inlineStr"/>
      <c r="E469" s="3" t="inlineStr">
        <is>
          <t>Irrelevant (Tech/IT)</t>
        </is>
      </c>
    </row>
    <row r="470">
      <c r="A470" s="3" t="n">
        <v>185522</v>
      </c>
      <c r="B470" s="3" t="inlineStr">
        <is>
          <t>Professional Certificate Course In Data Science - November 2024</t>
        </is>
      </c>
      <c r="C470" s="4" t="n">
        <v>45750</v>
      </c>
      <c r="D470" s="3" t="inlineStr"/>
      <c r="E470" s="3" t="inlineStr">
        <is>
          <t>Irrelevant (Tech/IT)</t>
        </is>
      </c>
    </row>
    <row r="471">
      <c r="A471" s="3" t="n">
        <v>1123037</v>
      </c>
      <c r="B471" s="3" t="inlineStr">
        <is>
          <t>Professional Certificate Course In Data Science - November 2024</t>
        </is>
      </c>
      <c r="C471" s="4" t="n">
        <v>45771</v>
      </c>
      <c r="D471" s="3" t="inlineStr"/>
      <c r="E471" s="3" t="inlineStr">
        <is>
          <t>Relevant</t>
        </is>
      </c>
    </row>
    <row r="472">
      <c r="A472" s="3" t="n">
        <v>1704933</v>
      </c>
      <c r="B472" s="3" t="inlineStr">
        <is>
          <t>Professional Certificate Course In Data Science - November 2024</t>
        </is>
      </c>
      <c r="C472" s="4" t="n">
        <v>45736</v>
      </c>
      <c r="D472" s="3" t="inlineStr"/>
      <c r="E472" s="3" t="inlineStr">
        <is>
          <t>Irrelevant (Tech/IT)</t>
        </is>
      </c>
    </row>
    <row r="473">
      <c r="A473" s="3" t="n">
        <v>1752269</v>
      </c>
      <c r="B473" s="3" t="inlineStr">
        <is>
          <t>Professional Certificate Course In Data Science - November 2024</t>
        </is>
      </c>
      <c r="C473" s="4" t="n">
        <v>45777</v>
      </c>
      <c r="D473" s="3" t="inlineStr"/>
      <c r="E473" s="3" t="inlineStr">
        <is>
          <t>Irrelevant (Tech/IT)</t>
        </is>
      </c>
    </row>
    <row r="474">
      <c r="A474" s="3" t="n">
        <v>2004998</v>
      </c>
      <c r="B474" s="3" t="inlineStr">
        <is>
          <t>Professional Certificate Course In Data Science - November 2024</t>
        </is>
      </c>
      <c r="C474" s="4" t="n">
        <v>45741</v>
      </c>
      <c r="D474" s="3" t="inlineStr"/>
      <c r="E474" s="3" t="inlineStr">
        <is>
          <t>Irrelevant (Tech/IT)</t>
        </is>
      </c>
    </row>
    <row r="475">
      <c r="A475" s="3" t="n">
        <v>2015614</v>
      </c>
      <c r="B475" s="3" t="inlineStr">
        <is>
          <t>Professional Certificate Course In Data Science - November 2024</t>
        </is>
      </c>
      <c r="C475" s="4" t="n">
        <v>45720</v>
      </c>
      <c r="D475" s="3" t="inlineStr"/>
      <c r="E475" s="3" t="inlineStr">
        <is>
          <t>Relevant</t>
        </is>
      </c>
    </row>
    <row r="476">
      <c r="A476" s="3" t="n">
        <v>2015842</v>
      </c>
      <c r="B476" s="3" t="inlineStr">
        <is>
          <t>Professional Certificate Course In Data Science - November 2024</t>
        </is>
      </c>
      <c r="C476" s="4" t="n">
        <v>45779</v>
      </c>
      <c r="D476" s="3" t="inlineStr"/>
      <c r="E476" s="3" t="inlineStr">
        <is>
          <t>Fresher</t>
        </is>
      </c>
    </row>
    <row r="477">
      <c r="A477" s="3" t="n">
        <v>2017831</v>
      </c>
      <c r="B477" s="3" t="inlineStr">
        <is>
          <t>Professional Certificate Course In Data Science - November 2024</t>
        </is>
      </c>
      <c r="C477" s="4" t="n">
        <v>45737</v>
      </c>
      <c r="D477" s="3" t="inlineStr"/>
      <c r="E477" s="3" t="inlineStr">
        <is>
          <t>Irrelevant (Tech/IT)</t>
        </is>
      </c>
    </row>
    <row r="478">
      <c r="A478" s="3" t="n">
        <v>2020280</v>
      </c>
      <c r="B478" s="3" t="inlineStr">
        <is>
          <t>Professional Certificate Course In Data Science - November 2024</t>
        </is>
      </c>
      <c r="C478" s="4" t="n">
        <v>45723</v>
      </c>
      <c r="D478" s="3" t="inlineStr"/>
      <c r="E478" s="3" t="inlineStr">
        <is>
          <t>Career Gap/ Non Working</t>
        </is>
      </c>
    </row>
    <row r="479">
      <c r="A479" s="3" t="n">
        <v>2027353</v>
      </c>
      <c r="B479" s="3" t="inlineStr">
        <is>
          <t>Professional Certificate Course In Data Science - November 2024</t>
        </is>
      </c>
      <c r="C479" s="4" t="n">
        <v>45941</v>
      </c>
      <c r="D479" s="3" t="inlineStr"/>
      <c r="E479" s="3" t="inlineStr">
        <is>
          <t>Irrelevant (Non Tech) (Grad&gt;2020)</t>
        </is>
      </c>
    </row>
    <row r="480">
      <c r="A480" s="3" t="n">
        <v>162907</v>
      </c>
      <c r="B480" s="3" t="inlineStr">
        <is>
          <t>Professional Certificate Course In Data Science - October 2023</t>
        </is>
      </c>
      <c r="C480" s="3" t="n"/>
      <c r="D480" s="3" t="inlineStr"/>
      <c r="E480" s="3" t="inlineStr">
        <is>
          <t>Irrelevant (Tech/IT)</t>
        </is>
      </c>
    </row>
    <row r="481">
      <c r="A481" s="3" t="n">
        <v>1216726</v>
      </c>
      <c r="B481" s="3" t="inlineStr">
        <is>
          <t>Professional Certificate Course In Data Science - October 2023</t>
        </is>
      </c>
      <c r="C481" s="4" t="n">
        <v>45618</v>
      </c>
      <c r="D481" s="3" t="inlineStr"/>
      <c r="E481" s="3" t="inlineStr"/>
    </row>
    <row r="482">
      <c r="A482" s="3" t="n">
        <v>1463496</v>
      </c>
      <c r="B482" s="3" t="inlineStr">
        <is>
          <t>Professional Certificate Course In Data Science - October 2023</t>
        </is>
      </c>
      <c r="C482" s="4" t="n">
        <v>45607</v>
      </c>
      <c r="D482" s="3" t="inlineStr"/>
      <c r="E482" s="3" t="inlineStr">
        <is>
          <t>Relevant</t>
        </is>
      </c>
    </row>
    <row r="483">
      <c r="A483" s="3" t="n">
        <v>1488977</v>
      </c>
      <c r="B483" s="3" t="inlineStr">
        <is>
          <t>Professional Certificate Course In Data Science - October 2023</t>
        </is>
      </c>
      <c r="C483" s="4" t="n">
        <v>45632</v>
      </c>
      <c r="D483" s="3" t="inlineStr"/>
      <c r="E483" s="3" t="inlineStr">
        <is>
          <t>Irrelevant (Grad&lt;2020)</t>
        </is>
      </c>
    </row>
    <row r="484">
      <c r="A484" s="3" t="n">
        <v>1490537</v>
      </c>
      <c r="B484" s="3" t="inlineStr">
        <is>
          <t>Professional Certificate Course In Data Science - October 2023</t>
        </is>
      </c>
      <c r="C484" s="4" t="n">
        <v>45594</v>
      </c>
      <c r="D484" s="3" t="inlineStr"/>
      <c r="E484" s="3" t="inlineStr"/>
    </row>
    <row r="485">
      <c r="A485" s="3" t="n">
        <v>1493015</v>
      </c>
      <c r="B485" s="3" t="inlineStr">
        <is>
          <t>Professional Certificate Course In Data Science - October 2023</t>
        </is>
      </c>
      <c r="C485" s="4" t="n">
        <v>45441</v>
      </c>
      <c r="D485" s="3" t="inlineStr"/>
      <c r="E485" s="3" t="inlineStr">
        <is>
          <t>Relevant</t>
        </is>
      </c>
    </row>
    <row r="486">
      <c r="A486" s="3" t="n">
        <v>1498485</v>
      </c>
      <c r="B486" s="3" t="inlineStr">
        <is>
          <t>Professional Certificate Course In Data Science - October 2023</t>
        </is>
      </c>
      <c r="C486" s="4" t="n">
        <v>45617</v>
      </c>
      <c r="D486" s="3" t="inlineStr"/>
      <c r="E486" s="3" t="inlineStr">
        <is>
          <t>Irrelevant (Grad&lt;2020)</t>
        </is>
      </c>
    </row>
    <row r="487">
      <c r="A487" s="3" t="n">
        <v>1503575</v>
      </c>
      <c r="B487" s="3" t="inlineStr">
        <is>
          <t>Professional Certificate Course In Data Science - October 2023</t>
        </is>
      </c>
      <c r="C487" s="4" t="n">
        <v>45617</v>
      </c>
      <c r="D487" s="3" t="inlineStr"/>
      <c r="E487" s="3" t="inlineStr">
        <is>
          <t>Relevant</t>
        </is>
      </c>
    </row>
    <row r="488">
      <c r="A488" s="3" t="n">
        <v>1504741</v>
      </c>
      <c r="B488" s="3" t="inlineStr">
        <is>
          <t>Professional Certificate Course In Data Science - October 2023</t>
        </is>
      </c>
      <c r="C488" s="4" t="n">
        <v>45594</v>
      </c>
      <c r="D488" s="3" t="inlineStr"/>
      <c r="E488" s="3" t="inlineStr">
        <is>
          <t>Relevant</t>
        </is>
      </c>
    </row>
    <row r="489">
      <c r="A489" s="3" t="n">
        <v>1505864</v>
      </c>
      <c r="B489" s="3" t="inlineStr">
        <is>
          <t>Professional Certificate Course In Data Science - October 2023</t>
        </is>
      </c>
      <c r="C489" s="4" t="n">
        <v>45601</v>
      </c>
      <c r="D489" s="3" t="inlineStr"/>
      <c r="E489" s="3" t="inlineStr">
        <is>
          <t>Irrelevant (Tech/IT)</t>
        </is>
      </c>
    </row>
    <row r="490">
      <c r="A490" s="3" t="n">
        <v>1516948</v>
      </c>
      <c r="B490" s="3" t="inlineStr">
        <is>
          <t>Professional Certificate Course In Data Science - October 2023</t>
        </is>
      </c>
      <c r="C490" s="4" t="n">
        <v>45441</v>
      </c>
      <c r="D490" s="3" t="inlineStr"/>
      <c r="E490" s="3" t="inlineStr"/>
    </row>
    <row r="491">
      <c r="A491" s="3" t="n">
        <v>1526853</v>
      </c>
      <c r="B491" s="3" t="inlineStr">
        <is>
          <t>Professional Certificate Course In Data Science - October 2023</t>
        </is>
      </c>
      <c r="C491" s="4" t="n">
        <v>45618</v>
      </c>
      <c r="D491" s="3" t="inlineStr"/>
      <c r="E491" s="3" t="inlineStr">
        <is>
          <t>Irrelevant (Non Tech) (Grad&gt;2020)</t>
        </is>
      </c>
    </row>
    <row r="492">
      <c r="A492" s="3" t="n">
        <v>1532618</v>
      </c>
      <c r="B492" s="3" t="inlineStr">
        <is>
          <t>Professional Certificate Course In Data Science - October 2023</t>
        </is>
      </c>
      <c r="C492" s="4" t="n">
        <v>45594</v>
      </c>
      <c r="D492" s="3" t="inlineStr"/>
      <c r="E492" s="3" t="inlineStr">
        <is>
          <t>Fresher</t>
        </is>
      </c>
    </row>
    <row r="493">
      <c r="A493" s="3" t="n">
        <v>1539749</v>
      </c>
      <c r="B493" s="3" t="inlineStr">
        <is>
          <t>Professional Certificate Course In Data Science - October 2023</t>
        </is>
      </c>
      <c r="C493" s="4" t="n">
        <v>45441</v>
      </c>
      <c r="D493" s="3" t="inlineStr"/>
      <c r="E493" s="3" t="inlineStr"/>
    </row>
    <row r="494">
      <c r="A494" s="3" t="n">
        <v>1540022</v>
      </c>
      <c r="B494" s="3" t="inlineStr">
        <is>
          <t>Professional Certificate Course In Data Science - October 2023</t>
        </is>
      </c>
      <c r="C494" s="4" t="n">
        <v>45618</v>
      </c>
      <c r="D494" s="3" t="inlineStr"/>
      <c r="E494" s="3" t="inlineStr">
        <is>
          <t>Relevant</t>
        </is>
      </c>
    </row>
    <row r="495">
      <c r="A495" s="3" t="n">
        <v>123449</v>
      </c>
      <c r="B495" s="3" t="inlineStr">
        <is>
          <t>Professional Certificate Course In Data Science - October 2024</t>
        </is>
      </c>
      <c r="C495" s="4" t="n">
        <v>45618</v>
      </c>
      <c r="D495" s="3" t="inlineStr"/>
      <c r="E495" s="3" t="inlineStr">
        <is>
          <t>Irrelevant (Tech/IT)</t>
        </is>
      </c>
    </row>
    <row r="496">
      <c r="A496" s="3" t="n">
        <v>23468</v>
      </c>
      <c r="B496" s="3" t="inlineStr">
        <is>
          <t>Professional Certificate Course In Data Science - October 2024</t>
        </is>
      </c>
      <c r="C496" s="4" t="n">
        <v>45672</v>
      </c>
      <c r="D496" s="3" t="inlineStr"/>
      <c r="E496" s="3" t="inlineStr">
        <is>
          <t>Irrelevant (Non Tech) (Grad&gt;2020)</t>
        </is>
      </c>
    </row>
    <row r="497">
      <c r="A497" s="3" t="n">
        <v>484832</v>
      </c>
      <c r="B497" s="3" t="inlineStr">
        <is>
          <t>Professional Certificate Course In Data Science - October 2024</t>
        </is>
      </c>
      <c r="C497" s="4" t="n">
        <v>45748</v>
      </c>
      <c r="D497" s="3" t="inlineStr"/>
      <c r="E497" s="3" t="inlineStr">
        <is>
          <t>Fresher</t>
        </is>
      </c>
    </row>
    <row r="498">
      <c r="A498" s="3" t="n">
        <v>712129</v>
      </c>
      <c r="B498" s="3" t="inlineStr">
        <is>
          <t>Professional Certificate Course In Data Science - October 2024</t>
        </is>
      </c>
      <c r="C498" s="4" t="n">
        <v>45747</v>
      </c>
      <c r="D498" s="3" t="inlineStr"/>
      <c r="E498" s="3" t="inlineStr">
        <is>
          <t>Irrelevant (Tech/IT)</t>
        </is>
      </c>
    </row>
    <row r="499">
      <c r="A499" s="3" t="n">
        <v>1222527</v>
      </c>
      <c r="B499" s="3" t="inlineStr">
        <is>
          <t>Professional Certificate Course In Data Science - October 2024</t>
        </is>
      </c>
      <c r="C499" s="4" t="n">
        <v>45678</v>
      </c>
      <c r="D499" s="3" t="inlineStr"/>
      <c r="E499" s="3" t="inlineStr">
        <is>
          <t>Fresher</t>
        </is>
      </c>
    </row>
    <row r="500">
      <c r="A500" s="3" t="n">
        <v>1323066</v>
      </c>
      <c r="B500" s="3" t="inlineStr">
        <is>
          <t>Professional Certificate Course In Data Science - October 2024</t>
        </is>
      </c>
      <c r="C500" s="4" t="n">
        <v>45672</v>
      </c>
      <c r="D500" s="3" t="inlineStr"/>
      <c r="E500" s="3" t="inlineStr">
        <is>
          <t>Irrelevant (Non Tech) (Grad&gt;2020)</t>
        </is>
      </c>
    </row>
    <row r="501">
      <c r="A501" s="3" t="n">
        <v>1696938</v>
      </c>
      <c r="B501" s="3" t="inlineStr">
        <is>
          <t>Professional Certificate Course In Data Science - October 2024</t>
        </is>
      </c>
      <c r="C501" s="4" t="n">
        <v>45707</v>
      </c>
      <c r="D501" s="3" t="inlineStr"/>
      <c r="E501" s="3" t="inlineStr">
        <is>
          <t>Fresher</t>
        </is>
      </c>
    </row>
    <row r="502">
      <c r="A502" s="3" t="n">
        <v>1887474</v>
      </c>
      <c r="B502" s="3" t="inlineStr">
        <is>
          <t>Professional Certificate Course In Data Science - October 2024</t>
        </is>
      </c>
      <c r="C502" s="4" t="n">
        <v>45678</v>
      </c>
      <c r="D502" s="3" t="inlineStr"/>
      <c r="E502" s="3" t="inlineStr">
        <is>
          <t>Fresher</t>
        </is>
      </c>
    </row>
    <row r="503">
      <c r="A503" s="3" t="n">
        <v>1979277</v>
      </c>
      <c r="B503" s="3" t="inlineStr">
        <is>
          <t>Professional Certificate Course In Data Science - October 2024</t>
        </is>
      </c>
      <c r="C503" s="4" t="n">
        <v>45789</v>
      </c>
      <c r="D503" s="3" t="inlineStr"/>
      <c r="E503" s="3" t="inlineStr">
        <is>
          <t>Irrelevant (Non Tech) (Grad&gt;2020)</t>
        </is>
      </c>
    </row>
    <row r="504">
      <c r="A504" s="3" t="n">
        <v>1981961</v>
      </c>
      <c r="B504" s="3" t="inlineStr">
        <is>
          <t>Professional Certificate Course In Data Science - October 2024</t>
        </is>
      </c>
      <c r="C504" s="4" t="n">
        <v>45687</v>
      </c>
      <c r="D504" s="3" t="inlineStr"/>
      <c r="E504" s="3" t="inlineStr">
        <is>
          <t>Fresher</t>
        </is>
      </c>
    </row>
    <row r="505">
      <c r="A505" s="3" t="n">
        <v>1993069</v>
      </c>
      <c r="B505" s="3" t="inlineStr">
        <is>
          <t>Professional Certificate Course In Data Science - October 2024</t>
        </is>
      </c>
      <c r="C505" s="4" t="n">
        <v>45688</v>
      </c>
      <c r="D505" s="3" t="inlineStr"/>
      <c r="E505" s="3" t="inlineStr">
        <is>
          <t>Relevant</t>
        </is>
      </c>
    </row>
    <row r="506">
      <c r="A506" s="3" t="n">
        <v>1995400</v>
      </c>
      <c r="B506" s="3" t="inlineStr">
        <is>
          <t>Professional Certificate Course In Data Science - October 2024</t>
        </is>
      </c>
      <c r="C506" s="4" t="n">
        <v>45679</v>
      </c>
      <c r="D506" s="3" t="inlineStr"/>
      <c r="E506" s="3" t="inlineStr">
        <is>
          <t>Irrelevant (Tech/IT)</t>
        </is>
      </c>
    </row>
    <row r="507">
      <c r="A507" s="3" t="n">
        <v>1999147</v>
      </c>
      <c r="B507" s="3" t="inlineStr">
        <is>
          <t>Professional Certificate Course In Data Science - October 2024</t>
        </is>
      </c>
      <c r="C507" s="4" t="n">
        <v>45751</v>
      </c>
      <c r="D507" s="3" t="inlineStr"/>
      <c r="E507" s="3" t="inlineStr">
        <is>
          <t>Fresher</t>
        </is>
      </c>
    </row>
    <row r="508">
      <c r="A508" s="3" t="n">
        <v>1999568</v>
      </c>
      <c r="B508" s="3" t="inlineStr">
        <is>
          <t>Professional Certificate Course In Data Science - October 2024</t>
        </is>
      </c>
      <c r="C508" s="4" t="n">
        <v>45679</v>
      </c>
      <c r="D508" s="3" t="inlineStr"/>
      <c r="E508" s="3" t="inlineStr">
        <is>
          <t>Irrelevant (Non Tech) (Grad&gt;2020)</t>
        </is>
      </c>
    </row>
    <row r="509">
      <c r="A509" s="3" t="n">
        <v>2000433</v>
      </c>
      <c r="B509" s="3" t="inlineStr">
        <is>
          <t>Professional Certificate Course In Data Science - October 2024</t>
        </is>
      </c>
      <c r="C509" s="4" t="n">
        <v>46009</v>
      </c>
      <c r="D509" s="3" t="inlineStr"/>
      <c r="E509" s="3" t="inlineStr">
        <is>
          <t>Irrelevant (Non Tech) (Grad&gt;2020)</t>
        </is>
      </c>
    </row>
    <row r="510">
      <c r="A510" s="3" t="n">
        <v>2002084</v>
      </c>
      <c r="B510" s="3" t="inlineStr">
        <is>
          <t>Professional Certificate Course In Data Science - October 2024</t>
        </is>
      </c>
      <c r="C510" s="4" t="n">
        <v>45707</v>
      </c>
      <c r="D510" s="3" t="inlineStr"/>
      <c r="E510" s="3" t="inlineStr">
        <is>
          <t>Fresher</t>
        </is>
      </c>
    </row>
    <row r="511">
      <c r="A511" s="3" t="n">
        <v>2002578</v>
      </c>
      <c r="B511" s="3" t="inlineStr">
        <is>
          <t>Professional Certificate Course In Data Science - October 2024</t>
        </is>
      </c>
      <c r="C511" s="4" t="n">
        <v>45672</v>
      </c>
      <c r="D511" s="3" t="inlineStr"/>
      <c r="E511" s="3" t="inlineStr">
        <is>
          <t>Irrelevant (Grad&lt;2020)</t>
        </is>
      </c>
    </row>
    <row r="512">
      <c r="A512" s="3" t="n">
        <v>2006101</v>
      </c>
      <c r="B512" s="3" t="inlineStr">
        <is>
          <t>Professional Certificate Course In Data Science - October 2024</t>
        </is>
      </c>
      <c r="C512" s="4" t="n">
        <v>45672</v>
      </c>
      <c r="D512" s="3" t="inlineStr"/>
      <c r="E512" s="3" t="inlineStr">
        <is>
          <t>Irrelevant (Non Tech) (Grad&gt;2020)</t>
        </is>
      </c>
    </row>
    <row r="513">
      <c r="A513" s="3" t="n">
        <v>2010831</v>
      </c>
      <c r="B513" s="3" t="inlineStr">
        <is>
          <t>Professional Certificate Course In Data Science - October 2024</t>
        </is>
      </c>
      <c r="C513" s="4" t="n">
        <v>45672</v>
      </c>
      <c r="D513" s="3" t="inlineStr"/>
      <c r="E513" s="3" t="inlineStr">
        <is>
          <t>Fresher</t>
        </is>
      </c>
    </row>
    <row r="514">
      <c r="A514" s="3" t="n">
        <v>2049504</v>
      </c>
      <c r="B514" s="3" t="inlineStr">
        <is>
          <t>Professional Certificate Course In Data Science - October 2024</t>
        </is>
      </c>
      <c r="C514" s="4" t="n">
        <v>46027</v>
      </c>
      <c r="D514" s="3" t="inlineStr"/>
      <c r="E514" s="3" t="inlineStr">
        <is>
          <t>Irrelevant (Non Tech) (Grad&gt;2020)</t>
        </is>
      </c>
    </row>
    <row r="515">
      <c r="A515" s="3" t="n">
        <v>2084604</v>
      </c>
      <c r="B515" s="3" t="inlineStr">
        <is>
          <t>Professional Certificate Course In Data Science - October 2024</t>
        </is>
      </c>
      <c r="C515" s="4" t="n">
        <v>45779</v>
      </c>
      <c r="D515" s="3" t="inlineStr"/>
      <c r="E515" s="3" t="inlineStr">
        <is>
          <t>Relevant</t>
        </is>
      </c>
    </row>
    <row r="516">
      <c r="A516" s="3" t="n">
        <v>59248</v>
      </c>
      <c r="B516" s="3" t="inlineStr">
        <is>
          <t>Professional Certificate Course In Data Science - September 2023</t>
        </is>
      </c>
      <c r="C516" s="4" t="n">
        <v>45594</v>
      </c>
      <c r="D516" s="3" t="inlineStr"/>
      <c r="E516" s="3" t="inlineStr"/>
    </row>
    <row r="517">
      <c r="A517" s="3" t="n">
        <v>149355</v>
      </c>
      <c r="B517" s="3" t="inlineStr">
        <is>
          <t>Professional Certificate Course In Data Science - September 2023</t>
        </is>
      </c>
      <c r="C517" s="4" t="n">
        <v>45332</v>
      </c>
      <c r="D517" s="3" t="inlineStr"/>
      <c r="E517" s="3" t="inlineStr"/>
    </row>
    <row r="518">
      <c r="A518" s="3" t="n">
        <v>870157</v>
      </c>
      <c r="B518" s="3" t="inlineStr">
        <is>
          <t>Professional Certificate Course In Data Science - September 2023</t>
        </is>
      </c>
      <c r="C518" s="4" t="n">
        <v>45594</v>
      </c>
      <c r="D518" s="3" t="inlineStr"/>
      <c r="E518" s="3" t="inlineStr"/>
    </row>
    <row r="519">
      <c r="A519" s="3" t="n">
        <v>991371</v>
      </c>
      <c r="B519" s="3" t="inlineStr">
        <is>
          <t>Professional Certificate Course In Data Science - September 2023</t>
        </is>
      </c>
      <c r="C519" s="4" t="n">
        <v>45568</v>
      </c>
      <c r="D519" s="3" t="inlineStr"/>
      <c r="E519" s="3" t="inlineStr">
        <is>
          <t>Relevant</t>
        </is>
      </c>
    </row>
    <row r="520">
      <c r="A520" s="3" t="n">
        <v>1052021</v>
      </c>
      <c r="B520" s="3" t="inlineStr">
        <is>
          <t>Professional Certificate Course In Data Science - September 2023</t>
        </is>
      </c>
      <c r="C520" s="4" t="n">
        <v>45733</v>
      </c>
      <c r="D520" s="3" t="inlineStr"/>
      <c r="E520" s="3" t="inlineStr">
        <is>
          <t>Career Gap/ Non Working</t>
        </is>
      </c>
    </row>
    <row r="521">
      <c r="A521" s="3" t="n">
        <v>1131095</v>
      </c>
      <c r="B521" s="3" t="inlineStr">
        <is>
          <t>Professional Certificate Course In Data Science - September 2023</t>
        </is>
      </c>
      <c r="C521" s="4" t="n">
        <v>45335</v>
      </c>
      <c r="D521" s="3" t="inlineStr"/>
      <c r="E521" s="3" t="inlineStr"/>
    </row>
    <row r="522">
      <c r="A522" s="3" t="n">
        <v>1322613</v>
      </c>
      <c r="B522" s="3" t="inlineStr">
        <is>
          <t>Professional Certificate Course In Data Science - September 2023</t>
        </is>
      </c>
      <c r="C522" s="4" t="n">
        <v>45601</v>
      </c>
      <c r="D522" s="3" t="inlineStr"/>
      <c r="E522" s="3" t="inlineStr">
        <is>
          <t>Relevant</t>
        </is>
      </c>
    </row>
    <row r="523">
      <c r="A523" s="3" t="n">
        <v>1335682</v>
      </c>
      <c r="B523" s="3" t="inlineStr">
        <is>
          <t>Professional Certificate Course In Data Science - September 2023</t>
        </is>
      </c>
      <c r="C523" s="4" t="n">
        <v>45618</v>
      </c>
      <c r="D523" s="3" t="inlineStr"/>
      <c r="E523" s="3" t="inlineStr">
        <is>
          <t>Relevant</t>
        </is>
      </c>
    </row>
    <row r="524">
      <c r="A524" s="3" t="n">
        <v>1378540</v>
      </c>
      <c r="B524" s="3" t="inlineStr">
        <is>
          <t>Professional Certificate Course In Data Science - September 2023</t>
        </is>
      </c>
      <c r="C524" s="4" t="n">
        <v>45618</v>
      </c>
      <c r="D524" s="3" t="inlineStr"/>
      <c r="E524" s="3" t="inlineStr"/>
    </row>
    <row r="525">
      <c r="A525" s="3" t="n">
        <v>1412957</v>
      </c>
      <c r="B525" s="3" t="inlineStr">
        <is>
          <t>Professional Certificate Course In Data Science - September 2023</t>
        </is>
      </c>
      <c r="C525" s="4" t="n">
        <v>45484</v>
      </c>
      <c r="D525" s="3" t="inlineStr"/>
      <c r="E525" s="3" t="inlineStr">
        <is>
          <t>Irrelevant (Grad&lt;2020)</t>
        </is>
      </c>
    </row>
    <row r="526">
      <c r="A526" s="3" t="n">
        <v>1448525</v>
      </c>
      <c r="B526" s="3" t="inlineStr">
        <is>
          <t>Professional Certificate Course In Data Science - September 2023</t>
        </is>
      </c>
      <c r="C526" s="4" t="n">
        <v>45594</v>
      </c>
      <c r="D526" s="3" t="inlineStr"/>
      <c r="E526" s="3" t="inlineStr"/>
    </row>
    <row r="527">
      <c r="A527" s="3" t="n">
        <v>1449407</v>
      </c>
      <c r="B527" s="3" t="inlineStr">
        <is>
          <t>Professional Certificate Course In Data Science - September 2023</t>
        </is>
      </c>
      <c r="C527" s="4" t="n">
        <v>45601</v>
      </c>
      <c r="D527" s="3" t="inlineStr"/>
      <c r="E527" s="3" t="inlineStr">
        <is>
          <t>Relevant</t>
        </is>
      </c>
    </row>
    <row r="528">
      <c r="A528" s="3" t="n">
        <v>1452186</v>
      </c>
      <c r="B528" s="3" t="inlineStr">
        <is>
          <t>Professional Certificate Course In Data Science - September 2023</t>
        </is>
      </c>
      <c r="C528" s="4" t="n">
        <v>45601</v>
      </c>
      <c r="D528" s="3" t="inlineStr"/>
      <c r="E528" s="3" t="inlineStr">
        <is>
          <t>Irrelevant (Grad&lt;2020)</t>
        </is>
      </c>
    </row>
    <row r="529">
      <c r="A529" s="3" t="n">
        <v>1462519</v>
      </c>
      <c r="B529" s="3" t="inlineStr">
        <is>
          <t>Professional Certificate Course In Data Science - September 2023</t>
        </is>
      </c>
      <c r="C529" s="4" t="n">
        <v>45611</v>
      </c>
      <c r="D529" s="3" t="inlineStr"/>
      <c r="E529" s="3" t="inlineStr">
        <is>
          <t>Irrelevant (Non Tech) (Grad&gt;2020)</t>
        </is>
      </c>
    </row>
    <row r="530">
      <c r="A530" s="3" t="n">
        <v>1463356</v>
      </c>
      <c r="B530" s="3" t="inlineStr">
        <is>
          <t>Professional Certificate Course In Data Science - September 2023</t>
        </is>
      </c>
      <c r="C530" s="4" t="n">
        <v>45594</v>
      </c>
      <c r="D530" s="3" t="inlineStr"/>
      <c r="E530" s="3" t="inlineStr">
        <is>
          <t>Fresher</t>
        </is>
      </c>
    </row>
    <row r="531">
      <c r="A531" s="3" t="n">
        <v>1464726</v>
      </c>
      <c r="B531" s="3" t="inlineStr">
        <is>
          <t>Professional Certificate Course In Data Science - September 2023</t>
        </is>
      </c>
      <c r="C531" s="4" t="n">
        <v>45618</v>
      </c>
      <c r="D531" s="3" t="inlineStr"/>
      <c r="E531" s="3" t="inlineStr"/>
    </row>
    <row r="532">
      <c r="A532" s="3" t="n">
        <v>1466065</v>
      </c>
      <c r="B532" s="3" t="inlineStr">
        <is>
          <t>Professional Certificate Course In Data Science - September 2023</t>
        </is>
      </c>
      <c r="C532" s="4" t="n">
        <v>45332</v>
      </c>
      <c r="D532" s="3" t="inlineStr"/>
      <c r="E532" s="3" t="inlineStr">
        <is>
          <t>Fresher</t>
        </is>
      </c>
    </row>
    <row r="533">
      <c r="A533" s="3" t="n">
        <v>1466939</v>
      </c>
      <c r="B533" s="3" t="inlineStr">
        <is>
          <t>Professional Certificate Course In Data Science - September 2023</t>
        </is>
      </c>
      <c r="C533" s="4" t="n">
        <v>45618</v>
      </c>
      <c r="D533" s="3" t="inlineStr"/>
      <c r="E533" s="3" t="inlineStr"/>
    </row>
    <row r="534">
      <c r="A534" s="3" t="n">
        <v>1468704</v>
      </c>
      <c r="B534" s="3" t="inlineStr">
        <is>
          <t>Professional Certificate Course In Data Science - September 2023</t>
        </is>
      </c>
      <c r="C534" s="4" t="n">
        <v>45607</v>
      </c>
      <c r="D534" s="3" t="inlineStr"/>
      <c r="E534" s="3" t="inlineStr"/>
    </row>
    <row r="535">
      <c r="A535" s="3" t="n">
        <v>1469137</v>
      </c>
      <c r="B535" s="3" t="inlineStr">
        <is>
          <t>Professional Certificate Course In Data Science - September 2023</t>
        </is>
      </c>
      <c r="C535" s="3" t="n"/>
      <c r="D535" s="3" t="inlineStr"/>
      <c r="E535" s="3" t="inlineStr"/>
    </row>
    <row r="536">
      <c r="A536" s="3" t="n">
        <v>1471708</v>
      </c>
      <c r="B536" s="3" t="inlineStr">
        <is>
          <t>Professional Certificate Course In Data Science - September 2023</t>
        </is>
      </c>
      <c r="C536" s="4" t="n">
        <v>45332</v>
      </c>
      <c r="D536" s="3" t="inlineStr"/>
      <c r="E536" s="3" t="inlineStr"/>
    </row>
    <row r="537">
      <c r="A537" s="3" t="n">
        <v>1472813</v>
      </c>
      <c r="B537" s="3" t="inlineStr">
        <is>
          <t>Professional Certificate Course In Data Science - September 2023</t>
        </is>
      </c>
      <c r="C537" s="4" t="n">
        <v>45332</v>
      </c>
      <c r="D537" s="3" t="inlineStr"/>
      <c r="E537" s="3" t="inlineStr">
        <is>
          <t>Irrelevant (Tech/IT)</t>
        </is>
      </c>
    </row>
    <row r="538">
      <c r="A538" s="3" t="n">
        <v>1473970</v>
      </c>
      <c r="B538" s="3" t="inlineStr">
        <is>
          <t>Professional Certificate Course In Data Science - September 2023</t>
        </is>
      </c>
      <c r="C538" s="4" t="n">
        <v>45601</v>
      </c>
      <c r="D538" s="3" t="inlineStr"/>
      <c r="E538" s="3" t="inlineStr">
        <is>
          <t>Irrelevant (Grad&lt;2020)</t>
        </is>
      </c>
    </row>
    <row r="539">
      <c r="A539" s="3" t="n">
        <v>1476025</v>
      </c>
      <c r="B539" s="3" t="inlineStr">
        <is>
          <t>Professional Certificate Course In Data Science - September 2023</t>
        </is>
      </c>
      <c r="C539" s="4" t="n">
        <v>45601</v>
      </c>
      <c r="D539" s="3" t="inlineStr"/>
      <c r="E539" s="3" t="inlineStr">
        <is>
          <t>Irrelevant (Tech/IT)</t>
        </is>
      </c>
    </row>
    <row r="540">
      <c r="A540" s="3" t="n">
        <v>1478474</v>
      </c>
      <c r="B540" s="3" t="inlineStr">
        <is>
          <t>Professional Certificate Course In Data Science - September 2023</t>
        </is>
      </c>
      <c r="C540" s="4" t="n">
        <v>45594</v>
      </c>
      <c r="D540" s="3" t="inlineStr"/>
      <c r="E540" s="3" t="inlineStr">
        <is>
          <t>Irrelevant (Grad&lt;2020)</t>
        </is>
      </c>
    </row>
    <row r="541">
      <c r="A541" s="3" t="n">
        <v>1480662</v>
      </c>
      <c r="B541" s="3" t="inlineStr">
        <is>
          <t>Professional Certificate Course In Data Science - September 2023</t>
        </is>
      </c>
      <c r="C541" s="3" t="n"/>
      <c r="D541" s="3" t="inlineStr"/>
      <c r="E541" s="3" t="inlineStr"/>
    </row>
    <row r="542">
      <c r="A542" s="3" t="n">
        <v>1481445</v>
      </c>
      <c r="B542" s="3" t="inlineStr">
        <is>
          <t>Professional Certificate Course In Data Science - September 2023</t>
        </is>
      </c>
      <c r="C542" s="4" t="n">
        <v>45618</v>
      </c>
      <c r="D542" s="3" t="inlineStr"/>
      <c r="E542" s="3" t="inlineStr">
        <is>
          <t>Irrelevant (Non Tech) (Grad&gt;2020)</t>
        </is>
      </c>
    </row>
    <row r="543">
      <c r="A543" s="3" t="n">
        <v>1487397</v>
      </c>
      <c r="B543" s="3" t="inlineStr">
        <is>
          <t>Professional Certificate Course In Data Science - September 2023</t>
        </is>
      </c>
      <c r="C543" s="4" t="n">
        <v>45618</v>
      </c>
      <c r="D543" s="3" t="inlineStr"/>
      <c r="E543" s="3" t="inlineStr">
        <is>
          <t>Relevant</t>
        </is>
      </c>
    </row>
    <row r="544">
      <c r="A544" s="3" t="n">
        <v>1487535</v>
      </c>
      <c r="B544" s="3" t="inlineStr">
        <is>
          <t>Professional Certificate Course In Data Science - September 2023</t>
        </is>
      </c>
      <c r="C544" s="4" t="n">
        <v>45445</v>
      </c>
      <c r="D544" s="3" t="inlineStr"/>
      <c r="E544" s="3" t="inlineStr">
        <is>
          <t>Career Gap/ Non Working</t>
        </is>
      </c>
    </row>
    <row r="545">
      <c r="A545" s="3" t="n">
        <v>1490643</v>
      </c>
      <c r="B545" s="3" t="inlineStr">
        <is>
          <t>Professional Certificate Course In Data Science - September 2023</t>
        </is>
      </c>
      <c r="C545" s="4" t="n">
        <v>45536</v>
      </c>
      <c r="D545" s="3" t="inlineStr"/>
      <c r="E545" s="3" t="inlineStr">
        <is>
          <t>Irrelevant (Non Tech) (Grad&gt;2020)</t>
        </is>
      </c>
    </row>
    <row r="546">
      <c r="A546" s="3" t="n">
        <v>1492025</v>
      </c>
      <c r="B546" s="3" t="inlineStr">
        <is>
          <t>Professional Certificate Course In Data Science - September 2023</t>
        </is>
      </c>
      <c r="C546" s="4" t="n">
        <v>45636</v>
      </c>
      <c r="D546" s="3" t="inlineStr"/>
      <c r="E546" s="3" t="inlineStr">
        <is>
          <t>Career Gap/ Non Working</t>
        </is>
      </c>
    </row>
    <row r="547">
      <c r="A547" s="3" t="n">
        <v>395541</v>
      </c>
      <c r="B547" s="3" t="inlineStr">
        <is>
          <t>Professional Certificate Course In Data Science - September 2024</t>
        </is>
      </c>
      <c r="C547" s="4" t="n">
        <v>45882</v>
      </c>
      <c r="D547" s="3" t="inlineStr"/>
      <c r="E547" s="3" t="inlineStr">
        <is>
          <t>Irrelevant (Non Tech) (Grad&gt;2020)</t>
        </is>
      </c>
    </row>
    <row r="548">
      <c r="A548" s="3" t="n">
        <v>1012408</v>
      </c>
      <c r="B548" s="3" t="inlineStr">
        <is>
          <t>Professional Certificate Course In Data Science - September 2024</t>
        </is>
      </c>
      <c r="C548" s="4" t="n">
        <v>45664</v>
      </c>
      <c r="D548" s="3" t="inlineStr"/>
      <c r="E548" s="3" t="inlineStr">
        <is>
          <t>Irrelevant (Tech/IT)</t>
        </is>
      </c>
    </row>
    <row r="549">
      <c r="A549" s="3" t="n">
        <v>1465144</v>
      </c>
      <c r="B549" s="3" t="inlineStr">
        <is>
          <t>Professional Certificate Course In Data Science - September 2024</t>
        </is>
      </c>
      <c r="C549" s="4" t="n">
        <v>45664</v>
      </c>
      <c r="D549" s="3" t="inlineStr"/>
      <c r="E549" s="3" t="inlineStr">
        <is>
          <t>Irrelevant (Non Tech) (Grad&gt;2020)</t>
        </is>
      </c>
    </row>
    <row r="550">
      <c r="A550" s="3" t="n">
        <v>1881513</v>
      </c>
      <c r="B550" s="3" t="inlineStr">
        <is>
          <t>Professional Certificate Course In Data Science - September 2024</t>
        </is>
      </c>
      <c r="C550" s="4" t="n">
        <v>45659</v>
      </c>
      <c r="D550" s="3" t="inlineStr"/>
      <c r="E550" s="3" t="inlineStr">
        <is>
          <t>Fresher</t>
        </is>
      </c>
    </row>
    <row r="551">
      <c r="A551" s="3" t="n">
        <v>1888004</v>
      </c>
      <c r="B551" s="3" t="inlineStr">
        <is>
          <t>Professional Certificate Course In Data Science - September 2024</t>
        </is>
      </c>
      <c r="C551" s="4" t="n">
        <v>45664</v>
      </c>
      <c r="D551" s="3" t="inlineStr"/>
      <c r="E551" s="3" t="inlineStr">
        <is>
          <t>Relevant</t>
        </is>
      </c>
    </row>
    <row r="552">
      <c r="A552" s="3" t="n">
        <v>1892137</v>
      </c>
      <c r="B552" s="3" t="inlineStr">
        <is>
          <t>Professional Certificate Course In Data Science - September 2024</t>
        </is>
      </c>
      <c r="C552" s="4" t="n">
        <v>45751</v>
      </c>
      <c r="D552" s="3" t="inlineStr"/>
      <c r="E552" s="3" t="inlineStr">
        <is>
          <t>Irrelevant (Tech/IT)</t>
        </is>
      </c>
    </row>
    <row r="553">
      <c r="A553" s="3" t="n">
        <v>1945584</v>
      </c>
      <c r="B553" s="3" t="inlineStr">
        <is>
          <t>Professional Certificate Course In Data Science - September 2024</t>
        </is>
      </c>
      <c r="C553" s="4" t="n">
        <v>45751</v>
      </c>
      <c r="D553" s="3" t="inlineStr"/>
      <c r="E553" s="3" t="inlineStr">
        <is>
          <t>Fresher</t>
        </is>
      </c>
    </row>
    <row r="554">
      <c r="A554" s="3" t="n">
        <v>1952433</v>
      </c>
      <c r="B554" s="3" t="inlineStr">
        <is>
          <t>Professional Certificate Course In Data Science - September 2024</t>
        </is>
      </c>
      <c r="C554" s="4" t="n">
        <v>45722</v>
      </c>
      <c r="D554" s="3" t="inlineStr"/>
      <c r="E554" s="3" t="inlineStr">
        <is>
          <t>Irrelevant (Non Tech) (Grad&gt;2020)</t>
        </is>
      </c>
    </row>
    <row r="555">
      <c r="A555" s="3" t="n">
        <v>1956897</v>
      </c>
      <c r="B555" s="3" t="inlineStr">
        <is>
          <t>Professional Certificate Course In Data Science - September 2024</t>
        </is>
      </c>
      <c r="C555" s="4" t="n">
        <v>45650</v>
      </c>
      <c r="D555" s="3" t="inlineStr"/>
      <c r="E555" s="3" t="inlineStr">
        <is>
          <t>Relevant</t>
        </is>
      </c>
    </row>
    <row r="556">
      <c r="A556" s="3" t="n">
        <v>1976732</v>
      </c>
      <c r="B556" s="3" t="inlineStr">
        <is>
          <t>Professional Certificate Course In Data Science - September 2024</t>
        </is>
      </c>
      <c r="C556" s="4" t="n">
        <v>45650</v>
      </c>
      <c r="D556" s="3" t="inlineStr"/>
      <c r="E556" s="3" t="inlineStr">
        <is>
          <t>Fresher</t>
        </is>
      </c>
    </row>
    <row r="557">
      <c r="A557" s="3" t="n">
        <v>1980556</v>
      </c>
      <c r="B557" s="3" t="inlineStr">
        <is>
          <t>Professional Certificate Course In Data Science - September 2024</t>
        </is>
      </c>
      <c r="C557" s="4" t="n">
        <v>45650</v>
      </c>
      <c r="D557" s="3" t="inlineStr"/>
      <c r="E557" s="3" t="inlineStr">
        <is>
          <t>Relevant</t>
        </is>
      </c>
    </row>
    <row r="558">
      <c r="A558" s="3" t="n">
        <v>1980948</v>
      </c>
      <c r="B558" s="3" t="inlineStr">
        <is>
          <t>Professional Certificate Course In Data Science - September 2024</t>
        </is>
      </c>
      <c r="C558" s="4" t="n">
        <v>45692</v>
      </c>
      <c r="D558" s="3" t="inlineStr"/>
      <c r="E558" s="3" t="inlineStr">
        <is>
          <t>Fresher</t>
        </is>
      </c>
    </row>
    <row r="559">
      <c r="A559" s="3" t="n">
        <v>1983337</v>
      </c>
      <c r="B559" s="3" t="inlineStr">
        <is>
          <t>Professional Certificate Course In Data Science - September 2024</t>
        </is>
      </c>
      <c r="C559" s="4" t="n">
        <v>45946</v>
      </c>
      <c r="D559" s="3" t="inlineStr"/>
      <c r="E559" s="3" t="inlineStr">
        <is>
          <t>Irrelevant (Non Tech) (Grad&gt;2020)</t>
        </is>
      </c>
    </row>
    <row r="560">
      <c r="A560" s="3" t="n">
        <v>1983555</v>
      </c>
      <c r="B560" s="3" t="inlineStr">
        <is>
          <t>Professional Certificate Course In Data Science - September 2024</t>
        </is>
      </c>
      <c r="C560" s="4" t="n">
        <v>45650</v>
      </c>
      <c r="D560" s="3" t="inlineStr"/>
      <c r="E560" s="3" t="inlineStr">
        <is>
          <t>Fresher</t>
        </is>
      </c>
    </row>
    <row r="561">
      <c r="A561" s="3" t="n">
        <v>1984086</v>
      </c>
      <c r="B561" s="3" t="inlineStr">
        <is>
          <t>Professional Certificate Course In Data Science - September 2024</t>
        </is>
      </c>
      <c r="C561" s="4" t="n">
        <v>45643</v>
      </c>
      <c r="D561" s="3" t="inlineStr"/>
      <c r="E561" s="3" t="inlineStr">
        <is>
          <t>Irrelevant (Grad&lt;2020)</t>
        </is>
      </c>
    </row>
    <row r="562">
      <c r="A562" s="3" t="n">
        <v>1987109</v>
      </c>
      <c r="B562" s="3" t="inlineStr">
        <is>
          <t>Professional Certificate Course In Data Science - September 2024</t>
        </is>
      </c>
      <c r="C562" s="4" t="n">
        <v>45679</v>
      </c>
      <c r="D562" s="3" t="inlineStr"/>
      <c r="E562" s="3" t="inlineStr">
        <is>
          <t>Irrelevant (Tech/IT)</t>
        </is>
      </c>
    </row>
    <row r="563">
      <c r="A563" s="3" t="n">
        <v>1992207</v>
      </c>
      <c r="B563" s="3" t="inlineStr">
        <is>
          <t>Professional Certificate Course In Data Science - September 2024</t>
        </is>
      </c>
      <c r="C563" s="4" t="n">
        <v>45650</v>
      </c>
      <c r="D563" s="3" t="inlineStr"/>
      <c r="E563" s="3" t="inlineStr">
        <is>
          <t>Irrelevant (Tech/IT)</t>
        </is>
      </c>
    </row>
    <row r="564">
      <c r="A564" s="3" t="n">
        <v>467321</v>
      </c>
      <c r="B564" s="3" t="inlineStr">
        <is>
          <t>Professional Certificate Course In Data Science - September 2024</t>
        </is>
      </c>
      <c r="C564" s="4" t="n">
        <v>45693</v>
      </c>
      <c r="D564" s="3" t="inlineStr"/>
      <c r="E564" s="3" t="inlineStr">
        <is>
          <t>Irrelevant (Tech/IT)</t>
        </is>
      </c>
    </row>
    <row r="565">
      <c r="A565" s="3" t="n">
        <v>2037597</v>
      </c>
      <c r="B565" s="3" t="inlineStr">
        <is>
          <t>Professional Certificate Course In Data Science - September 2024</t>
        </is>
      </c>
      <c r="C565" s="4" t="n">
        <v>45671</v>
      </c>
      <c r="D565" s="3" t="inlineStr"/>
      <c r="E565" s="3" t="inlineStr">
        <is>
          <t>Fresher</t>
        </is>
      </c>
    </row>
    <row r="566">
      <c r="A566" s="3" t="n">
        <v>1995902</v>
      </c>
      <c r="B566" s="3" t="inlineStr">
        <is>
          <t>Professional Certificate Course In Data Science - September 2024</t>
        </is>
      </c>
      <c r="C566" s="4" t="n">
        <v>45916</v>
      </c>
      <c r="D566" s="3" t="inlineStr"/>
      <c r="E566" s="3" t="inlineStr">
        <is>
          <t>Relevant</t>
        </is>
      </c>
    </row>
    <row r="567">
      <c r="A567" s="3" t="n">
        <v>254369</v>
      </c>
      <c r="B567" s="3" t="inlineStr">
        <is>
          <t>Professional Certificate Course In Data Science &amp; AI - June 2025</t>
        </is>
      </c>
      <c r="C567" s="4" t="n">
        <v>46056</v>
      </c>
      <c r="D567" s="3" t="inlineStr"/>
      <c r="E567" s="3" t="inlineStr">
        <is>
          <t>Relevant</t>
        </is>
      </c>
    </row>
    <row r="568">
      <c r="A568" s="3" t="n">
        <v>581695</v>
      </c>
      <c r="B568" s="3" t="inlineStr">
        <is>
          <t>Professional Certificate Course In Data Science &amp; AI - June 2025</t>
        </is>
      </c>
      <c r="C568" s="4" t="n">
        <v>45967</v>
      </c>
      <c r="D568" s="3" t="inlineStr"/>
      <c r="E568" s="3" t="inlineStr">
        <is>
          <t>Irrelevant (Tech/IT)</t>
        </is>
      </c>
    </row>
    <row r="569">
      <c r="A569" s="3" t="n">
        <v>1046960</v>
      </c>
      <c r="B569" s="3" t="inlineStr">
        <is>
          <t>Professional Certificate Course In Data Science &amp; AI - June 2025</t>
        </is>
      </c>
      <c r="C569" s="4" t="n">
        <v>46249</v>
      </c>
      <c r="D569" s="3" t="inlineStr"/>
      <c r="E569" s="3" t="inlineStr">
        <is>
          <t>Career Gap/ Non Working</t>
        </is>
      </c>
    </row>
    <row r="570">
      <c r="A570" s="3" t="n">
        <v>1097293</v>
      </c>
      <c r="B570" s="3" t="inlineStr">
        <is>
          <t>Professional Certificate Course In Data Science &amp; AI - June 2025</t>
        </is>
      </c>
      <c r="C570" s="4" t="n">
        <v>46020</v>
      </c>
      <c r="D570" s="3" t="inlineStr"/>
      <c r="E570" s="3" t="inlineStr">
        <is>
          <t>Career Gap/ Non Working</t>
        </is>
      </c>
    </row>
    <row r="571">
      <c r="A571" s="3" t="n">
        <v>1988253</v>
      </c>
      <c r="B571" s="3" t="inlineStr">
        <is>
          <t>Professional Certificate Course In Data Science &amp; AI - June 2025</t>
        </is>
      </c>
      <c r="C571" s="4" t="n">
        <v>45962</v>
      </c>
      <c r="D571" s="3" t="inlineStr"/>
      <c r="E571" s="3" t="inlineStr">
        <is>
          <t>Fresher</t>
        </is>
      </c>
    </row>
    <row r="572">
      <c r="A572" s="3" t="n">
        <v>2060469</v>
      </c>
      <c r="B572" s="3" t="inlineStr">
        <is>
          <t>Professional Certificate Course In Data Science &amp; AI - June 2025</t>
        </is>
      </c>
      <c r="C572" s="4" t="n">
        <v>46077</v>
      </c>
      <c r="D572" s="3" t="inlineStr"/>
      <c r="E572" s="3" t="inlineStr">
        <is>
          <t>Fresher</t>
        </is>
      </c>
    </row>
    <row r="573">
      <c r="A573" s="3" t="n">
        <v>2219190</v>
      </c>
      <c r="B573" s="3" t="inlineStr">
        <is>
          <t>Professional Certificate Course In Data Science &amp; AI - June 2025</t>
        </is>
      </c>
      <c r="C573" s="4" t="n">
        <v>45955</v>
      </c>
      <c r="D573" s="3" t="inlineStr"/>
      <c r="E573" s="3" t="inlineStr">
        <is>
          <t>Career Gap/ Non Working</t>
        </is>
      </c>
    </row>
    <row r="574">
      <c r="A574" s="3" t="n">
        <v>2245096</v>
      </c>
      <c r="B574" s="3" t="inlineStr">
        <is>
          <t>Professional Certificate Course In Data Science &amp; AI - June 2025</t>
        </is>
      </c>
      <c r="C574" s="4" t="n">
        <v>45943</v>
      </c>
      <c r="D574" s="3" t="inlineStr"/>
      <c r="E574" s="3" t="inlineStr">
        <is>
          <t>Fresher</t>
        </is>
      </c>
    </row>
    <row r="575">
      <c r="A575" s="3" t="n">
        <v>2261376</v>
      </c>
      <c r="B575" s="3" t="inlineStr">
        <is>
          <t>Professional Certificate Course In Data Science &amp; AI - June 2025</t>
        </is>
      </c>
      <c r="C575" s="4" t="n">
        <v>45925</v>
      </c>
      <c r="D575" s="3" t="inlineStr"/>
      <c r="E575" s="3" t="inlineStr">
        <is>
          <t>Career Gap/ Non Working</t>
        </is>
      </c>
    </row>
    <row r="576">
      <c r="A576" s="3" t="n">
        <v>2300105</v>
      </c>
      <c r="B576" s="3" t="inlineStr">
        <is>
          <t>Professional Certificate Course In Data Science &amp; AI - June 2025</t>
        </is>
      </c>
      <c r="C576" s="4" t="n">
        <v>45943</v>
      </c>
      <c r="D576" s="3" t="inlineStr"/>
      <c r="E576" s="3" t="inlineStr">
        <is>
          <t>Relevant</t>
        </is>
      </c>
    </row>
    <row r="577">
      <c r="A577" s="3" t="n">
        <v>2429142</v>
      </c>
      <c r="B577" s="3" t="inlineStr">
        <is>
          <t>Professional Certificate Course In Data Science &amp; AI - June 2025</t>
        </is>
      </c>
      <c r="C577" s="4" t="n">
        <v>45926</v>
      </c>
      <c r="D577" s="3" t="inlineStr"/>
      <c r="E577" s="3" t="inlineStr">
        <is>
          <t>Relevant</t>
        </is>
      </c>
    </row>
    <row r="578">
      <c r="A578" s="3" t="n">
        <v>2460553</v>
      </c>
      <c r="B578" s="3" t="inlineStr">
        <is>
          <t>Professional Certificate Course In Data Science &amp; AI - June 2025</t>
        </is>
      </c>
      <c r="C578" s="4" t="n">
        <v>45979</v>
      </c>
      <c r="D578" s="3" t="inlineStr"/>
      <c r="E578" s="3" t="inlineStr">
        <is>
          <t>Relevant</t>
        </is>
      </c>
    </row>
    <row r="579">
      <c r="A579" s="3" t="n">
        <v>2462951</v>
      </c>
      <c r="B579" s="3" t="inlineStr">
        <is>
          <t>Professional Certificate Course In Data Science &amp; AI - June 2025</t>
        </is>
      </c>
      <c r="C579" s="4" t="n">
        <v>45925</v>
      </c>
      <c r="D579" s="3" t="inlineStr"/>
      <c r="E579" s="3" t="inlineStr">
        <is>
          <t>Fresher</t>
        </is>
      </c>
    </row>
    <row r="580">
      <c r="A580" s="3" t="n">
        <v>2466180</v>
      </c>
      <c r="B580" s="3" t="inlineStr">
        <is>
          <t>Professional Certificate Course In Data Science &amp; AI - June 2025</t>
        </is>
      </c>
      <c r="C580" s="4" t="n">
        <v>46077</v>
      </c>
      <c r="D580" s="3" t="inlineStr"/>
      <c r="E580" s="3" t="inlineStr">
        <is>
          <t>Irrelevant (Tech/IT)</t>
        </is>
      </c>
    </row>
    <row r="581">
      <c r="A581" s="3" t="n">
        <v>2486221</v>
      </c>
      <c r="B581" s="3" t="inlineStr">
        <is>
          <t>Professional Certificate Course In Data Science &amp; AI - June 2025</t>
        </is>
      </c>
      <c r="C581" s="4" t="n">
        <v>45964</v>
      </c>
      <c r="D581" s="3" t="inlineStr"/>
      <c r="E581" s="3" t="inlineStr">
        <is>
          <t>Relevant</t>
        </is>
      </c>
    </row>
    <row r="582">
      <c r="A582" s="3" t="n">
        <v>2486228</v>
      </c>
      <c r="B582" s="3" t="inlineStr">
        <is>
          <t>Professional Certificate Course In Data Science &amp; AI - June 2025</t>
        </is>
      </c>
      <c r="C582" s="4" t="n">
        <v>45979</v>
      </c>
      <c r="D582" s="3" t="inlineStr"/>
      <c r="E582" s="3" t="inlineStr">
        <is>
          <t>Irrelevant (Non Tech) (Grad&gt;2020)</t>
        </is>
      </c>
    </row>
    <row r="583">
      <c r="A583" s="3" t="n">
        <v>2506297</v>
      </c>
      <c r="B583" s="3" t="inlineStr">
        <is>
          <t>Professional Certificate Course In Data Science &amp; AI - June 2025</t>
        </is>
      </c>
      <c r="C583" s="4" t="n">
        <v>46155</v>
      </c>
      <c r="D583" s="3" t="inlineStr"/>
      <c r="E583" s="3" t="inlineStr">
        <is>
          <t>Fresher</t>
        </is>
      </c>
    </row>
    <row r="584">
      <c r="A584" s="3" t="n">
        <v>2515971</v>
      </c>
      <c r="B584" s="3" t="inlineStr">
        <is>
          <t>Professional Certificate Course In Data Science &amp; AI - June 2025</t>
        </is>
      </c>
      <c r="C584" s="4" t="n">
        <v>46044</v>
      </c>
      <c r="D584" s="3" t="inlineStr"/>
      <c r="E584" s="3" t="inlineStr">
        <is>
          <t>Fresher</t>
        </is>
      </c>
    </row>
    <row r="585">
      <c r="A585" s="3" t="n">
        <v>2516935</v>
      </c>
      <c r="B585" s="3" t="inlineStr">
        <is>
          <t>Professional Certificate Course In Data Science &amp; AI - June 2025</t>
        </is>
      </c>
      <c r="C585" s="4" t="n">
        <v>45925</v>
      </c>
      <c r="D585" s="3" t="inlineStr"/>
      <c r="E585" s="3" t="inlineStr">
        <is>
          <t>Career Gap/ Non Working</t>
        </is>
      </c>
    </row>
    <row r="586">
      <c r="A586" s="3" t="n">
        <v>2517324</v>
      </c>
      <c r="B586" s="3" t="inlineStr">
        <is>
          <t>Professional Certificate Course In Data Science &amp; AI - June 2025</t>
        </is>
      </c>
      <c r="C586" s="4" t="n">
        <v>45958</v>
      </c>
      <c r="D586" s="3" t="inlineStr"/>
      <c r="E586" s="3" t="inlineStr">
        <is>
          <t>Irrelevant (Tech/IT)</t>
        </is>
      </c>
    </row>
    <row r="587">
      <c r="A587" s="3" t="n">
        <v>2518072</v>
      </c>
      <c r="B587" s="3" t="inlineStr">
        <is>
          <t>Professional Certificate Course In Data Science &amp; AI - June 2025</t>
        </is>
      </c>
      <c r="C587" s="4" t="n">
        <v>45944</v>
      </c>
      <c r="D587" s="3" t="inlineStr"/>
      <c r="E587" s="3" t="inlineStr">
        <is>
          <t>Irrelevant (Tech/IT)</t>
        </is>
      </c>
    </row>
    <row r="588">
      <c r="A588" s="3" t="n">
        <v>2519935</v>
      </c>
      <c r="B588" s="3" t="inlineStr">
        <is>
          <t>Professional Certificate Course In Data Science &amp; AI - June 2025</t>
        </is>
      </c>
      <c r="C588" s="4" t="n">
        <v>46050</v>
      </c>
      <c r="D588" s="3" t="inlineStr"/>
      <c r="E588" s="3" t="inlineStr">
        <is>
          <t>Fresher</t>
        </is>
      </c>
    </row>
    <row r="589">
      <c r="A589" s="3" t="n">
        <v>2524306</v>
      </c>
      <c r="B589" s="3" t="inlineStr">
        <is>
          <t>Professional Certificate Course In Data Science &amp; AI - June 2025</t>
        </is>
      </c>
      <c r="C589" s="4" t="n">
        <v>46169</v>
      </c>
      <c r="D589" s="3" t="inlineStr"/>
      <c r="E589" s="3" t="inlineStr">
        <is>
          <t>Relevant</t>
        </is>
      </c>
    </row>
    <row r="590">
      <c r="A590" s="3" t="n">
        <v>2537434</v>
      </c>
      <c r="B590" s="3" t="inlineStr">
        <is>
          <t>Professional Certificate Course In Data Science &amp; AI - June 2025</t>
        </is>
      </c>
      <c r="C590" s="4" t="n">
        <v>45980</v>
      </c>
      <c r="D590" s="3" t="inlineStr"/>
      <c r="E590" s="3" t="inlineStr">
        <is>
          <t>Fresher</t>
        </is>
      </c>
    </row>
    <row r="591">
      <c r="A591" s="3" t="n">
        <v>2557173</v>
      </c>
      <c r="B591" s="3" t="inlineStr">
        <is>
          <t>Professional Certificate Course In Data Science &amp; AI - June 2025</t>
        </is>
      </c>
      <c r="C591" s="4" t="n">
        <v>45947</v>
      </c>
      <c r="D591" s="3" t="inlineStr"/>
      <c r="E591" s="3" t="inlineStr">
        <is>
          <t>Irrelevant (Tech/IT)</t>
        </is>
      </c>
    </row>
    <row r="592">
      <c r="A592" s="3" t="n">
        <v>2562156</v>
      </c>
      <c r="B592" s="3" t="inlineStr">
        <is>
          <t>Professional Certificate Course In Data Science &amp; AI - June 2025</t>
        </is>
      </c>
      <c r="C592" s="4" t="n">
        <v>45976</v>
      </c>
      <c r="D592" s="3" t="inlineStr"/>
      <c r="E592" s="3" t="inlineStr">
        <is>
          <t>Fresher</t>
        </is>
      </c>
    </row>
    <row r="593">
      <c r="A593" s="3" t="n">
        <v>2566256</v>
      </c>
      <c r="B593" s="3" t="inlineStr">
        <is>
          <t>Professional Certificate Course In Data Science &amp; AI - June 2025</t>
        </is>
      </c>
      <c r="C593" s="4" t="n">
        <v>46073</v>
      </c>
      <c r="D593" s="3" t="inlineStr"/>
      <c r="E593" s="3" t="inlineStr">
        <is>
          <t>Career Gap/ Non Working</t>
        </is>
      </c>
    </row>
    <row r="594">
      <c r="A594" s="3" t="n">
        <v>2580839</v>
      </c>
      <c r="B594" s="3" t="inlineStr">
        <is>
          <t>Professional Certificate Course In Data Science &amp; AI - June 2025</t>
        </is>
      </c>
      <c r="C594" s="4" t="n">
        <v>46111</v>
      </c>
      <c r="D594" s="3" t="inlineStr"/>
      <c r="E594" s="3" t="inlineStr">
        <is>
          <t>Fresher</t>
        </is>
      </c>
    </row>
    <row r="595">
      <c r="A595" s="3" t="n">
        <v>2584166</v>
      </c>
      <c r="B595" s="3" t="inlineStr">
        <is>
          <t>Professional Certificate Course In Data Science &amp; AI - June 2025</t>
        </is>
      </c>
      <c r="C595" s="4" t="n">
        <v>45933</v>
      </c>
      <c r="D595" s="3" t="inlineStr"/>
      <c r="E595" s="3" t="inlineStr">
        <is>
          <t>Career Gap/ Non Working</t>
        </is>
      </c>
    </row>
    <row r="596">
      <c r="A596" s="3" t="n">
        <v>155160</v>
      </c>
      <c r="B596" s="3" t="inlineStr">
        <is>
          <t>Professional Certificate Course In Data Science August 2025</t>
        </is>
      </c>
      <c r="C596" s="4" t="n">
        <v>46009</v>
      </c>
      <c r="D596" s="3" t="inlineStr"/>
      <c r="E596" s="3" t="inlineStr">
        <is>
          <t>Irrelevant (Tech/IT)</t>
        </is>
      </c>
    </row>
    <row r="597">
      <c r="A597" s="3" t="n">
        <v>261151</v>
      </c>
      <c r="B597" s="3" t="inlineStr">
        <is>
          <t>Professional Certificate Course In Data Science August 2025</t>
        </is>
      </c>
      <c r="C597" s="4" t="n">
        <v>46021</v>
      </c>
      <c r="D597" s="3" t="inlineStr"/>
      <c r="E597" s="3" t="inlineStr">
        <is>
          <t>Irrelevant (Non Tech) (Grad&gt;2020)</t>
        </is>
      </c>
    </row>
    <row r="598">
      <c r="A598" s="3" t="n">
        <v>604490</v>
      </c>
      <c r="B598" s="3" t="inlineStr">
        <is>
          <t>Professional Certificate Course In Data Science August 2025</t>
        </is>
      </c>
      <c r="C598" s="4" t="n">
        <v>46079</v>
      </c>
      <c r="D598" s="3" t="inlineStr"/>
      <c r="E598" s="3" t="inlineStr">
        <is>
          <t>Irrelevant (Tech/IT)</t>
        </is>
      </c>
    </row>
    <row r="599">
      <c r="A599" s="3" t="n">
        <v>872872</v>
      </c>
      <c r="B599" s="3" t="inlineStr">
        <is>
          <t>Professional Certificate Course In Data Science August 2025</t>
        </is>
      </c>
      <c r="C599" s="4" t="n">
        <v>46079</v>
      </c>
      <c r="D599" s="3" t="inlineStr"/>
      <c r="E599" s="3" t="inlineStr">
        <is>
          <t>Fresher</t>
        </is>
      </c>
    </row>
    <row r="600">
      <c r="A600" s="3" t="n">
        <v>1038871</v>
      </c>
      <c r="B600" s="3" t="inlineStr">
        <is>
          <t>Professional Certificate Course In Data Science August 2025</t>
        </is>
      </c>
      <c r="C600" s="4" t="n">
        <v>46199</v>
      </c>
      <c r="D600" s="3" t="inlineStr"/>
      <c r="E600" s="3" t="inlineStr">
        <is>
          <t>Career Gap/ Non Working</t>
        </is>
      </c>
    </row>
    <row r="601">
      <c r="A601" s="3" t="n">
        <v>1305445</v>
      </c>
      <c r="B601" s="3" t="inlineStr">
        <is>
          <t>Professional Certificate Course In Data Science August 2025</t>
        </is>
      </c>
      <c r="C601" s="4" t="n">
        <v>46225</v>
      </c>
      <c r="D601" s="3" t="inlineStr"/>
      <c r="E601" s="3" t="inlineStr">
        <is>
          <t>Irrelevant (Non Tech) (Grad&gt;2020)</t>
        </is>
      </c>
    </row>
    <row r="602">
      <c r="A602" s="3" t="n">
        <v>1374222</v>
      </c>
      <c r="B602" s="3" t="inlineStr">
        <is>
          <t>Professional Certificate Course In Data Science August 2025</t>
        </is>
      </c>
      <c r="C602" s="4" t="n">
        <v>46027</v>
      </c>
      <c r="D602" s="3" t="inlineStr"/>
      <c r="E602" s="3" t="inlineStr">
        <is>
          <t>Irrelevant (Non Tech) (Grad&gt;2020)</t>
        </is>
      </c>
    </row>
    <row r="603">
      <c r="A603" s="3" t="n">
        <v>1459736</v>
      </c>
      <c r="B603" s="3" t="inlineStr">
        <is>
          <t>Professional Certificate Course In Data Science August 2025</t>
        </is>
      </c>
      <c r="C603" s="4" t="n">
        <v>46239</v>
      </c>
      <c r="D603" s="3" t="inlineStr"/>
      <c r="E603" s="3" t="inlineStr">
        <is>
          <t>Fresher</t>
        </is>
      </c>
    </row>
    <row r="604">
      <c r="A604" s="3" t="n">
        <v>1479589</v>
      </c>
      <c r="B604" s="3" t="inlineStr">
        <is>
          <t>Professional Certificate Course In Data Science August 2025</t>
        </is>
      </c>
      <c r="C604" s="4" t="n">
        <v>46051</v>
      </c>
      <c r="D604" s="3" t="inlineStr"/>
      <c r="E604" s="3" t="inlineStr">
        <is>
          <t>Irrelevant (Non Tech) (Grad&gt;2020)</t>
        </is>
      </c>
    </row>
    <row r="605">
      <c r="A605" s="3" t="n">
        <v>1644777</v>
      </c>
      <c r="B605" s="3" t="inlineStr">
        <is>
          <t>Professional Certificate Course In Data Science August 2025</t>
        </is>
      </c>
      <c r="C605" s="4" t="n">
        <v>46013</v>
      </c>
      <c r="D605" s="3" t="inlineStr"/>
      <c r="E605" s="3" t="inlineStr">
        <is>
          <t>Fresher</t>
        </is>
      </c>
    </row>
    <row r="606">
      <c r="A606" s="3" t="n">
        <v>1653716</v>
      </c>
      <c r="B606" s="3" t="inlineStr">
        <is>
          <t>Professional Certificate Course In Data Science August 2025</t>
        </is>
      </c>
      <c r="C606" s="4" t="n">
        <v>46050</v>
      </c>
      <c r="D606" s="3" t="inlineStr"/>
      <c r="E606" s="3" t="inlineStr">
        <is>
          <t>Relevant</t>
        </is>
      </c>
    </row>
    <row r="607">
      <c r="A607" s="3" t="n">
        <v>1897602</v>
      </c>
      <c r="B607" s="3" t="inlineStr">
        <is>
          <t>Professional Certificate Course In Data Science August 2025</t>
        </is>
      </c>
      <c r="C607" s="4" t="n">
        <v>46064</v>
      </c>
      <c r="D607" s="3" t="inlineStr"/>
      <c r="E607" s="3" t="inlineStr">
        <is>
          <t>Fresher</t>
        </is>
      </c>
    </row>
    <row r="608">
      <c r="A608" s="3" t="n">
        <v>2065159</v>
      </c>
      <c r="B608" s="3" t="inlineStr">
        <is>
          <t>Professional Certificate Course In Data Science August 2025</t>
        </is>
      </c>
      <c r="C608" s="4" t="n">
        <v>46015</v>
      </c>
      <c r="D608" s="3" t="inlineStr"/>
      <c r="E608" s="3" t="inlineStr">
        <is>
          <t>Irrelevant (Tech/IT)</t>
        </is>
      </c>
    </row>
    <row r="609">
      <c r="A609" s="3" t="n">
        <v>2458304</v>
      </c>
      <c r="B609" s="3" t="inlineStr">
        <is>
          <t>Professional Certificate Course In Data Science August 2025</t>
        </is>
      </c>
      <c r="C609" s="4" t="n">
        <v>46014</v>
      </c>
      <c r="D609" s="3" t="inlineStr"/>
      <c r="E609" s="3" t="inlineStr">
        <is>
          <t>Fresher</t>
        </is>
      </c>
    </row>
    <row r="610">
      <c r="A610" s="3" t="n">
        <v>2543800</v>
      </c>
      <c r="B610" s="3" t="inlineStr">
        <is>
          <t>Professional Certificate Course In Data Science August 2025</t>
        </is>
      </c>
      <c r="C610" s="4" t="n">
        <v>46014</v>
      </c>
      <c r="D610" s="3" t="inlineStr"/>
      <c r="E610" s="3" t="inlineStr">
        <is>
          <t>Fresher</t>
        </is>
      </c>
    </row>
    <row r="611">
      <c r="A611" s="3" t="n">
        <v>2574332</v>
      </c>
      <c r="B611" s="3" t="inlineStr">
        <is>
          <t>Professional Certificate Course In Data Science August 2025</t>
        </is>
      </c>
      <c r="C611" s="4" t="n">
        <v>46073</v>
      </c>
      <c r="D611" s="3" t="inlineStr"/>
      <c r="E611" s="3" t="inlineStr">
        <is>
          <t>Relevant</t>
        </is>
      </c>
    </row>
    <row r="612">
      <c r="A612" s="3" t="n">
        <v>2662029</v>
      </c>
      <c r="B612" s="3" t="inlineStr">
        <is>
          <t>Professional Certificate Course In Data Science August 2025</t>
        </is>
      </c>
      <c r="C612" s="4" t="n">
        <v>46011</v>
      </c>
      <c r="D612" s="3" t="inlineStr"/>
      <c r="E612" s="3" t="inlineStr">
        <is>
          <t>Irrelevant (Tech/IT)</t>
        </is>
      </c>
    </row>
    <row r="613">
      <c r="A613" s="3" t="n">
        <v>2764278</v>
      </c>
      <c r="B613" s="3" t="inlineStr">
        <is>
          <t>Professional Certificate Course In Data Science August 2025</t>
        </is>
      </c>
      <c r="C613" s="4" t="n">
        <v>46079</v>
      </c>
      <c r="D613" s="3" t="inlineStr"/>
      <c r="E613" s="3" t="inlineStr">
        <is>
          <t>Fresher</t>
        </is>
      </c>
    </row>
    <row r="614">
      <c r="A614" s="3" t="n">
        <v>2764692</v>
      </c>
      <c r="B614" s="3" t="inlineStr">
        <is>
          <t>Professional Certificate Course In Data Science August 2025</t>
        </is>
      </c>
      <c r="C614" s="4" t="n">
        <v>46052</v>
      </c>
      <c r="D614" s="3" t="inlineStr"/>
      <c r="E614" s="3" t="inlineStr">
        <is>
          <t>Fresher</t>
        </is>
      </c>
    </row>
    <row r="615">
      <c r="A615" s="3" t="n">
        <v>2769686</v>
      </c>
      <c r="B615" s="3" t="inlineStr">
        <is>
          <t>Professional Certificate Course In Data Science August 2025</t>
        </is>
      </c>
      <c r="C615" s="4" t="n">
        <v>46052</v>
      </c>
      <c r="D615" s="3" t="inlineStr"/>
      <c r="E615" s="3" t="inlineStr">
        <is>
          <t>Fresher</t>
        </is>
      </c>
    </row>
    <row r="616">
      <c r="A616" s="3" t="n">
        <v>2773216</v>
      </c>
      <c r="B616" s="3" t="inlineStr">
        <is>
          <t>Professional Certificate Course In Data Science August 2025</t>
        </is>
      </c>
      <c r="C616" s="4" t="n">
        <v>46059</v>
      </c>
      <c r="D616" s="3" t="inlineStr"/>
      <c r="E616" s="3" t="inlineStr">
        <is>
          <t>Career Gap/ Non Working</t>
        </is>
      </c>
    </row>
    <row r="617">
      <c r="A617" s="3" t="n">
        <v>2773840</v>
      </c>
      <c r="B617" s="3" t="inlineStr">
        <is>
          <t>Professional Certificate Course In Data Science August 2025</t>
        </is>
      </c>
      <c r="C617" s="4" t="n">
        <v>46015</v>
      </c>
      <c r="D617" s="3" t="inlineStr"/>
      <c r="E617" s="3" t="inlineStr">
        <is>
          <t>Irrelevant (Tech/IT)</t>
        </is>
      </c>
    </row>
    <row r="618">
      <c r="A618" s="3" t="n">
        <v>2774078</v>
      </c>
      <c r="B618" s="3" t="inlineStr">
        <is>
          <t>Professional Certificate Course In Data Science August 2025</t>
        </is>
      </c>
      <c r="C618" s="4" t="n">
        <v>46072</v>
      </c>
      <c r="D618" s="3" t="inlineStr"/>
      <c r="E618" s="3" t="inlineStr">
        <is>
          <t>Irrelevant (Non Tech) (Grad&gt;2020)</t>
        </is>
      </c>
    </row>
    <row r="619">
      <c r="A619" s="3" t="n">
        <v>2780338</v>
      </c>
      <c r="B619" s="3" t="inlineStr">
        <is>
          <t>Professional Certificate Course In Data Science August 2025</t>
        </is>
      </c>
      <c r="C619" s="4" t="n">
        <v>46122</v>
      </c>
      <c r="D619" s="3" t="inlineStr"/>
      <c r="E619" s="3" t="inlineStr">
        <is>
          <t>Career Gap/ Non Working</t>
        </is>
      </c>
    </row>
    <row r="620">
      <c r="A620" s="3" t="n">
        <v>2780735</v>
      </c>
      <c r="B620" s="3" t="inlineStr">
        <is>
          <t>Professional Certificate Course In Data Science August 2025</t>
        </is>
      </c>
      <c r="C620" s="4" t="n">
        <v>46071</v>
      </c>
      <c r="D620" s="3" t="inlineStr"/>
      <c r="E620" s="3" t="inlineStr">
        <is>
          <t>Irrelevant (Non Tech) (Grad&gt;2020)</t>
        </is>
      </c>
    </row>
    <row r="621">
      <c r="A621" s="3" t="n">
        <v>2782831</v>
      </c>
      <c r="B621" s="3" t="inlineStr">
        <is>
          <t>Professional Certificate Course In Data Science August 2025</t>
        </is>
      </c>
      <c r="C621" s="4" t="n">
        <v>46200</v>
      </c>
      <c r="D621" s="3" t="inlineStr"/>
      <c r="E621" s="3" t="inlineStr">
        <is>
          <t>Irrelevant (Non Tech) (Grad&gt;2020)</t>
        </is>
      </c>
    </row>
    <row r="622">
      <c r="A622" s="3" t="n">
        <v>2783554</v>
      </c>
      <c r="B622" s="3" t="inlineStr">
        <is>
          <t>Professional Certificate Course In Data Science August 2025</t>
        </is>
      </c>
      <c r="C622" s="4" t="n">
        <v>46008</v>
      </c>
      <c r="D622" s="3" t="inlineStr"/>
      <c r="E622" s="3" t="inlineStr">
        <is>
          <t>Irrelevant (Non Tech) (Grad&gt;2020)</t>
        </is>
      </c>
    </row>
    <row r="623">
      <c r="A623" s="3" t="n">
        <v>2784310</v>
      </c>
      <c r="B623" s="3" t="inlineStr">
        <is>
          <t>Professional Certificate Course In Data Science August 2025</t>
        </is>
      </c>
      <c r="C623" s="4" t="n">
        <v>46093</v>
      </c>
      <c r="D623" s="3" t="inlineStr"/>
      <c r="E623" s="3" t="inlineStr">
        <is>
          <t>Irrelevant (Tech/IT)</t>
        </is>
      </c>
    </row>
    <row r="624">
      <c r="A624" s="3" t="n">
        <v>2785210</v>
      </c>
      <c r="B624" s="3" t="inlineStr">
        <is>
          <t>Professional Certificate Course In Data Science November 2025</t>
        </is>
      </c>
      <c r="C624" s="4" t="n">
        <v>46199</v>
      </c>
      <c r="D624" s="3" t="inlineStr"/>
      <c r="E624" s="3" t="inlineStr">
        <is>
          <t>Fresher</t>
        </is>
      </c>
    </row>
    <row r="625">
      <c r="A625" s="3" t="n">
        <v>2786010</v>
      </c>
      <c r="B625" s="3" t="inlineStr">
        <is>
          <t>Professional Certificate Course In Data Science August 2025</t>
        </is>
      </c>
      <c r="C625" s="4" t="n">
        <v>46107</v>
      </c>
      <c r="D625" s="3" t="inlineStr"/>
      <c r="E625" s="3" t="inlineStr">
        <is>
          <t>Career Gap/ Non Working</t>
        </is>
      </c>
    </row>
    <row r="626">
      <c r="A626" s="3" t="n">
        <v>2791797</v>
      </c>
      <c r="B626" s="3" t="inlineStr">
        <is>
          <t>Professional Certificate Course In Data Science August 2025</t>
        </is>
      </c>
      <c r="C626" s="4" t="n">
        <v>46076</v>
      </c>
      <c r="D626" s="3" t="inlineStr"/>
      <c r="E626" s="3" t="inlineStr">
        <is>
          <t>Relevant</t>
        </is>
      </c>
    </row>
    <row r="627">
      <c r="A627" s="3" t="n">
        <v>595247</v>
      </c>
      <c r="B627" s="3" t="inlineStr">
        <is>
          <t>Professional Certificate Course In Data Science November 2025</t>
        </is>
      </c>
      <c r="C627" s="4" t="n">
        <v>46134</v>
      </c>
      <c r="D627" s="3" t="inlineStr"/>
      <c r="E627" s="3" t="inlineStr">
        <is>
          <t>Career Gap/ Non Working</t>
        </is>
      </c>
    </row>
    <row r="628">
      <c r="A628" s="3" t="n">
        <v>1479370</v>
      </c>
      <c r="B628" s="3" t="inlineStr">
        <is>
          <t>Professional Certificate Course In Data Science November 2025</t>
        </is>
      </c>
      <c r="C628" s="4" t="n">
        <v>46107</v>
      </c>
      <c r="D628" s="3" t="inlineStr"/>
      <c r="E628" s="3" t="inlineStr">
        <is>
          <t>Fresher</t>
        </is>
      </c>
    </row>
    <row r="629">
      <c r="A629" s="3" t="n">
        <v>2242951</v>
      </c>
      <c r="B629" s="3" t="inlineStr">
        <is>
          <t>Professional Certificate Course In Data Science November 2025</t>
        </is>
      </c>
      <c r="C629" s="4" t="n">
        <v>46101</v>
      </c>
      <c r="D629" s="3" t="inlineStr"/>
      <c r="E629" s="3" t="inlineStr">
        <is>
          <t>Irrelevant (Tech/IT)</t>
        </is>
      </c>
    </row>
    <row r="630">
      <c r="A630" s="3" t="n">
        <v>2310914</v>
      </c>
      <c r="B630" s="3" t="inlineStr">
        <is>
          <t>Professional Certificate Course In Data Science November 2025</t>
        </is>
      </c>
      <c r="C630" s="4" t="n">
        <v>46160</v>
      </c>
      <c r="D630" s="3" t="inlineStr"/>
      <c r="E630" s="3" t="inlineStr">
        <is>
          <t>Fresher</t>
        </is>
      </c>
    </row>
    <row r="631">
      <c r="A631" s="3" t="n">
        <v>2506785</v>
      </c>
      <c r="B631" s="3" t="inlineStr">
        <is>
          <t>Professional Certificate Course In Data Science November 2025</t>
        </is>
      </c>
      <c r="C631" s="4" t="n">
        <v>46111</v>
      </c>
      <c r="D631" s="3" t="inlineStr"/>
      <c r="E631" s="3" t="inlineStr">
        <is>
          <t>Fresher</t>
        </is>
      </c>
    </row>
    <row r="632">
      <c r="A632" s="3" t="n">
        <v>2736416</v>
      </c>
      <c r="B632" s="3" t="inlineStr">
        <is>
          <t>Professional Certificate Course In Data Science October 2025</t>
        </is>
      </c>
      <c r="C632" s="4" t="n">
        <v>46280</v>
      </c>
      <c r="D632" s="3" t="inlineStr"/>
      <c r="E632" s="3" t="inlineStr">
        <is>
          <t>Career Gap/ Non Working</t>
        </is>
      </c>
    </row>
    <row r="633">
      <c r="A633" s="3" t="n">
        <v>534394</v>
      </c>
      <c r="B633" s="3" t="inlineStr">
        <is>
          <t>Professional Certificate Course In Data Science October 2025</t>
        </is>
      </c>
      <c r="C633" s="4" t="n">
        <v>46116</v>
      </c>
      <c r="D633" s="3" t="inlineStr"/>
      <c r="E633" s="3" t="inlineStr">
        <is>
          <t>Fresher</t>
        </is>
      </c>
    </row>
    <row r="634">
      <c r="A634" s="3" t="n">
        <v>2023840</v>
      </c>
      <c r="B634" s="3" t="inlineStr">
        <is>
          <t>Professional Certificate Course In Data Science October 2025</t>
        </is>
      </c>
      <c r="C634" s="4" t="n">
        <v>46071</v>
      </c>
      <c r="D634" s="3" t="inlineStr"/>
      <c r="E634" s="3" t="inlineStr">
        <is>
          <t>Relevant</t>
        </is>
      </c>
    </row>
    <row r="635">
      <c r="A635" s="3" t="n">
        <v>2313257</v>
      </c>
      <c r="B635" s="3" t="inlineStr">
        <is>
          <t>Professional Certificate Course In Data Science October 2025</t>
        </is>
      </c>
      <c r="C635" s="4" t="n">
        <v>46092</v>
      </c>
      <c r="D635" s="3" t="inlineStr"/>
      <c r="E635" s="3" t="inlineStr">
        <is>
          <t>Career Gap/ Non Working</t>
        </is>
      </c>
    </row>
    <row r="636">
      <c r="A636" s="3" t="n">
        <v>2488199</v>
      </c>
      <c r="B636" s="3" t="inlineStr">
        <is>
          <t>Professional Certificate Course In Data Science October 2025</t>
        </is>
      </c>
      <c r="C636" s="4" t="n">
        <v>46080</v>
      </c>
      <c r="D636" s="3" t="inlineStr"/>
      <c r="E636" s="3" t="inlineStr">
        <is>
          <t>Career Gap/ Non Working</t>
        </is>
      </c>
    </row>
    <row r="637">
      <c r="A637" s="3" t="n">
        <v>2792849</v>
      </c>
      <c r="B637" s="3" t="inlineStr">
        <is>
          <t>Professional Certificate Course In Data Science October 2025</t>
        </is>
      </c>
      <c r="C637" s="4" t="n">
        <v>46238</v>
      </c>
      <c r="D637" s="3" t="inlineStr"/>
      <c r="E637" s="3" t="inlineStr">
        <is>
          <t>Fresher</t>
        </is>
      </c>
    </row>
    <row r="638">
      <c r="A638" s="3" t="n">
        <v>191892</v>
      </c>
      <c r="B638" s="3" t="inlineStr">
        <is>
          <t>Professional Certificate Course In Data Science October 2025</t>
        </is>
      </c>
      <c r="C638" s="4" t="n">
        <v>46197</v>
      </c>
      <c r="D638" s="3" t="inlineStr"/>
      <c r="E638" s="3" t="inlineStr">
        <is>
          <t>Irrelevant (Grad&lt;2020)</t>
        </is>
      </c>
    </row>
    <row r="639">
      <c r="A639" s="3" t="n">
        <v>1608781</v>
      </c>
      <c r="B639" s="3" t="inlineStr">
        <is>
          <t>Professional Certificate Course In Data Science October 2025</t>
        </is>
      </c>
      <c r="C639" s="4" t="n">
        <v>46084</v>
      </c>
      <c r="D639" s="3" t="inlineStr"/>
      <c r="E639" s="3" t="inlineStr">
        <is>
          <t>Fresher</t>
        </is>
      </c>
    </row>
    <row r="640">
      <c r="A640" s="3" t="n">
        <v>2012726</v>
      </c>
      <c r="B640" s="3" t="inlineStr">
        <is>
          <t>Professional Certificate Course In Data Science October 2025</t>
        </is>
      </c>
      <c r="C640" s="4" t="n">
        <v>46112</v>
      </c>
      <c r="D640" s="3" t="inlineStr"/>
      <c r="E640" s="3" t="inlineStr">
        <is>
          <t>Irrelevant (Non Tech) (Grad&gt;2020)</t>
        </is>
      </c>
    </row>
    <row r="641">
      <c r="A641" s="3" t="n">
        <v>2164657</v>
      </c>
      <c r="B641" s="3" t="inlineStr">
        <is>
          <t>Professional Certificate Course In Data Science October 2025</t>
        </is>
      </c>
      <c r="C641" s="4" t="n">
        <v>46070</v>
      </c>
      <c r="D641" s="3" t="inlineStr"/>
      <c r="E641" s="3" t="inlineStr">
        <is>
          <t>Relevant</t>
        </is>
      </c>
    </row>
    <row r="642">
      <c r="A642" s="3" t="n">
        <v>2809941</v>
      </c>
      <c r="B642" s="3" t="inlineStr">
        <is>
          <t>Professional Certificate Course In Data Science October 2025</t>
        </is>
      </c>
      <c r="C642" s="4" t="n">
        <v>46125</v>
      </c>
      <c r="D642" s="3" t="inlineStr"/>
      <c r="E642" s="3" t="inlineStr">
        <is>
          <t>Fresher</t>
        </is>
      </c>
    </row>
    <row r="643">
      <c r="A643" s="3" t="n">
        <v>2820744</v>
      </c>
      <c r="B643" s="3" t="inlineStr">
        <is>
          <t>Professional Certificate Course In Data Science October 2025</t>
        </is>
      </c>
      <c r="C643" s="4" t="n">
        <v>46133</v>
      </c>
      <c r="D643" s="3" t="inlineStr"/>
      <c r="E643" s="3" t="inlineStr">
        <is>
          <t>Irrelevant (Non Tech) (Grad&gt;2020)</t>
        </is>
      </c>
    </row>
    <row r="644">
      <c r="A644" s="3" t="n">
        <v>2822065</v>
      </c>
      <c r="B644" s="3" t="inlineStr">
        <is>
          <t>Professional Certificate Course In Data Science October 2025</t>
        </is>
      </c>
      <c r="C644" s="4" t="n">
        <v>46171</v>
      </c>
      <c r="D644" s="3" t="inlineStr"/>
      <c r="E644" s="3" t="inlineStr">
        <is>
          <t>Fresher</t>
        </is>
      </c>
    </row>
    <row r="645">
      <c r="A645" s="3" t="n">
        <v>2822828</v>
      </c>
      <c r="B645" s="3" t="inlineStr">
        <is>
          <t>Professional Certificate Course In Data Science October 2025</t>
        </is>
      </c>
      <c r="C645" s="4" t="n">
        <v>46104</v>
      </c>
      <c r="D645" s="3" t="inlineStr"/>
      <c r="E645" s="3" t="inlineStr">
        <is>
          <t>Career Gap/ Non Working</t>
        </is>
      </c>
    </row>
    <row r="646">
      <c r="A646" s="3" t="n">
        <v>2822838</v>
      </c>
      <c r="B646" s="3" t="inlineStr">
        <is>
          <t>Professional Certificate Course In Data Science October 2025</t>
        </is>
      </c>
      <c r="C646" s="4" t="n">
        <v>46078</v>
      </c>
      <c r="D646" s="3" t="inlineStr"/>
      <c r="E646" s="3" t="inlineStr">
        <is>
          <t>Irrelevant (Grad&lt;2020)</t>
        </is>
      </c>
    </row>
    <row r="647">
      <c r="A647" s="3" t="n">
        <v>2824676</v>
      </c>
      <c r="B647" s="3" t="inlineStr">
        <is>
          <t>Professional Certificate Course In Data Science October 2025</t>
        </is>
      </c>
      <c r="C647" s="4" t="n">
        <v>46071</v>
      </c>
      <c r="D647" s="3" t="inlineStr"/>
      <c r="E647" s="3" t="inlineStr">
        <is>
          <t>Relevant</t>
        </is>
      </c>
    </row>
    <row r="648">
      <c r="A648" s="3" t="n">
        <v>2825672</v>
      </c>
      <c r="B648" s="3" t="inlineStr">
        <is>
          <t>Professional Certificate Course In Data Science November 2025</t>
        </is>
      </c>
      <c r="C648" s="4" t="n">
        <v>46281</v>
      </c>
      <c r="D648" s="3" t="inlineStr"/>
      <c r="E648" s="3" t="inlineStr">
        <is>
          <t>Irrelevant (Non Tech) (Grad&gt;2020)</t>
        </is>
      </c>
    </row>
    <row r="649">
      <c r="A649" s="3" t="n">
        <v>2825925</v>
      </c>
      <c r="B649" s="3" t="inlineStr">
        <is>
          <t>Professional Certificate Course In Data Science October 2025</t>
        </is>
      </c>
      <c r="C649" s="4" t="n">
        <v>46132</v>
      </c>
      <c r="D649" s="3" t="inlineStr"/>
      <c r="E649" s="3" t="inlineStr">
        <is>
          <t>Fresher</t>
        </is>
      </c>
    </row>
    <row r="650">
      <c r="A650" s="3" t="n">
        <v>2826442</v>
      </c>
      <c r="B650" s="3" t="inlineStr">
        <is>
          <t>Professional Certificate Course In Data Science October 2025</t>
        </is>
      </c>
      <c r="C650" s="4" t="n">
        <v>46161</v>
      </c>
      <c r="D650" s="3" t="inlineStr"/>
      <c r="E650" s="3" t="inlineStr">
        <is>
          <t>Irrelevant (Tech/IT)</t>
        </is>
      </c>
    </row>
    <row r="651">
      <c r="A651" s="3" t="n">
        <v>2828279</v>
      </c>
      <c r="B651" s="3" t="inlineStr">
        <is>
          <t>Professional Certificate Course In Data Science October 2025</t>
        </is>
      </c>
      <c r="C651" s="4" t="n">
        <v>46139</v>
      </c>
      <c r="D651" s="3" t="inlineStr"/>
      <c r="E651" s="3" t="inlineStr">
        <is>
          <t>Fresher</t>
        </is>
      </c>
    </row>
    <row r="652">
      <c r="A652" s="3" t="n">
        <v>2831314</v>
      </c>
      <c r="B652" s="3" t="inlineStr">
        <is>
          <t>Professional Certificate Course In Data Science October 2025</t>
        </is>
      </c>
      <c r="C652" s="4" t="n">
        <v>46079</v>
      </c>
      <c r="D652" s="3" t="inlineStr"/>
      <c r="E652" s="3" t="inlineStr">
        <is>
          <t>Career Gap/ Non Working</t>
        </is>
      </c>
    </row>
    <row r="653">
      <c r="A653" s="3" t="n">
        <v>2841798</v>
      </c>
      <c r="B653" s="3" t="inlineStr">
        <is>
          <t>Professional Certificate Course In Data Science October 2025</t>
        </is>
      </c>
      <c r="C653" s="4" t="n">
        <v>46112</v>
      </c>
      <c r="D653" s="3" t="inlineStr"/>
      <c r="E653" s="3" t="inlineStr">
        <is>
          <t>Fresher</t>
        </is>
      </c>
    </row>
    <row r="654">
      <c r="A654" s="3" t="n">
        <v>2842870</v>
      </c>
      <c r="B654" s="3" t="inlineStr">
        <is>
          <t>Professional Certificate Course In Data Science October 2025</t>
        </is>
      </c>
      <c r="C654" s="4" t="n">
        <v>46083</v>
      </c>
      <c r="D654" s="3" t="inlineStr"/>
      <c r="E654" s="3" t="inlineStr">
        <is>
          <t>Irrelevant (Non Tech) (Grad&gt;2020)</t>
        </is>
      </c>
    </row>
    <row r="655">
      <c r="A655" s="3" t="n">
        <v>2870686</v>
      </c>
      <c r="B655" s="3" t="inlineStr">
        <is>
          <t>Professional Certificate Course In Data Science October 2025</t>
        </is>
      </c>
      <c r="C655" s="4" t="n">
        <v>46070</v>
      </c>
      <c r="D655" s="3" t="inlineStr"/>
      <c r="E655" s="3" t="inlineStr">
        <is>
          <t>Relevant</t>
        </is>
      </c>
    </row>
    <row r="656">
      <c r="A656" s="3" t="n">
        <v>2877065</v>
      </c>
      <c r="B656" s="3" t="inlineStr">
        <is>
          <t>Professional Certificate Course In Data Science October 2025</t>
        </is>
      </c>
      <c r="C656" s="4" t="n">
        <v>46091</v>
      </c>
      <c r="D656" s="3" t="inlineStr"/>
      <c r="E656" s="3" t="inlineStr">
        <is>
          <t>Relevant</t>
        </is>
      </c>
    </row>
    <row r="657">
      <c r="A657" s="3" t="n">
        <v>147511</v>
      </c>
      <c r="B657" s="3" t="inlineStr">
        <is>
          <t>Professional Certificate Course In Data Science September 2025</t>
        </is>
      </c>
      <c r="C657" s="4" t="n">
        <v>46057</v>
      </c>
      <c r="D657" s="3" t="inlineStr"/>
      <c r="E657" s="3" t="inlineStr">
        <is>
          <t>Career Gap/ Non Working</t>
        </is>
      </c>
    </row>
    <row r="658">
      <c r="A658" s="3" t="n">
        <v>197114</v>
      </c>
      <c r="B658" s="3" t="inlineStr">
        <is>
          <t>Professional Certificate Course In Data Science September 2025</t>
        </is>
      </c>
      <c r="C658" s="4" t="n">
        <v>46286</v>
      </c>
      <c r="D658" s="3" t="inlineStr"/>
      <c r="E658" s="3" t="inlineStr">
        <is>
          <t>Relevant</t>
        </is>
      </c>
    </row>
    <row r="659">
      <c r="A659" s="3" t="n">
        <v>667908</v>
      </c>
      <c r="B659" s="3" t="inlineStr">
        <is>
          <t>Professional Certificate Course In Data Science September 2025</t>
        </is>
      </c>
      <c r="C659" s="4" t="n">
        <v>46073</v>
      </c>
      <c r="D659" s="3" t="inlineStr"/>
      <c r="E659" s="3" t="inlineStr">
        <is>
          <t>Career Gap/ Non Working</t>
        </is>
      </c>
    </row>
    <row r="660">
      <c r="A660" s="3" t="n">
        <v>1463479</v>
      </c>
      <c r="B660" s="3" t="inlineStr">
        <is>
          <t>Professional Certificate Course In Data Science September 2025</t>
        </is>
      </c>
      <c r="C660" s="4" t="n">
        <v>46050</v>
      </c>
      <c r="D660" s="3" t="inlineStr"/>
      <c r="E660" s="3" t="inlineStr">
        <is>
          <t>Irrelevant (Grad&lt;2020)</t>
        </is>
      </c>
    </row>
    <row r="661">
      <c r="A661" s="3" t="n">
        <v>1675808</v>
      </c>
      <c r="B661" s="3" t="inlineStr">
        <is>
          <t>Professional Certificate Course In Data Science September 2025</t>
        </is>
      </c>
      <c r="C661" s="4" t="n">
        <v>46053</v>
      </c>
      <c r="D661" s="3" t="inlineStr"/>
      <c r="E661" s="3" t="inlineStr">
        <is>
          <t>Relevant</t>
        </is>
      </c>
    </row>
    <row r="662">
      <c r="A662" s="3" t="n">
        <v>2235604</v>
      </c>
      <c r="B662" s="3" t="inlineStr">
        <is>
          <t>Professional Certificate Course In Data Science September 2025</t>
        </is>
      </c>
      <c r="C662" s="4" t="n">
        <v>46044</v>
      </c>
      <c r="D662" s="3" t="inlineStr"/>
      <c r="E662" s="3" t="inlineStr">
        <is>
          <t>Fresher</t>
        </is>
      </c>
    </row>
    <row r="663">
      <c r="A663" s="3" t="n">
        <v>2245117</v>
      </c>
      <c r="B663" s="3" t="inlineStr">
        <is>
          <t>Professional Certificate Course In Data Science September 2025</t>
        </is>
      </c>
      <c r="C663" s="4" t="n">
        <v>46080</v>
      </c>
      <c r="D663" s="3" t="inlineStr"/>
      <c r="E663" s="3" t="inlineStr">
        <is>
          <t>Irrelevant (Non Tech) (Grad&gt;2020)</t>
        </is>
      </c>
    </row>
    <row r="664">
      <c r="A664" s="3" t="n">
        <v>2459827</v>
      </c>
      <c r="B664" s="3" t="inlineStr">
        <is>
          <t>Professional Certificate Course In Data Science September 2025</t>
        </is>
      </c>
      <c r="C664" s="4" t="n">
        <v>46155</v>
      </c>
      <c r="D664" s="3" t="inlineStr"/>
      <c r="E664" s="3" t="inlineStr">
        <is>
          <t>Fresher</t>
        </is>
      </c>
    </row>
    <row r="665">
      <c r="A665" s="3" t="n">
        <v>2475092</v>
      </c>
      <c r="B665" s="3" t="inlineStr">
        <is>
          <t>Professional Certificate Course In Data Science September 2025</t>
        </is>
      </c>
      <c r="C665" s="4" t="n">
        <v>46058</v>
      </c>
      <c r="D665" s="3" t="inlineStr"/>
      <c r="E665" s="3" t="inlineStr">
        <is>
          <t>Relevant</t>
        </is>
      </c>
    </row>
    <row r="666">
      <c r="A666" s="3" t="n">
        <v>2775252</v>
      </c>
      <c r="B666" s="3" t="inlineStr">
        <is>
          <t>Professional Certificate Course In Data Science September 2025</t>
        </is>
      </c>
      <c r="C666" s="4" t="n">
        <v>46043</v>
      </c>
      <c r="D666" s="3" t="inlineStr"/>
      <c r="E666" s="3" t="inlineStr">
        <is>
          <t>Career Gap/ Non Working</t>
        </is>
      </c>
    </row>
    <row r="667">
      <c r="A667" s="3" t="n">
        <v>2783464</v>
      </c>
      <c r="B667" s="3" t="inlineStr">
        <is>
          <t>Professional Certificate Course In Data Science September 2025</t>
        </is>
      </c>
      <c r="C667" s="4" t="n">
        <v>46072</v>
      </c>
      <c r="D667" s="3" t="inlineStr"/>
      <c r="E667" s="3" t="inlineStr">
        <is>
          <t>Fresher</t>
        </is>
      </c>
    </row>
    <row r="668">
      <c r="A668" s="3" t="n">
        <v>2791605</v>
      </c>
      <c r="B668" s="3" t="inlineStr">
        <is>
          <t>Professional Certificate Course In Data Science September 2025</t>
        </is>
      </c>
      <c r="C668" s="4" t="n">
        <v>46133</v>
      </c>
      <c r="D668" s="3" t="inlineStr"/>
      <c r="E668" s="3" t="inlineStr">
        <is>
          <t>Fresher</t>
        </is>
      </c>
    </row>
    <row r="669">
      <c r="A669" s="3" t="n">
        <v>2792152</v>
      </c>
      <c r="B669" s="3" t="inlineStr">
        <is>
          <t>Professional Certificate Course In Data Science September 2025</t>
        </is>
      </c>
      <c r="C669" s="4" t="n">
        <v>46071</v>
      </c>
      <c r="D669" s="3" t="inlineStr"/>
      <c r="E669" s="3" t="inlineStr">
        <is>
          <t>Career Gap/ Non Working</t>
        </is>
      </c>
    </row>
    <row r="670">
      <c r="A670" s="3" t="n">
        <v>2796042</v>
      </c>
      <c r="B670" s="3" t="inlineStr">
        <is>
          <t>Professional Certificate Course In Data Science September 2025</t>
        </is>
      </c>
      <c r="C670" s="4" t="n">
        <v>46223</v>
      </c>
      <c r="D670" s="3" t="inlineStr"/>
      <c r="E670" s="3" t="inlineStr">
        <is>
          <t>Irrelevant (Non Tech) (Grad&gt;2020)</t>
        </is>
      </c>
    </row>
    <row r="671">
      <c r="A671" s="3" t="n">
        <v>2808239</v>
      </c>
      <c r="B671" s="3" t="inlineStr">
        <is>
          <t>Professional Certificate Course In Data Science September 2025</t>
        </is>
      </c>
      <c r="C671" s="4" t="n">
        <v>46065</v>
      </c>
      <c r="D671" s="3" t="inlineStr"/>
      <c r="E671" s="3" t="inlineStr">
        <is>
          <t>Irrelevant (Tech/IT)</t>
        </is>
      </c>
    </row>
    <row r="672">
      <c r="A672" s="3" t="n">
        <v>2811551</v>
      </c>
      <c r="B672" s="3" t="inlineStr">
        <is>
          <t>Professional Certificate Course In Data Science September 2025</t>
        </is>
      </c>
      <c r="C672" s="4" t="n">
        <v>46282</v>
      </c>
      <c r="D672" s="3" t="inlineStr"/>
      <c r="E672" s="3" t="inlineStr">
        <is>
          <t>Fresher</t>
        </is>
      </c>
    </row>
    <row r="673">
      <c r="A673" s="3" t="n">
        <v>2813957</v>
      </c>
      <c r="B673" s="3" t="inlineStr">
        <is>
          <t>Professional Certificate Course In Data Science September 2025</t>
        </is>
      </c>
      <c r="C673" s="4" t="n">
        <v>46078</v>
      </c>
      <c r="D673" s="3" t="inlineStr"/>
      <c r="E673" s="3" t="inlineStr">
        <is>
          <t>Career Gap/ Non Working</t>
        </is>
      </c>
    </row>
    <row r="674">
      <c r="A674" s="3" t="n">
        <v>2814926</v>
      </c>
      <c r="B674" s="3" t="inlineStr">
        <is>
          <t>Professional Certificate Course In Data Science September 2025</t>
        </is>
      </c>
      <c r="C674" s="4" t="n">
        <v>46045</v>
      </c>
      <c r="D674" s="3" t="inlineStr"/>
      <c r="E674" s="3" t="inlineStr">
        <is>
          <t>Fresher</t>
        </is>
      </c>
    </row>
    <row r="675">
      <c r="A675" s="3" t="n">
        <v>2819595</v>
      </c>
      <c r="B675" s="3" t="inlineStr">
        <is>
          <t>Professional Certificate Course In Data Science September 2025</t>
        </is>
      </c>
      <c r="C675" s="4" t="n">
        <v>46053</v>
      </c>
      <c r="D675" s="3" t="inlineStr"/>
      <c r="E675" s="3" t="inlineStr">
        <is>
          <t>Fresher</t>
        </is>
      </c>
    </row>
    <row r="676">
      <c r="A676" s="3" t="n">
        <v>2819806</v>
      </c>
      <c r="B676" s="3" t="inlineStr">
        <is>
          <t>Professional Certificate Course In Data Science September 2025</t>
        </is>
      </c>
      <c r="C676" s="4" t="n">
        <v>46127</v>
      </c>
      <c r="D676" s="3" t="inlineStr"/>
      <c r="E676" s="3" t="inlineStr">
        <is>
          <t>Irrelevant (Non Tech) (Grad&gt;2020)</t>
        </is>
      </c>
    </row>
    <row r="677">
      <c r="A677" s="3" t="n">
        <v>2820402</v>
      </c>
      <c r="B677" s="3" t="inlineStr">
        <is>
          <t>Professional Certificate Course In Data Science September 2025</t>
        </is>
      </c>
      <c r="C677" s="4" t="n">
        <v>46160</v>
      </c>
      <c r="D677" s="3" t="inlineStr"/>
      <c r="E677" s="3" t="inlineStr">
        <is>
          <t>Career Gap/ Non Working</t>
        </is>
      </c>
    </row>
    <row r="678">
      <c r="A678" s="3" t="n">
        <v>2820433</v>
      </c>
      <c r="B678" s="3" t="inlineStr">
        <is>
          <t>Professional Certificate Course In Data Science September 2025</t>
        </is>
      </c>
      <c r="C678" s="4" t="n">
        <v>46156</v>
      </c>
      <c r="D678" s="3" t="inlineStr"/>
      <c r="E678" s="3" t="inlineStr">
        <is>
          <t>Relevant</t>
        </is>
      </c>
    </row>
    <row r="679">
      <c r="A679" s="3" t="n">
        <v>2788485</v>
      </c>
      <c r="B679" s="3" t="inlineStr">
        <is>
          <t>Professional Certificate Course In Data Science August 2025</t>
        </is>
      </c>
      <c r="C679" s="4" t="n">
        <v>46103</v>
      </c>
      <c r="D679" s="3" t="inlineStr"/>
      <c r="E679" s="3" t="inlineStr">
        <is>
          <t>Fresher</t>
        </is>
      </c>
    </row>
    <row r="680">
      <c r="A680" s="3" t="n">
        <v>2789061</v>
      </c>
      <c r="B680" s="3" t="inlineStr">
        <is>
          <t>Professional Certificate Course In Data Science August 2025</t>
        </is>
      </c>
      <c r="C680" s="4" t="n">
        <v>46184</v>
      </c>
      <c r="D680" s="3" t="inlineStr"/>
      <c r="E680" s="3" t="inlineStr">
        <is>
          <t>Irrelevant (Non Tech) (Grad&gt;2020)</t>
        </is>
      </c>
    </row>
    <row r="681">
      <c r="A681" s="3" t="n">
        <v>2789397</v>
      </c>
      <c r="B681" s="3" t="inlineStr">
        <is>
          <t>Professional Certificate Course In Data Science August 2025</t>
        </is>
      </c>
      <c r="C681" s="4" t="n">
        <v>46283</v>
      </c>
      <c r="D681" s="3" t="inlineStr"/>
      <c r="E681" s="3" t="inlineStr">
        <is>
          <t>Career Gap/ Non Working</t>
        </is>
      </c>
    </row>
    <row r="682">
      <c r="A682" s="3" t="n">
        <v>2789436</v>
      </c>
      <c r="B682" s="3" t="inlineStr">
        <is>
          <t>Professional Certificate Course In Data Science August 2025</t>
        </is>
      </c>
      <c r="C682" s="4" t="n">
        <v>46077</v>
      </c>
      <c r="D682" s="3" t="inlineStr"/>
      <c r="E682" s="3" t="inlineStr">
        <is>
          <t>Irrelevant (Tech/IT)</t>
        </is>
      </c>
    </row>
    <row r="683">
      <c r="A683" s="3" t="n">
        <v>2789940</v>
      </c>
      <c r="B683" s="3" t="inlineStr">
        <is>
          <t>Professional Certificate Course In Data Science August 2025</t>
        </is>
      </c>
      <c r="C683" s="4" t="n">
        <v>46150</v>
      </c>
      <c r="D683" s="3" t="inlineStr"/>
      <c r="E683" s="3" t="inlineStr">
        <is>
          <t>Irrelevant (Non Tech) (Grad&gt;2020)</t>
        </is>
      </c>
    </row>
    <row r="684">
      <c r="A684" s="3" t="n">
        <v>9430</v>
      </c>
      <c r="B684" s="3" t="inlineStr">
        <is>
          <t>Professional Certificate Course In Data Science December 2025</t>
        </is>
      </c>
      <c r="C684" s="4" t="n">
        <v>46231</v>
      </c>
      <c r="D684" s="3" t="inlineStr"/>
      <c r="E684" s="3" t="inlineStr">
        <is>
          <t>Career Gap/ Non Working</t>
        </is>
      </c>
    </row>
    <row r="685">
      <c r="A685" s="3" t="n">
        <v>203033</v>
      </c>
      <c r="B685" s="3" t="inlineStr">
        <is>
          <t>Professional Certificate Course In Data Science December 2025</t>
        </is>
      </c>
      <c r="C685" s="4" t="n">
        <v>46220</v>
      </c>
      <c r="D685" s="3" t="inlineStr"/>
      <c r="E685" s="3" t="inlineStr">
        <is>
          <t>Career Gap/ Non Working</t>
        </is>
      </c>
    </row>
    <row r="686">
      <c r="A686" s="3" t="n">
        <v>420632</v>
      </c>
      <c r="B686" s="3" t="inlineStr">
        <is>
          <t>Professional Certificate Course In Data Science December 2025</t>
        </is>
      </c>
      <c r="C686" s="4" t="n">
        <v>46211</v>
      </c>
      <c r="D686" s="3" t="inlineStr"/>
      <c r="E686" s="3" t="inlineStr">
        <is>
          <t>Irrelevant (Grad&lt;2020)</t>
        </is>
      </c>
    </row>
    <row r="687">
      <c r="A687" s="3" t="n">
        <v>750822</v>
      </c>
      <c r="B687" s="3" t="inlineStr">
        <is>
          <t>Professional Certificate Course In Data Science December 2025</t>
        </is>
      </c>
      <c r="C687" s="4" t="n">
        <v>46157</v>
      </c>
      <c r="D687" s="3" t="inlineStr"/>
      <c r="E687" s="3" t="inlineStr">
        <is>
          <t>Relevant</t>
        </is>
      </c>
    </row>
    <row r="688">
      <c r="A688" s="3" t="n">
        <v>890249</v>
      </c>
      <c r="B688" s="3" t="inlineStr">
        <is>
          <t>Professional Certificate Course In Data Science November 2025</t>
        </is>
      </c>
      <c r="C688" s="4" t="n">
        <v>46184</v>
      </c>
      <c r="D688" s="3" t="inlineStr"/>
      <c r="E688" s="3" t="inlineStr">
        <is>
          <t>Fresher</t>
        </is>
      </c>
    </row>
    <row r="689">
      <c r="A689" s="3" t="n">
        <v>2011638</v>
      </c>
      <c r="B689" s="3" t="inlineStr">
        <is>
          <t>Professional Certificate Course In Data Science November 2025</t>
        </is>
      </c>
      <c r="C689" s="4" t="n">
        <v>46280</v>
      </c>
      <c r="D689" s="3" t="inlineStr"/>
      <c r="E689" s="3" t="inlineStr">
        <is>
          <t>Relevant</t>
        </is>
      </c>
    </row>
    <row r="690">
      <c r="A690" s="3" t="n">
        <v>2242025</v>
      </c>
      <c r="B690" s="3" t="inlineStr">
        <is>
          <t>Professional Certificate Course In Data Science December 2025</t>
        </is>
      </c>
      <c r="C690" s="4" t="n">
        <v>46149</v>
      </c>
      <c r="D690" s="3" t="inlineStr"/>
      <c r="E690" s="3" t="inlineStr">
        <is>
          <t>Relevant</t>
        </is>
      </c>
    </row>
    <row r="691">
      <c r="A691" s="3" t="n">
        <v>2571031</v>
      </c>
      <c r="B691" s="3" t="inlineStr">
        <is>
          <t>Professional Certificate Course In Data Science December 2025</t>
        </is>
      </c>
      <c r="C691" s="4" t="n">
        <v>46141</v>
      </c>
      <c r="D691" s="3" t="inlineStr"/>
      <c r="E691" s="3" t="inlineStr">
        <is>
          <t>Fresher</t>
        </is>
      </c>
    </row>
    <row r="692">
      <c r="A692" s="3" t="n">
        <v>2611636</v>
      </c>
      <c r="B692" s="3" t="inlineStr">
        <is>
          <t>Professional Certificate Course In Data Science December 2025</t>
        </is>
      </c>
      <c r="C692" s="4" t="n">
        <v>46149</v>
      </c>
      <c r="D692" s="3" t="inlineStr"/>
      <c r="E692" s="3" t="inlineStr">
        <is>
          <t>Irrelevant (Tech/IT)</t>
        </is>
      </c>
    </row>
    <row r="693">
      <c r="A693" s="3" t="n">
        <v>2770791</v>
      </c>
      <c r="B693" s="3" t="inlineStr">
        <is>
          <t>Professional Certificate Course In Data Science December 2025</t>
        </is>
      </c>
      <c r="C693" s="4" t="n">
        <v>46149</v>
      </c>
      <c r="D693" s="3" t="inlineStr"/>
      <c r="E693" s="3" t="inlineStr">
        <is>
          <t>Fresher</t>
        </is>
      </c>
    </row>
    <row r="694">
      <c r="A694" s="3" t="n">
        <v>2800548</v>
      </c>
      <c r="B694" s="3" t="inlineStr">
        <is>
          <t>Professional Certificate Course In Data Science December 2025</t>
        </is>
      </c>
      <c r="C694" s="4" t="n">
        <v>46172</v>
      </c>
      <c r="D694" s="3" t="inlineStr"/>
      <c r="E694" s="3" t="inlineStr">
        <is>
          <t>Career Gap/ Non Working</t>
        </is>
      </c>
    </row>
    <row r="695">
      <c r="A695" s="3" t="n">
        <v>2813647</v>
      </c>
      <c r="B695" s="3" t="inlineStr">
        <is>
          <t>Professional Certificate Course In Data Science November 2025</t>
        </is>
      </c>
      <c r="C695" s="4" t="n">
        <v>46252</v>
      </c>
      <c r="D695" s="3" t="inlineStr"/>
      <c r="E695" s="3" t="inlineStr">
        <is>
          <t>Fresher</t>
        </is>
      </c>
    </row>
    <row r="696">
      <c r="A696" s="3" t="n">
        <v>2819381</v>
      </c>
      <c r="B696" s="3" t="inlineStr">
        <is>
          <t>Professional Certificate Course In Data Science October 2025</t>
        </is>
      </c>
      <c r="C696" s="4" t="n">
        <v>46115</v>
      </c>
      <c r="D696" s="3" t="inlineStr"/>
      <c r="E696" s="3" t="inlineStr">
        <is>
          <t>Fresher</t>
        </is>
      </c>
    </row>
    <row r="697">
      <c r="A697" s="3" t="n">
        <v>2820933</v>
      </c>
      <c r="B697" s="3" t="inlineStr">
        <is>
          <t>Professional Certificate Course In Data Science November 2025</t>
        </is>
      </c>
      <c r="C697" s="4" t="n">
        <v>46104</v>
      </c>
      <c r="D697" s="3" t="inlineStr"/>
      <c r="E697" s="3" t="inlineStr">
        <is>
          <t>Fresher</t>
        </is>
      </c>
    </row>
    <row r="698">
      <c r="A698" s="3" t="n">
        <v>2825171</v>
      </c>
      <c r="B698" s="3" t="inlineStr">
        <is>
          <t>Professional Certificate Course In Data Science December 2025</t>
        </is>
      </c>
      <c r="C698" s="4" t="n">
        <v>46147</v>
      </c>
      <c r="D698" s="3" t="inlineStr"/>
      <c r="E698" s="3" t="inlineStr">
        <is>
          <t>Career Gap/ Non Working</t>
        </is>
      </c>
    </row>
    <row r="699">
      <c r="A699" s="3" t="n">
        <v>2826412</v>
      </c>
      <c r="B699" s="3" t="inlineStr">
        <is>
          <t>Professional Certificate Course In Data Science November 2025</t>
        </is>
      </c>
      <c r="C699" s="4" t="n">
        <v>46183</v>
      </c>
      <c r="D699" s="3" t="inlineStr"/>
      <c r="E699" s="3" t="inlineStr">
        <is>
          <t>Career Gap/ Non Working</t>
        </is>
      </c>
    </row>
    <row r="700">
      <c r="A700" s="3" t="n">
        <v>2837243</v>
      </c>
      <c r="B700" s="3" t="inlineStr">
        <is>
          <t>Professional Certificate Course In Data Science November 2025</t>
        </is>
      </c>
      <c r="C700" s="4" t="n">
        <v>46245</v>
      </c>
      <c r="D700" s="3" t="inlineStr"/>
      <c r="E700" s="3" t="inlineStr">
        <is>
          <t>Career Gap/ Non Working</t>
        </is>
      </c>
    </row>
    <row r="701">
      <c r="A701" s="3" t="n">
        <v>2871097</v>
      </c>
      <c r="B701" s="3" t="inlineStr">
        <is>
          <t>Professional Certificate Course In Data Science November 2025</t>
        </is>
      </c>
      <c r="C701" s="4" t="n">
        <v>46140</v>
      </c>
      <c r="D701" s="3" t="inlineStr"/>
      <c r="E701" s="3" t="inlineStr">
        <is>
          <t>Career Gap/ Non Working</t>
        </is>
      </c>
    </row>
    <row r="702">
      <c r="A702" s="3" t="n">
        <v>2873458</v>
      </c>
      <c r="B702" s="3" t="inlineStr">
        <is>
          <t>Professional Certificate Course In Data Science November 2025</t>
        </is>
      </c>
      <c r="C702" s="4" t="n">
        <v>46057</v>
      </c>
      <c r="D702" s="3" t="inlineStr"/>
      <c r="E702" s="3" t="inlineStr">
        <is>
          <t>Irrelevant (Non Tech) (Grad&gt;2020)</t>
        </is>
      </c>
    </row>
    <row r="703">
      <c r="A703" s="3" t="n">
        <v>2878798</v>
      </c>
      <c r="B703" s="3" t="inlineStr">
        <is>
          <t>Professional Certificate Course In Data Science November 2025</t>
        </is>
      </c>
      <c r="C703" s="4" t="n">
        <v>46112</v>
      </c>
      <c r="D703" s="3" t="inlineStr"/>
      <c r="E703" s="3" t="inlineStr">
        <is>
          <t>Irrelevant (Tech/IT)</t>
        </is>
      </c>
    </row>
    <row r="704">
      <c r="A704" s="3" t="n">
        <v>2880491</v>
      </c>
      <c r="B704" s="3" t="inlineStr">
        <is>
          <t>Professional Certificate Course In Data Science November 2025</t>
        </is>
      </c>
      <c r="C704" s="4" t="n">
        <v>46125</v>
      </c>
      <c r="D704" s="3" t="inlineStr"/>
      <c r="E704" s="3" t="inlineStr">
        <is>
          <t>Fresher</t>
        </is>
      </c>
    </row>
    <row r="705">
      <c r="A705" s="3" t="n">
        <v>2883548</v>
      </c>
      <c r="B705" s="3" t="inlineStr">
        <is>
          <t>Professional Certificate Course In Data Science November 2025</t>
        </is>
      </c>
      <c r="C705" s="4" t="n">
        <v>46190</v>
      </c>
      <c r="D705" s="3" t="inlineStr"/>
      <c r="E705" s="3" t="inlineStr">
        <is>
          <t>Career Gap/ Non Working</t>
        </is>
      </c>
    </row>
    <row r="706">
      <c r="A706" s="3" t="n">
        <v>2884209</v>
      </c>
      <c r="B706" s="3" t="inlineStr">
        <is>
          <t>Professional Certificate Course In Data Science December 2025</t>
        </is>
      </c>
      <c r="C706" s="4" t="n">
        <v>46143</v>
      </c>
      <c r="D706" s="3" t="inlineStr"/>
      <c r="E706" s="3" t="inlineStr">
        <is>
          <t>Career Gap/ Non Working</t>
        </is>
      </c>
    </row>
    <row r="707">
      <c r="A707" s="3" t="n">
        <v>2884735</v>
      </c>
      <c r="B707" s="3" t="inlineStr">
        <is>
          <t>Professional Certificate Course In Data Science November 2025</t>
        </is>
      </c>
      <c r="C707" s="4" t="n">
        <v>46149</v>
      </c>
      <c r="D707" s="3" t="inlineStr"/>
      <c r="E707" s="3" t="inlineStr">
        <is>
          <t>Fresher</t>
        </is>
      </c>
    </row>
    <row r="708">
      <c r="A708" s="3" t="n">
        <v>2891672</v>
      </c>
      <c r="B708" s="3" t="inlineStr">
        <is>
          <t>Professional Certificate Course In Data Science November 2025</t>
        </is>
      </c>
      <c r="C708" s="4" t="n">
        <v>46112</v>
      </c>
      <c r="D708" s="3" t="inlineStr"/>
      <c r="E708" s="3" t="inlineStr">
        <is>
          <t>Career Gap/ Non Working</t>
        </is>
      </c>
    </row>
    <row r="709">
      <c r="A709" s="3" t="n">
        <v>2900132</v>
      </c>
      <c r="B709" s="3" t="inlineStr">
        <is>
          <t>Professional Certificate Course In Data Science November 2025</t>
        </is>
      </c>
      <c r="C709" s="4" t="n">
        <v>46226</v>
      </c>
      <c r="D709" s="3" t="inlineStr"/>
      <c r="E709" s="3" t="inlineStr">
        <is>
          <t>Relevant</t>
        </is>
      </c>
    </row>
    <row r="710">
      <c r="A710" s="3" t="n">
        <v>2900777</v>
      </c>
      <c r="B710" s="3" t="inlineStr">
        <is>
          <t>Professional Certificate Course In Data Science November 2025</t>
        </is>
      </c>
      <c r="C710" s="4" t="n">
        <v>46129</v>
      </c>
      <c r="D710" s="3" t="inlineStr"/>
      <c r="E710" s="3" t="inlineStr">
        <is>
          <t>Fresher</t>
        </is>
      </c>
    </row>
    <row r="711">
      <c r="A711" s="3" t="n">
        <v>2901719</v>
      </c>
      <c r="B711" s="3" t="inlineStr">
        <is>
          <t>Professional Certificate Course In Data Science November 2025</t>
        </is>
      </c>
      <c r="C711" s="4" t="n">
        <v>46177</v>
      </c>
      <c r="D711" s="3" t="inlineStr"/>
      <c r="E711" s="3" t="inlineStr">
        <is>
          <t>Fresher</t>
        </is>
      </c>
    </row>
    <row r="712">
      <c r="A712" s="3" t="n">
        <v>2904270</v>
      </c>
      <c r="B712" s="3" t="inlineStr">
        <is>
          <t>Professional Certificate Course In Data Science November 2025</t>
        </is>
      </c>
      <c r="C712" s="4" t="n">
        <v>46227</v>
      </c>
      <c r="D712" s="3" t="inlineStr"/>
      <c r="E712" s="3" t="inlineStr">
        <is>
          <t>Fresher</t>
        </is>
      </c>
    </row>
    <row r="713">
      <c r="A713" s="3" t="n">
        <v>2908010</v>
      </c>
      <c r="B713" s="3" t="inlineStr">
        <is>
          <t>Professional Certificate Course In Data Science November 2025</t>
        </is>
      </c>
      <c r="C713" s="4" t="n">
        <v>46154</v>
      </c>
      <c r="D713" s="3" t="inlineStr"/>
      <c r="E713" s="3" t="inlineStr">
        <is>
          <t>Fresher</t>
        </is>
      </c>
    </row>
    <row r="714">
      <c r="A714" s="3" t="n">
        <v>2913320</v>
      </c>
      <c r="B714" s="3" t="inlineStr">
        <is>
          <t>Professional Certificate Course In Data Science November 2025</t>
        </is>
      </c>
      <c r="C714" s="4" t="n">
        <v>46184</v>
      </c>
      <c r="D714" s="3" t="inlineStr"/>
      <c r="E714" s="3" t="inlineStr">
        <is>
          <t>Irrelevant (Tech/IT)</t>
        </is>
      </c>
    </row>
    <row r="715">
      <c r="A715" s="3" t="n">
        <v>2923911</v>
      </c>
      <c r="B715" s="3" t="inlineStr">
        <is>
          <t>Professional Certificate Course In Data Science December 2025</t>
        </is>
      </c>
      <c r="C715" s="4" t="n">
        <v>46281</v>
      </c>
      <c r="D715" s="3" t="inlineStr"/>
      <c r="E715" s="3" t="inlineStr">
        <is>
          <t>Fresher</t>
        </is>
      </c>
    </row>
    <row r="716">
      <c r="A716" s="3" t="n">
        <v>2928913</v>
      </c>
      <c r="B716" s="3" t="inlineStr">
        <is>
          <t>Professional Certificate Course In Data Science November 2025</t>
        </is>
      </c>
      <c r="C716" s="4" t="n">
        <v>46116</v>
      </c>
      <c r="D716" s="3" t="inlineStr"/>
      <c r="E716" s="3" t="inlineStr">
        <is>
          <t>Career Gap/ Non Working</t>
        </is>
      </c>
    </row>
    <row r="717">
      <c r="A717" s="3" t="n">
        <v>2929742</v>
      </c>
      <c r="B717" s="3" t="inlineStr">
        <is>
          <t>Professional Certificate Course In Data Science November 2025</t>
        </is>
      </c>
      <c r="C717" s="4" t="n">
        <v>46252</v>
      </c>
      <c r="D717" s="3" t="inlineStr"/>
      <c r="E717" s="3" t="inlineStr">
        <is>
          <t>Irrelevant (Non Tech) (Grad&gt;2020)</t>
        </is>
      </c>
    </row>
    <row r="718">
      <c r="A718" s="3" t="n">
        <v>2932421</v>
      </c>
      <c r="B718" s="3" t="inlineStr">
        <is>
          <t>Professional Certificate Course In Data Science November 2025</t>
        </is>
      </c>
      <c r="C718" s="4" t="n">
        <v>46141</v>
      </c>
      <c r="D718" s="3" t="inlineStr"/>
      <c r="E718" s="3" t="inlineStr">
        <is>
          <t>Fresher</t>
        </is>
      </c>
    </row>
    <row r="719">
      <c r="A719" s="3" t="n">
        <v>2932729</v>
      </c>
      <c r="B719" s="3" t="inlineStr">
        <is>
          <t>Professional Certificate Course In Data Science December 2025</t>
        </is>
      </c>
      <c r="C719" s="4" t="n">
        <v>46141</v>
      </c>
      <c r="D719" s="3" t="inlineStr"/>
      <c r="E719" s="3" t="inlineStr">
        <is>
          <t>Career Gap/ Non Working</t>
        </is>
      </c>
    </row>
    <row r="720">
      <c r="A720" s="3" t="n">
        <v>2944049</v>
      </c>
      <c r="B720" s="3" t="inlineStr">
        <is>
          <t>Professional Certificate Course In Data Science November 2025</t>
        </is>
      </c>
      <c r="C720" s="4" t="n">
        <v>46183</v>
      </c>
      <c r="D720" s="3" t="inlineStr"/>
      <c r="E720" s="3" t="inlineStr">
        <is>
          <t>Fresher</t>
        </is>
      </c>
    </row>
    <row r="721">
      <c r="A721" s="3" t="n">
        <v>2944661</v>
      </c>
      <c r="B721" s="3" t="inlineStr">
        <is>
          <t>Professional Certificate Course In Data Science December 2025</t>
        </is>
      </c>
      <c r="C721" s="4" t="n">
        <v>46141</v>
      </c>
      <c r="D721" s="3" t="inlineStr"/>
      <c r="E721" s="3" t="inlineStr">
        <is>
          <t>Career Gap/ Non Working</t>
        </is>
      </c>
    </row>
    <row r="722">
      <c r="A722" s="3" t="n">
        <v>2946487</v>
      </c>
      <c r="B722" s="3" t="inlineStr">
        <is>
          <t>Professional Certificate Course In Data Science December 2025</t>
        </is>
      </c>
      <c r="C722" s="4" t="n">
        <v>46160</v>
      </c>
      <c r="D722" s="3" t="inlineStr"/>
      <c r="E722" s="3" t="inlineStr">
        <is>
          <t>Career Gap/ Non Working</t>
        </is>
      </c>
    </row>
    <row r="723">
      <c r="A723" s="3" t="n">
        <v>2950639</v>
      </c>
      <c r="B723" s="3" t="inlineStr">
        <is>
          <t>Professional Certificate Course In Data Science December 2025</t>
        </is>
      </c>
      <c r="C723" s="4" t="n">
        <v>46188</v>
      </c>
      <c r="D723" s="3" t="inlineStr"/>
      <c r="E723" s="3" t="inlineStr">
        <is>
          <t>Career Gap/ Non Working</t>
        </is>
      </c>
    </row>
    <row r="724">
      <c r="A724" s="3" t="n">
        <v>2955063</v>
      </c>
      <c r="B724" s="3" t="inlineStr">
        <is>
          <t>Professional Certificate Course In Data Science December 2025</t>
        </is>
      </c>
      <c r="C724" s="4" t="n">
        <v>46132</v>
      </c>
      <c r="D724" s="3" t="inlineStr"/>
      <c r="E724" s="3" t="inlineStr">
        <is>
          <t>Career Gap/ Non Working</t>
        </is>
      </c>
    </row>
    <row r="725">
      <c r="A725" s="3" t="n">
        <v>2956033</v>
      </c>
      <c r="B725" s="3" t="inlineStr">
        <is>
          <t>Professional Certificate Course In Data Science December 2025</t>
        </is>
      </c>
      <c r="C725" s="4" t="n">
        <v>46198</v>
      </c>
      <c r="D725" s="3" t="inlineStr"/>
      <c r="E725" s="3" t="inlineStr">
        <is>
          <t>Fresher</t>
        </is>
      </c>
    </row>
    <row r="726">
      <c r="A726" s="3" t="n">
        <v>2959200</v>
      </c>
      <c r="B726" s="3" t="inlineStr">
        <is>
          <t>Professional Certificate Course In Data Science December 2025</t>
        </is>
      </c>
      <c r="C726" s="4" t="n">
        <v>46195</v>
      </c>
      <c r="D726" s="3" t="inlineStr"/>
      <c r="E726" s="3" t="inlineStr">
        <is>
          <t>Relevant</t>
        </is>
      </c>
    </row>
    <row r="727">
      <c r="A727" s="3" t="n">
        <v>2972323</v>
      </c>
      <c r="B727" s="3" t="inlineStr">
        <is>
          <t>Professional Certificate Course In Data Science December 2025</t>
        </is>
      </c>
      <c r="C727" s="4" t="n">
        <v>46169</v>
      </c>
      <c r="D727" s="3" t="inlineStr"/>
      <c r="E727" s="3" t="inlineStr">
        <is>
          <t>Career Gap/ Non Working</t>
        </is>
      </c>
    </row>
    <row r="728">
      <c r="A728" s="3" t="n">
        <v>2979620</v>
      </c>
      <c r="B728" s="3" t="inlineStr">
        <is>
          <t>Professional Certificate Course In Data Science December 2025</t>
        </is>
      </c>
      <c r="C728" s="4" t="n">
        <v>46161</v>
      </c>
      <c r="D728" s="3" t="inlineStr"/>
      <c r="E728" s="3" t="inlineStr">
        <is>
          <t>Fresher</t>
        </is>
      </c>
    </row>
    <row r="729">
      <c r="A729" s="3" t="n">
        <v>2981328</v>
      </c>
      <c r="B729" s="3" t="inlineStr">
        <is>
          <t>Professional Certificate Course In Data Science December 2025</t>
        </is>
      </c>
      <c r="C729" s="4" t="n">
        <v>46135</v>
      </c>
      <c r="D729" s="3" t="inlineStr"/>
      <c r="E729" s="3" t="inlineStr">
        <is>
          <t>Irrelevant (Non Tech) (Grad&gt;2020)</t>
        </is>
      </c>
    </row>
    <row r="730">
      <c r="A730" s="3" t="n">
        <v>2987666</v>
      </c>
      <c r="B730" s="3" t="inlineStr">
        <is>
          <t>Professional Certificate Course In Data Science December 2025</t>
        </is>
      </c>
      <c r="C730" s="4" t="n">
        <v>46261</v>
      </c>
      <c r="D730" s="3" t="inlineStr"/>
      <c r="E730" s="3" t="inlineStr">
        <is>
          <t>Fresher</t>
        </is>
      </c>
    </row>
    <row r="731">
      <c r="A731" s="3" t="n">
        <v>2991747</v>
      </c>
      <c r="B731" s="3" t="inlineStr">
        <is>
          <t>Professional Certificate Course In Data Science December 2025</t>
        </is>
      </c>
      <c r="C731" s="4" t="n">
        <v>46164</v>
      </c>
      <c r="D731" s="3" t="inlineStr"/>
      <c r="E731" s="3" t="inlineStr">
        <is>
          <t>Career Gap/ Non Working</t>
        </is>
      </c>
    </row>
    <row r="732">
      <c r="A732" s="3" t="n">
        <v>85159</v>
      </c>
      <c r="B732" s="3" t="inlineStr">
        <is>
          <t>Professional Certificate Course In Data Science March 2026</t>
        </is>
      </c>
      <c r="C732" s="4" t="n">
        <v>46269</v>
      </c>
      <c r="D732" s="3" t="inlineStr"/>
      <c r="E732" s="3" t="inlineStr">
        <is>
          <t>Irrelevant (Tech/IT)</t>
        </is>
      </c>
    </row>
    <row r="733">
      <c r="A733" s="3" t="n">
        <v>413579</v>
      </c>
      <c r="B733" s="3" t="inlineStr">
        <is>
          <t>Professional Certificate Course In Data Science January 2026</t>
        </is>
      </c>
      <c r="C733" s="4" t="n">
        <v>46162</v>
      </c>
      <c r="D733" s="3" t="inlineStr"/>
      <c r="E733" s="3" t="inlineStr">
        <is>
          <t>Relevant</t>
        </is>
      </c>
    </row>
    <row r="734">
      <c r="A734" s="3" t="n">
        <v>605351</v>
      </c>
      <c r="B734" s="3" t="inlineStr">
        <is>
          <t>Professional Certificate Course In Data Science January 2026</t>
        </is>
      </c>
      <c r="C734" s="4" t="n">
        <v>46178</v>
      </c>
      <c r="D734" s="3" t="inlineStr"/>
      <c r="E734" s="3" t="inlineStr">
        <is>
          <t>Irrelevant (Tech/IT)</t>
        </is>
      </c>
    </row>
    <row r="735">
      <c r="A735" s="3" t="n">
        <v>613012</v>
      </c>
      <c r="B735" s="3" t="inlineStr">
        <is>
          <t>Professional Certificate Course In Data Science January 2026</t>
        </is>
      </c>
      <c r="C735" s="4" t="n">
        <v>46211</v>
      </c>
      <c r="D735" s="3" t="inlineStr"/>
      <c r="E735" s="3" t="inlineStr">
        <is>
          <t>Relevant</t>
        </is>
      </c>
    </row>
    <row r="736">
      <c r="A736" s="3" t="n">
        <v>678577</v>
      </c>
      <c r="B736" s="3" t="inlineStr">
        <is>
          <t>Professional Certificate Course In Data Science February 2026</t>
        </is>
      </c>
      <c r="C736" s="4" t="n">
        <v>46199</v>
      </c>
      <c r="D736" s="3" t="inlineStr"/>
      <c r="E736" s="3" t="inlineStr">
        <is>
          <t>Career Gap/ Non Working</t>
        </is>
      </c>
    </row>
    <row r="737">
      <c r="A737" s="3" t="n">
        <v>764391</v>
      </c>
      <c r="B737" s="3" t="inlineStr">
        <is>
          <t>Professional Certificate Course In Data Science January 2026</t>
        </is>
      </c>
      <c r="C737" s="4" t="n">
        <v>46276</v>
      </c>
      <c r="D737" s="3" t="inlineStr"/>
      <c r="E737" s="3" t="inlineStr">
        <is>
          <t>Career Gap/ Non Working</t>
        </is>
      </c>
    </row>
    <row r="738">
      <c r="A738" s="3" t="n">
        <v>938032</v>
      </c>
      <c r="B738" s="3" t="inlineStr">
        <is>
          <t>Professional Certificate Course In Data Science January 2026</t>
        </is>
      </c>
      <c r="C738" s="4" t="n">
        <v>46240</v>
      </c>
      <c r="D738" s="3" t="inlineStr"/>
      <c r="E738" s="3" t="inlineStr">
        <is>
          <t>Relevant</t>
        </is>
      </c>
    </row>
    <row r="739">
      <c r="A739" s="3" t="n">
        <v>968266</v>
      </c>
      <c r="B739" s="3" t="inlineStr">
        <is>
          <t>Professional Certificate Course In Data Science March 2026</t>
        </is>
      </c>
      <c r="C739" s="4" t="n">
        <v>46289</v>
      </c>
      <c r="D739" s="3" t="inlineStr"/>
      <c r="E739" s="3" t="inlineStr">
        <is>
          <t>Relevant</t>
        </is>
      </c>
    </row>
    <row r="740">
      <c r="A740" s="3" t="n">
        <v>1029767</v>
      </c>
      <c r="B740" s="3" t="inlineStr">
        <is>
          <t>Professional Certificate Course In Data Science March 2026</t>
        </is>
      </c>
      <c r="C740" s="4" t="n">
        <v>46276</v>
      </c>
      <c r="D740" s="3" t="inlineStr"/>
      <c r="E740" s="3" t="inlineStr">
        <is>
          <t>Fresher</t>
        </is>
      </c>
    </row>
    <row r="741">
      <c r="A741" s="3" t="n">
        <v>1278026</v>
      </c>
      <c r="B741" s="3" t="inlineStr">
        <is>
          <t>Professional Certificate Course In Data Science April 2026</t>
        </is>
      </c>
      <c r="C741" s="4" t="n">
        <v>46253</v>
      </c>
      <c r="D741" s="3" t="inlineStr"/>
      <c r="E741" s="3" t="inlineStr">
        <is>
          <t>Irrelevant (Tech/IT)</t>
        </is>
      </c>
    </row>
    <row r="742">
      <c r="A742" s="3" t="n">
        <v>1360840</v>
      </c>
      <c r="B742" s="3" t="inlineStr">
        <is>
          <t>Professional Certificate Course In Data Science March 2026</t>
        </is>
      </c>
      <c r="C742" s="4" t="n">
        <v>46273</v>
      </c>
      <c r="D742" s="3" t="inlineStr"/>
      <c r="E742" s="3" t="inlineStr">
        <is>
          <t>Career Gap/ Non Working</t>
        </is>
      </c>
    </row>
    <row r="743">
      <c r="A743" s="3" t="n">
        <v>1432173</v>
      </c>
      <c r="B743" s="3" t="inlineStr">
        <is>
          <t>Professional Certificate Course In Data Science March 2026</t>
        </is>
      </c>
      <c r="C743" s="4" t="n">
        <v>46241</v>
      </c>
      <c r="D743" s="3" t="inlineStr"/>
      <c r="E743" s="3" t="inlineStr">
        <is>
          <t>Fresher</t>
        </is>
      </c>
    </row>
    <row r="744">
      <c r="A744" s="3" t="n">
        <v>1496654</v>
      </c>
      <c r="B744" s="3" t="inlineStr">
        <is>
          <t>Professional Certificate Course In Data Science January 2026</t>
        </is>
      </c>
      <c r="C744" s="4" t="n">
        <v>46175</v>
      </c>
      <c r="D744" s="3" t="inlineStr"/>
      <c r="E744" s="3" t="inlineStr">
        <is>
          <t>Career Gap/ Non Working</t>
        </is>
      </c>
    </row>
    <row r="745">
      <c r="A745" s="3" t="n">
        <v>1503595</v>
      </c>
      <c r="B745" s="3" t="inlineStr">
        <is>
          <t>Professional Certificate Course In Data Science January 2026</t>
        </is>
      </c>
      <c r="C745" s="4" t="n">
        <v>46227</v>
      </c>
      <c r="D745" s="3" t="inlineStr"/>
      <c r="E745" s="3" t="inlineStr">
        <is>
          <t>Career Gap/ Non Working</t>
        </is>
      </c>
    </row>
    <row r="746">
      <c r="A746" s="3" t="n">
        <v>1662809</v>
      </c>
      <c r="B746" s="3" t="inlineStr">
        <is>
          <t>Professional Certificate Course In Data Science February 2026</t>
        </is>
      </c>
      <c r="C746" s="4" t="n">
        <v>46213</v>
      </c>
      <c r="D746" s="3" t="inlineStr"/>
      <c r="E746" s="3" t="inlineStr">
        <is>
          <t>Irrelevant (Tech/IT)</t>
        </is>
      </c>
    </row>
    <row r="747">
      <c r="A747" s="3" t="n">
        <v>1842753</v>
      </c>
      <c r="B747" s="3" t="inlineStr">
        <is>
          <t>Professional Certificate Course In Data Science February 2026</t>
        </is>
      </c>
      <c r="C747" s="4" t="n">
        <v>46254</v>
      </c>
      <c r="D747" s="3" t="inlineStr"/>
      <c r="E747" s="3" t="inlineStr">
        <is>
          <t>Irrelevant (Non Tech) (Grad&gt;2020)</t>
        </is>
      </c>
    </row>
    <row r="748">
      <c r="A748" s="3" t="n">
        <v>2000633</v>
      </c>
      <c r="B748" s="3" t="inlineStr">
        <is>
          <t>Professional Certificate Course In Data Science January 2026</t>
        </is>
      </c>
      <c r="C748" s="4" t="n">
        <v>46161</v>
      </c>
      <c r="D748" s="3" t="inlineStr"/>
      <c r="E748" s="3" t="inlineStr">
        <is>
          <t>Irrelevant (Non Tech) (Grad&gt;2020)</t>
        </is>
      </c>
    </row>
    <row r="749">
      <c r="A749" s="3" t="n">
        <v>2178322</v>
      </c>
      <c r="B749" s="3" t="inlineStr">
        <is>
          <t>Professional Certificate Course In Data Science January 2026</t>
        </is>
      </c>
      <c r="C749" s="4" t="n">
        <v>46225</v>
      </c>
      <c r="D749" s="3" t="inlineStr"/>
      <c r="E749" s="3" t="inlineStr">
        <is>
          <t>Career Gap/ Non Working</t>
        </is>
      </c>
    </row>
    <row r="750">
      <c r="A750" s="3" t="n">
        <v>2235102</v>
      </c>
      <c r="B750" s="3" t="inlineStr">
        <is>
          <t>Professional Certificate Course In Data Science January 2026</t>
        </is>
      </c>
      <c r="C750" s="4" t="n">
        <v>46289</v>
      </c>
      <c r="D750" s="3" t="inlineStr"/>
      <c r="E750" s="3" t="inlineStr">
        <is>
          <t>Relevant</t>
        </is>
      </c>
    </row>
    <row r="751">
      <c r="A751" s="3" t="n">
        <v>2271202</v>
      </c>
      <c r="B751" s="3" t="inlineStr">
        <is>
          <t>Professional Certificate Course In Data Science March 2026</t>
        </is>
      </c>
      <c r="C751" s="4" t="n">
        <v>46272</v>
      </c>
      <c r="D751" s="3" t="inlineStr"/>
      <c r="E751" s="3" t="inlineStr">
        <is>
          <t>Irrelevant (Tech/IT)</t>
        </is>
      </c>
    </row>
    <row r="752">
      <c r="A752" s="3" t="n">
        <v>2273027</v>
      </c>
      <c r="B752" s="3" t="inlineStr">
        <is>
          <t>Professional Certificate Course In Data Science January 2026</t>
        </is>
      </c>
      <c r="C752" s="4" t="n">
        <v>46220</v>
      </c>
      <c r="D752" s="3" t="inlineStr"/>
      <c r="E752" s="3" t="inlineStr">
        <is>
          <t>Fresher</t>
        </is>
      </c>
    </row>
    <row r="753">
      <c r="A753" s="3" t="n">
        <v>2283926</v>
      </c>
      <c r="B753" s="3" t="inlineStr">
        <is>
          <t>Professional Certificate Course In Data Science March 2026</t>
        </is>
      </c>
      <c r="C753" s="4" t="n">
        <v>46234</v>
      </c>
      <c r="D753" s="3" t="inlineStr"/>
      <c r="E753" s="3" t="inlineStr">
        <is>
          <t>Irrelevant (Non Tech) (Grad&gt;2020)</t>
        </is>
      </c>
    </row>
    <row r="754">
      <c r="A754" s="3" t="n">
        <v>2529842</v>
      </c>
      <c r="B754" s="3" t="inlineStr">
        <is>
          <t>Professional Certificate Course In Data Science March 2026</t>
        </is>
      </c>
      <c r="C754" s="4" t="n">
        <v>46286</v>
      </c>
      <c r="D754" s="3" t="inlineStr"/>
      <c r="E754" s="3" t="inlineStr">
        <is>
          <t>Fresher</t>
        </is>
      </c>
    </row>
    <row r="755">
      <c r="A755" s="3" t="n">
        <v>2702404</v>
      </c>
      <c r="B755" s="3" t="inlineStr">
        <is>
          <t>Professional Certificate Course In Data Science January 2026</t>
        </is>
      </c>
      <c r="C755" s="4" t="n">
        <v>46265</v>
      </c>
      <c r="D755" s="3" t="inlineStr"/>
      <c r="E755" s="3" t="inlineStr">
        <is>
          <t>Career Gap/ Non Working</t>
        </is>
      </c>
    </row>
    <row r="756">
      <c r="A756" s="3" t="n">
        <v>2788172</v>
      </c>
      <c r="B756" s="3" t="inlineStr">
        <is>
          <t>Professional Certificate Course In Data Science January 2026</t>
        </is>
      </c>
      <c r="C756" s="4" t="n">
        <v>46212</v>
      </c>
      <c r="D756" s="3" t="inlineStr"/>
      <c r="E756" s="3" t="inlineStr">
        <is>
          <t>Career Gap/ Non Working</t>
        </is>
      </c>
    </row>
    <row r="757">
      <c r="A757" s="3" t="n">
        <v>2825370</v>
      </c>
      <c r="B757" s="3" t="inlineStr">
        <is>
          <t>Professional Certificate Course In Data Science February 2026</t>
        </is>
      </c>
      <c r="C757" s="4" t="n">
        <v>46205</v>
      </c>
      <c r="D757" s="3" t="inlineStr"/>
      <c r="E757" s="3" t="inlineStr">
        <is>
          <t>Irrelevant (Tech/IT)</t>
        </is>
      </c>
    </row>
    <row r="758">
      <c r="A758" s="3" t="n">
        <v>2894974</v>
      </c>
      <c r="B758" s="3" t="inlineStr">
        <is>
          <t>Professional Certificate Course In Data Science January 2026</t>
        </is>
      </c>
      <c r="C758" s="4" t="n">
        <v>46276</v>
      </c>
      <c r="D758" s="3" t="inlineStr"/>
      <c r="E758" s="3" t="inlineStr">
        <is>
          <t>Fresher</t>
        </is>
      </c>
    </row>
    <row r="759">
      <c r="A759" s="3" t="n">
        <v>2904872</v>
      </c>
      <c r="B759" s="3" t="inlineStr">
        <is>
          <t>Professional Certificate Course In Data Science February 2026</t>
        </is>
      </c>
      <c r="C759" s="4" t="n">
        <v>46226</v>
      </c>
      <c r="D759" s="3" t="inlineStr"/>
      <c r="E759" s="3" t="inlineStr">
        <is>
          <t>Irrelevant (Tech/IT)</t>
        </is>
      </c>
    </row>
    <row r="760">
      <c r="A760" s="3" t="n">
        <v>2914758</v>
      </c>
      <c r="B760" s="3" t="inlineStr">
        <is>
          <t>Professional Certificate Course In Data Science January 2026</t>
        </is>
      </c>
      <c r="C760" s="4" t="n">
        <v>46170</v>
      </c>
      <c r="D760" s="3" t="inlineStr"/>
      <c r="E760" s="3" t="inlineStr">
        <is>
          <t>Fresher</t>
        </is>
      </c>
    </row>
    <row r="761">
      <c r="A761" s="3" t="n">
        <v>2928661</v>
      </c>
      <c r="B761" s="3" t="inlineStr">
        <is>
          <t>Professional Certificate Course In Data Science January 2026</t>
        </is>
      </c>
      <c r="C761" s="4" t="n">
        <v>46171</v>
      </c>
      <c r="D761" s="3" t="inlineStr"/>
      <c r="E761" s="3" t="inlineStr">
        <is>
          <t>Career Gap/ Non Working</t>
        </is>
      </c>
    </row>
    <row r="762">
      <c r="A762" s="3" t="n">
        <v>2953729</v>
      </c>
      <c r="B762" s="3" t="inlineStr">
        <is>
          <t>Professional Certificate Course In Data Science January 2026</t>
        </is>
      </c>
      <c r="C762" s="4" t="n">
        <v>46200</v>
      </c>
      <c r="D762" s="3" t="inlineStr"/>
      <c r="E762" s="3" t="inlineStr">
        <is>
          <t>Irrelevant (Non Tech) (Grad&gt;2020)</t>
        </is>
      </c>
    </row>
    <row r="763">
      <c r="A763" s="3" t="n">
        <v>2965026</v>
      </c>
      <c r="B763" s="3" t="inlineStr">
        <is>
          <t>Professional Certificate Course In Data Science January 2026</t>
        </is>
      </c>
      <c r="C763" s="4" t="n">
        <v>46181</v>
      </c>
      <c r="D763" s="3" t="inlineStr"/>
      <c r="E763" s="3" t="inlineStr">
        <is>
          <t>Career Gap/ Non Working</t>
        </is>
      </c>
    </row>
    <row r="764">
      <c r="A764" s="3" t="n">
        <v>2979217</v>
      </c>
      <c r="B764" s="3" t="inlineStr">
        <is>
          <t>Professional Certificate Course In Data Science January 2026</t>
        </is>
      </c>
      <c r="C764" s="4" t="n">
        <v>46163</v>
      </c>
      <c r="D764" s="3" t="inlineStr"/>
      <c r="E764" s="3" t="inlineStr">
        <is>
          <t>Career Gap/ Non Working</t>
        </is>
      </c>
    </row>
    <row r="765">
      <c r="A765" s="3" t="n">
        <v>2980468</v>
      </c>
      <c r="B765" s="3" t="inlineStr">
        <is>
          <t>Professional Certificate Course In Data Science February 2026</t>
        </is>
      </c>
      <c r="C765" s="4" t="n">
        <v>46197</v>
      </c>
      <c r="D765" s="3" t="inlineStr"/>
      <c r="E765" s="3" t="inlineStr">
        <is>
          <t>Relevant</t>
        </is>
      </c>
    </row>
    <row r="766">
      <c r="A766" s="3" t="n">
        <v>2993645</v>
      </c>
      <c r="B766" s="3" t="inlineStr">
        <is>
          <t>Professional Certificate Course In Data Science January 2026</t>
        </is>
      </c>
      <c r="C766" s="4" t="n">
        <v>46175</v>
      </c>
      <c r="D766" s="3" t="inlineStr"/>
      <c r="E766" s="3" t="inlineStr">
        <is>
          <t>Career Gap/ Non Working</t>
        </is>
      </c>
    </row>
    <row r="767">
      <c r="A767" s="3" t="n">
        <v>2994864</v>
      </c>
      <c r="B767" s="3" t="inlineStr">
        <is>
          <t>Professional Certificate Course In Data Science February 2026</t>
        </is>
      </c>
      <c r="C767" s="4" t="n">
        <v>46230</v>
      </c>
      <c r="D767" s="3" t="inlineStr"/>
      <c r="E767" s="3" t="inlineStr">
        <is>
          <t>Career Gap/ Non Working</t>
        </is>
      </c>
    </row>
    <row r="768">
      <c r="A768" s="3" t="n">
        <v>2997048</v>
      </c>
      <c r="B768" s="3" t="inlineStr">
        <is>
          <t>Professional Certificate Course In Data Science January 2026</t>
        </is>
      </c>
      <c r="C768" s="4" t="n">
        <v>46234</v>
      </c>
      <c r="D768" s="3" t="inlineStr"/>
      <c r="E768" s="3" t="inlineStr">
        <is>
          <t>Career Gap/ Non Working</t>
        </is>
      </c>
    </row>
    <row r="769">
      <c r="A769" s="3" t="n">
        <v>3005227</v>
      </c>
      <c r="B769" s="3" t="inlineStr">
        <is>
          <t>Professional Certificate Course In Data Science January 2026</t>
        </is>
      </c>
      <c r="C769" s="4" t="n">
        <v>46162</v>
      </c>
      <c r="D769" s="3" t="inlineStr"/>
      <c r="E769" s="3" t="inlineStr">
        <is>
          <t>Career Gap/ Non Working</t>
        </is>
      </c>
    </row>
    <row r="770">
      <c r="A770" s="3" t="n">
        <v>3006359</v>
      </c>
      <c r="B770" s="3" t="inlineStr">
        <is>
          <t>Professional Certificate Course In Data Science February 2026</t>
        </is>
      </c>
      <c r="C770" s="4" t="n">
        <v>46248</v>
      </c>
      <c r="D770" s="3" t="inlineStr"/>
      <c r="E770" s="3" t="inlineStr">
        <is>
          <t>Fresher</t>
        </is>
      </c>
    </row>
    <row r="771">
      <c r="A771" s="3" t="n">
        <v>3010073</v>
      </c>
      <c r="B771" s="3" t="inlineStr">
        <is>
          <t>Professional Certificate Course In Data Science January 2026</t>
        </is>
      </c>
      <c r="C771" s="4" t="n">
        <v>46225</v>
      </c>
      <c r="D771" s="3" t="inlineStr"/>
      <c r="E771" s="3" t="inlineStr">
        <is>
          <t>Irrelevant (Non Tech) (Grad&gt;2020)</t>
        </is>
      </c>
    </row>
    <row r="772">
      <c r="A772" s="3" t="n">
        <v>3012008</v>
      </c>
      <c r="B772" s="3" t="inlineStr">
        <is>
          <t>Professional Certificate Course In Data Science January 2026</t>
        </is>
      </c>
      <c r="C772" s="4" t="n">
        <v>46254</v>
      </c>
      <c r="D772" s="3" t="inlineStr"/>
      <c r="E772" s="3" t="inlineStr">
        <is>
          <t>Irrelevant (Non Tech) (Grad&gt;2020)</t>
        </is>
      </c>
    </row>
    <row r="773">
      <c r="A773" s="3" t="n">
        <v>3012150</v>
      </c>
      <c r="B773" s="3" t="inlineStr">
        <is>
          <t>Professional Certificate Course In Data Science January 2026</t>
        </is>
      </c>
      <c r="C773" s="4" t="n">
        <v>46183</v>
      </c>
      <c r="D773" s="3" t="inlineStr"/>
      <c r="E773" s="3" t="inlineStr">
        <is>
          <t>Career Gap/ Non Working</t>
        </is>
      </c>
    </row>
    <row r="774">
      <c r="A774" s="3" t="n">
        <v>3013303</v>
      </c>
      <c r="B774" s="3" t="inlineStr">
        <is>
          <t>Professional Certificate Course In Data Science January 2026</t>
        </is>
      </c>
      <c r="C774" s="4" t="n">
        <v>46184</v>
      </c>
      <c r="D774" s="3" t="inlineStr"/>
      <c r="E774" s="3" t="inlineStr">
        <is>
          <t>Irrelevant (Tech/IT)</t>
        </is>
      </c>
    </row>
    <row r="775">
      <c r="A775" s="3" t="n">
        <v>3024784</v>
      </c>
      <c r="B775" s="3" t="inlineStr">
        <is>
          <t>Professional Certificate Course In Data Science January 2026</t>
        </is>
      </c>
      <c r="C775" s="4" t="n">
        <v>46190</v>
      </c>
      <c r="D775" s="3" t="inlineStr"/>
      <c r="E775" s="3" t="inlineStr">
        <is>
          <t>Relevant</t>
        </is>
      </c>
    </row>
    <row r="776">
      <c r="A776" s="3" t="n">
        <v>3036237</v>
      </c>
      <c r="B776" s="3" t="inlineStr">
        <is>
          <t>Professional Certificate Course In Data Science January 2026</t>
        </is>
      </c>
      <c r="C776" s="4" t="n">
        <v>46233</v>
      </c>
      <c r="D776" s="3" t="inlineStr"/>
      <c r="E776" s="3" t="inlineStr">
        <is>
          <t>Career Gap/ Non Working</t>
        </is>
      </c>
    </row>
    <row r="777">
      <c r="A777" s="3" t="n">
        <v>3039875</v>
      </c>
      <c r="B777" s="3" t="inlineStr">
        <is>
          <t>Professional Certificate Course In Data Science February 2026</t>
        </is>
      </c>
      <c r="C777" s="4" t="n">
        <v>46209</v>
      </c>
      <c r="D777" s="3" t="inlineStr"/>
      <c r="E777" s="3" t="inlineStr">
        <is>
          <t>Irrelevant (Non Tech) (Grad&gt;2020)</t>
        </is>
      </c>
    </row>
    <row r="778">
      <c r="A778" s="3" t="n">
        <v>3043575</v>
      </c>
      <c r="B778" s="3" t="inlineStr">
        <is>
          <t>Professional Certificate Course In Data Science January 2026</t>
        </is>
      </c>
      <c r="C778" s="4" t="n">
        <v>46176</v>
      </c>
      <c r="D778" s="3" t="inlineStr"/>
      <c r="E778" s="3" t="inlineStr">
        <is>
          <t>Irrelevant (Grad&lt;2020)</t>
        </is>
      </c>
    </row>
    <row r="779">
      <c r="A779" s="3" t="n">
        <v>3045414</v>
      </c>
      <c r="B779" s="3" t="inlineStr">
        <is>
          <t>Professional Certificate Course In Data Science February 2026</t>
        </is>
      </c>
      <c r="C779" s="4" t="n">
        <v>46230</v>
      </c>
      <c r="D779" s="3" t="inlineStr"/>
      <c r="E779" s="3" t="inlineStr">
        <is>
          <t>Irrelevant (Non Tech) (Grad&gt;2020)</t>
        </is>
      </c>
    </row>
    <row r="780">
      <c r="A780" s="3" t="n">
        <v>3046493</v>
      </c>
      <c r="B780" s="3" t="inlineStr">
        <is>
          <t>Professional Certificate Course In Data Science January 2026</t>
        </is>
      </c>
      <c r="C780" s="4" t="n">
        <v>46217</v>
      </c>
      <c r="D780" s="3" t="inlineStr"/>
      <c r="E780" s="3" t="inlineStr">
        <is>
          <t>Irrelevant (Non Tech) (Grad&gt;2020)</t>
        </is>
      </c>
    </row>
    <row r="781">
      <c r="A781" s="3" t="n">
        <v>3046794</v>
      </c>
      <c r="B781" s="3" t="inlineStr">
        <is>
          <t>Professional Certificate Course In Data Science January 2026</t>
        </is>
      </c>
      <c r="C781" s="4" t="n">
        <v>46190</v>
      </c>
      <c r="D781" s="3" t="inlineStr"/>
      <c r="E781" s="3" t="inlineStr">
        <is>
          <t>Fresher</t>
        </is>
      </c>
    </row>
    <row r="782">
      <c r="A782" s="3" t="n">
        <v>3052427</v>
      </c>
      <c r="B782" s="3" t="inlineStr">
        <is>
          <t>Professional Certificate Course In Data Science February 2026</t>
        </is>
      </c>
      <c r="C782" s="4" t="n">
        <v>46227</v>
      </c>
      <c r="D782" s="3" t="inlineStr"/>
      <c r="E782" s="3" t="inlineStr">
        <is>
          <t>Irrelevant (Non Tech) (Grad&gt;2020)</t>
        </is>
      </c>
    </row>
    <row r="783">
      <c r="A783" s="3" t="n">
        <v>3054946</v>
      </c>
      <c r="B783" s="3" t="inlineStr">
        <is>
          <t>Professional Certificate Course In Data Science February 2026</t>
        </is>
      </c>
      <c r="C783" s="4" t="n">
        <v>46198</v>
      </c>
      <c r="D783" s="3" t="inlineStr"/>
      <c r="E783" s="3" t="inlineStr">
        <is>
          <t>Irrelevant (Tech/IT)</t>
        </is>
      </c>
    </row>
    <row r="784">
      <c r="A784" s="3" t="n">
        <v>3059755</v>
      </c>
      <c r="B784" s="3" t="inlineStr">
        <is>
          <t>Professional Certificate Course In Data Science February 2026</t>
        </is>
      </c>
      <c r="C784" s="4" t="n">
        <v>46197</v>
      </c>
      <c r="D784" s="3" t="inlineStr"/>
      <c r="E784" s="3" t="inlineStr">
        <is>
          <t>Fresher</t>
        </is>
      </c>
    </row>
    <row r="785">
      <c r="A785" s="3" t="n">
        <v>3063390</v>
      </c>
      <c r="B785" s="3" t="inlineStr">
        <is>
          <t>Professional Certificate Course In Data Science February 2026</t>
        </is>
      </c>
      <c r="C785" s="4" t="n">
        <v>46198</v>
      </c>
      <c r="D785" s="3" t="inlineStr"/>
      <c r="E785" s="3" t="inlineStr">
        <is>
          <t>Fresher</t>
        </is>
      </c>
    </row>
    <row r="786">
      <c r="A786" s="3" t="n">
        <v>3063529</v>
      </c>
      <c r="B786" s="3" t="inlineStr">
        <is>
          <t>Professional Certificate Course In Data Science March 2026</t>
        </is>
      </c>
      <c r="C786" s="4" t="n">
        <v>46237</v>
      </c>
      <c r="D786" s="3" t="inlineStr"/>
      <c r="E786" s="3" t="inlineStr">
        <is>
          <t>Irrelevant (Non Tech) (Grad&gt;2020)</t>
        </is>
      </c>
    </row>
    <row r="787">
      <c r="A787" s="3" t="n">
        <v>3065891</v>
      </c>
      <c r="B787" s="3" t="inlineStr">
        <is>
          <t>Professional Certificate Course In Data Science February 2026</t>
        </is>
      </c>
      <c r="C787" s="4" t="n">
        <v>46228</v>
      </c>
      <c r="D787" s="3" t="inlineStr"/>
      <c r="E787" s="3" t="inlineStr">
        <is>
          <t>Fresher</t>
        </is>
      </c>
    </row>
    <row r="788">
      <c r="A788" s="3" t="n">
        <v>3065903</v>
      </c>
      <c r="B788" s="3" t="inlineStr">
        <is>
          <t>Professional Certificate Course In Data Science February 2026</t>
        </is>
      </c>
      <c r="C788" s="4" t="n">
        <v>46202</v>
      </c>
      <c r="D788" s="3" t="inlineStr"/>
      <c r="E788" s="3" t="inlineStr">
        <is>
          <t>Irrelevant (Grad&lt;2020)</t>
        </is>
      </c>
    </row>
    <row r="789">
      <c r="A789" s="3" t="n">
        <v>3070585</v>
      </c>
      <c r="B789" s="3" t="inlineStr">
        <is>
          <t>Professional Certificate Course In Data Science February 2026</t>
        </is>
      </c>
      <c r="C789" s="4" t="n">
        <v>46260</v>
      </c>
      <c r="D789" s="3" t="inlineStr"/>
      <c r="E789" s="3" t="inlineStr">
        <is>
          <t>Career Gap/ Non Working</t>
        </is>
      </c>
    </row>
    <row r="790">
      <c r="A790" s="3" t="n">
        <v>3074443</v>
      </c>
      <c r="B790" s="3" t="inlineStr">
        <is>
          <t>Professional Certificate Course In Data Science February 2026</t>
        </is>
      </c>
      <c r="C790" s="4" t="n">
        <v>46231</v>
      </c>
      <c r="D790" s="3" t="inlineStr"/>
      <c r="E790" s="3" t="inlineStr">
        <is>
          <t>Fresher</t>
        </is>
      </c>
    </row>
    <row r="791">
      <c r="A791" s="3" t="n">
        <v>3074763</v>
      </c>
      <c r="B791" s="3" t="inlineStr">
        <is>
          <t>Professional Certificate Course In Data Science February 2026</t>
        </is>
      </c>
      <c r="C791" s="4" t="n">
        <v>46248</v>
      </c>
      <c r="D791" s="3" t="inlineStr"/>
      <c r="E791" s="3" t="inlineStr">
        <is>
          <t>Fresher</t>
        </is>
      </c>
    </row>
    <row r="792">
      <c r="A792" s="3" t="n">
        <v>3078942</v>
      </c>
      <c r="B792" s="3" t="inlineStr">
        <is>
          <t>Professional Certificate Course In Data Science February 2026</t>
        </is>
      </c>
      <c r="C792" s="4" t="n">
        <v>46241</v>
      </c>
      <c r="D792" s="3" t="inlineStr"/>
      <c r="E792" s="3" t="inlineStr">
        <is>
          <t>Fresher</t>
        </is>
      </c>
    </row>
    <row r="793">
      <c r="A793" s="3" t="n">
        <v>3080128</v>
      </c>
      <c r="B793" s="3" t="inlineStr">
        <is>
          <t>Professional Certificate Course In Data Science February 2026</t>
        </is>
      </c>
      <c r="C793" s="4" t="n">
        <v>46265</v>
      </c>
      <c r="D793" s="3" t="inlineStr"/>
      <c r="E793" s="3" t="inlineStr">
        <is>
          <t>Irrelevant (Tech/IT)</t>
        </is>
      </c>
    </row>
    <row r="794">
      <c r="A794" s="3" t="n">
        <v>3082406</v>
      </c>
      <c r="B794" s="3" t="inlineStr">
        <is>
          <t>Professional Certificate Course In Data Science February 2026</t>
        </is>
      </c>
      <c r="C794" s="4" t="n">
        <v>46241</v>
      </c>
      <c r="D794" s="3" t="inlineStr"/>
      <c r="E794" s="3" t="inlineStr">
        <is>
          <t>Irrelevant (Tech/IT)</t>
        </is>
      </c>
    </row>
    <row r="795">
      <c r="A795" s="3" t="n">
        <v>3084952</v>
      </c>
      <c r="B795" s="3" t="inlineStr">
        <is>
          <t>Professional Certificate Course In Data Science February 2026</t>
        </is>
      </c>
      <c r="C795" s="4" t="n">
        <v>46213</v>
      </c>
      <c r="D795" s="3" t="inlineStr"/>
      <c r="E795" s="3" t="inlineStr">
        <is>
          <t>Irrelevant (Non Tech) (Grad&gt;2020)</t>
        </is>
      </c>
    </row>
    <row r="796">
      <c r="A796" s="3" t="n">
        <v>3089830</v>
      </c>
      <c r="B796" s="3" t="inlineStr">
        <is>
          <t>Professional Certificate Course In Data Science February 2026</t>
        </is>
      </c>
      <c r="C796" s="4" t="n">
        <v>46241</v>
      </c>
      <c r="D796" s="3" t="inlineStr"/>
      <c r="E796" s="3" t="inlineStr">
        <is>
          <t>Irrelevant (Non Tech) (Grad&gt;2020)</t>
        </is>
      </c>
    </row>
    <row r="797">
      <c r="A797" s="3" t="n">
        <v>3111198</v>
      </c>
      <c r="B797" s="3" t="inlineStr">
        <is>
          <t>Professional Certificate Course In Data Science February 2026</t>
        </is>
      </c>
      <c r="C797" s="4" t="n">
        <v>46246</v>
      </c>
      <c r="D797" s="3" t="inlineStr"/>
      <c r="E797" s="3" t="inlineStr">
        <is>
          <t>Irrelevant (Non Tech) (Grad&gt;2020)</t>
        </is>
      </c>
    </row>
    <row r="798">
      <c r="A798" s="3" t="n">
        <v>3112894</v>
      </c>
      <c r="B798" s="3" t="inlineStr">
        <is>
          <t>Professional Certificate Course In Data Science February 2026</t>
        </is>
      </c>
      <c r="C798" s="4" t="n">
        <v>46230</v>
      </c>
      <c r="D798" s="3" t="inlineStr"/>
      <c r="E798" s="3" t="inlineStr">
        <is>
          <t>Irrelevant (Tech/IT)</t>
        </is>
      </c>
    </row>
    <row r="799">
      <c r="A799" s="3" t="n">
        <v>3121165</v>
      </c>
      <c r="B799" s="3" t="inlineStr">
        <is>
          <t>Professional Certificate Course In Data Science February 2026</t>
        </is>
      </c>
      <c r="C799" s="4" t="n">
        <v>46198</v>
      </c>
      <c r="D799" s="3" t="inlineStr"/>
      <c r="E799" s="3" t="inlineStr">
        <is>
          <t>Fresher</t>
        </is>
      </c>
    </row>
    <row r="800">
      <c r="A800" s="3" t="n">
        <v>3124787</v>
      </c>
      <c r="B800" s="3" t="inlineStr">
        <is>
          <t>Professional Certificate Course In Data Science February 2026</t>
        </is>
      </c>
      <c r="C800" s="4" t="n">
        <v>46225</v>
      </c>
      <c r="D800" s="3" t="inlineStr"/>
      <c r="E800" s="3" t="inlineStr">
        <is>
          <t>Irrelevant (Non Tech) (Grad&gt;2020)</t>
        </is>
      </c>
    </row>
    <row r="801">
      <c r="A801" s="3" t="n">
        <v>3126261</v>
      </c>
      <c r="B801" s="3" t="inlineStr">
        <is>
          <t>Professional Certificate Course In Data Science February 2026</t>
        </is>
      </c>
      <c r="C801" s="4" t="n">
        <v>46238</v>
      </c>
      <c r="D801" s="3" t="inlineStr"/>
      <c r="E801" s="3" t="inlineStr">
        <is>
          <t>Fresher</t>
        </is>
      </c>
    </row>
    <row r="802">
      <c r="A802" s="3" t="n">
        <v>3141278</v>
      </c>
      <c r="B802" s="3" t="inlineStr">
        <is>
          <t>Professional Certificate Course In Data Science February 2026</t>
        </is>
      </c>
      <c r="C802" s="4" t="n">
        <v>46206</v>
      </c>
      <c r="D802" s="3" t="inlineStr"/>
      <c r="E802" s="3" t="inlineStr">
        <is>
          <t>Irrelevant (Tech/IT)</t>
        </is>
      </c>
    </row>
    <row r="803">
      <c r="A803" s="3" t="n">
        <v>3145260</v>
      </c>
      <c r="B803" s="3" t="inlineStr">
        <is>
          <t>Professional Certificate Course In Data Science March 2026</t>
        </is>
      </c>
      <c r="C803" s="4" t="n">
        <v>46241</v>
      </c>
      <c r="D803" s="3" t="inlineStr"/>
      <c r="E803" s="3" t="inlineStr">
        <is>
          <t>Irrelevant (Tech/IT)</t>
        </is>
      </c>
    </row>
    <row r="804">
      <c r="A804" s="3" t="n">
        <v>3168950</v>
      </c>
      <c r="B804" s="3" t="inlineStr">
        <is>
          <t>Professional Certificate Course In Data Science March 2026</t>
        </is>
      </c>
      <c r="C804" s="4" t="n">
        <v>46261</v>
      </c>
      <c r="D804" s="3" t="inlineStr"/>
      <c r="E804" s="3" t="inlineStr">
        <is>
          <t>Career Gap/ Non Working</t>
        </is>
      </c>
    </row>
    <row r="805">
      <c r="A805" s="3" t="n">
        <v>3180891</v>
      </c>
      <c r="B805" s="3" t="inlineStr">
        <is>
          <t>Professional Certificate Course In Data Science March 2026</t>
        </is>
      </c>
      <c r="C805" s="4" t="n">
        <v>46261</v>
      </c>
      <c r="D805" s="3" t="inlineStr"/>
      <c r="E805" s="3" t="inlineStr">
        <is>
          <t>Career Gap/ Non Working</t>
        </is>
      </c>
    </row>
    <row r="806">
      <c r="A806" s="3" t="n">
        <v>3229412</v>
      </c>
      <c r="B806" s="3" t="inlineStr">
        <is>
          <t>Professional Certificate Course In Data Science March 2026</t>
        </is>
      </c>
      <c r="C806" s="4" t="n">
        <v>46248</v>
      </c>
      <c r="D806" s="3" t="inlineStr"/>
      <c r="E806" s="3" t="inlineStr">
        <is>
          <t>Irrelevant (Tech/IT)</t>
        </is>
      </c>
    </row>
    <row r="807">
      <c r="A807" s="3" t="n">
        <v>3229416</v>
      </c>
      <c r="B807" s="3" t="inlineStr">
        <is>
          <t>Professional Certificate Course In Data Science March 2026</t>
        </is>
      </c>
      <c r="C807" s="4" t="n">
        <v>46241</v>
      </c>
      <c r="D807" s="3" t="inlineStr"/>
      <c r="E807" s="3" t="inlineStr">
        <is>
          <t>Fresher</t>
        </is>
      </c>
    </row>
    <row r="808">
      <c r="A808" s="3" t="n">
        <v>3239607</v>
      </c>
      <c r="B808" s="3" t="inlineStr">
        <is>
          <t>Professional Certificate Course In Data Science March 2026</t>
        </is>
      </c>
      <c r="C808" s="4" t="n">
        <v>46286</v>
      </c>
      <c r="D808" s="3" t="inlineStr"/>
      <c r="E808" s="3" t="inlineStr">
        <is>
          <t>Irrelevant (Non Tech) (Grad&gt;2020)</t>
        </is>
      </c>
    </row>
    <row r="809">
      <c r="A809" s="3" t="n">
        <v>3240328</v>
      </c>
      <c r="B809" s="3" t="inlineStr">
        <is>
          <t>Professional Certificate Course In Data Science March 2026</t>
        </is>
      </c>
      <c r="C809" s="4" t="n">
        <v>46275</v>
      </c>
      <c r="D809" s="3" t="inlineStr"/>
      <c r="E809" s="3" t="inlineStr">
        <is>
          <t>Irrelevant (Tech/IT)</t>
        </is>
      </c>
    </row>
    <row r="810">
      <c r="A810" s="3" t="n">
        <v>3256734</v>
      </c>
      <c r="B810" s="3" t="inlineStr">
        <is>
          <t>Professional Certificate Course In Data Science March 2026</t>
        </is>
      </c>
      <c r="C810" s="4" t="n">
        <v>46266</v>
      </c>
      <c r="D810" s="3" t="inlineStr"/>
      <c r="E810" s="3" t="inlineStr">
        <is>
          <t>Irrelevant (Non Tech) (Grad&gt;2020)</t>
        </is>
      </c>
    </row>
    <row r="811">
      <c r="A811" s="3" t="n">
        <v>3271627</v>
      </c>
      <c r="B811" s="3" t="inlineStr">
        <is>
          <t>Professional Certificate Course In Data Science March 2026</t>
        </is>
      </c>
      <c r="C811" s="4" t="n">
        <v>46239</v>
      </c>
      <c r="D811" s="3" t="inlineStr"/>
      <c r="E811" s="3" t="inlineStr">
        <is>
          <t>Fresher</t>
        </is>
      </c>
    </row>
    <row r="812">
      <c r="A812" s="3" t="n">
        <v>3280415</v>
      </c>
      <c r="B812" s="3" t="inlineStr">
        <is>
          <t>Professional Certificate Course In Data Science April 2026</t>
        </is>
      </c>
      <c r="C812" s="4" t="n">
        <v>46266</v>
      </c>
      <c r="D812" s="3" t="inlineStr"/>
      <c r="E812" s="3" t="inlineStr">
        <is>
          <t>Fresher</t>
        </is>
      </c>
    </row>
    <row r="813">
      <c r="A813" s="3" t="n">
        <v>3287699</v>
      </c>
      <c r="B813" s="3" t="inlineStr">
        <is>
          <t>Professional Certificate Course In Data Science April 2026</t>
        </is>
      </c>
      <c r="C813" s="4" t="n">
        <v>46259</v>
      </c>
      <c r="D813" s="3" t="inlineStr"/>
      <c r="E813" s="3" t="inlineStr">
        <is>
          <t>Fresher</t>
        </is>
      </c>
    </row>
    <row r="814">
      <c r="A814" s="3" t="n">
        <v>3294595</v>
      </c>
      <c r="B814" s="3" t="inlineStr">
        <is>
          <t>Professional Certificate Course In Data Science April 2026</t>
        </is>
      </c>
      <c r="C814" s="4" t="n">
        <v>46255</v>
      </c>
      <c r="D814" s="3" t="inlineStr"/>
      <c r="E814" s="3" t="inlineStr">
        <is>
          <t>Fresher</t>
        </is>
      </c>
    </row>
    <row r="815">
      <c r="A815" s="3" t="n">
        <v>3307508</v>
      </c>
      <c r="B815" s="3" t="inlineStr">
        <is>
          <t>Professional Certificate Course In Data Science April 2026</t>
        </is>
      </c>
      <c r="C815" s="4" t="n">
        <v>46280</v>
      </c>
      <c r="D815" s="3" t="inlineStr"/>
      <c r="E815" s="3" t="inlineStr">
        <is>
          <t>Irrelevant (Tech/IT)</t>
        </is>
      </c>
    </row>
    <row r="816">
      <c r="A816" s="3" t="n">
        <v>3309786</v>
      </c>
      <c r="B816" s="3" t="inlineStr">
        <is>
          <t>Professional Certificate Course In Data Science April 2026</t>
        </is>
      </c>
      <c r="C816" s="4" t="n">
        <v>46252</v>
      </c>
      <c r="D816" s="3" t="inlineStr"/>
      <c r="E816" s="3" t="inlineStr">
        <is>
          <t>Career Gap/ Non Working</t>
        </is>
      </c>
    </row>
    <row r="817">
      <c r="A817" s="3" t="n">
        <v>3311412</v>
      </c>
      <c r="B817" s="3" t="inlineStr">
        <is>
          <t>Professional Certificate Course In Data Science April 2026</t>
        </is>
      </c>
      <c r="C817" s="4" t="n">
        <v>46280</v>
      </c>
      <c r="D817" s="3" t="inlineStr"/>
      <c r="E817" s="3" t="inlineStr">
        <is>
          <t>Irrelevant (Non Tech) (Grad&gt;2020)</t>
        </is>
      </c>
    </row>
    <row r="818">
      <c r="A818" s="3" t="n">
        <v>3314410</v>
      </c>
      <c r="B818" s="3" t="inlineStr">
        <is>
          <t>Professional Certificate Course In Data Science April 2026</t>
        </is>
      </c>
      <c r="C818" s="4" t="n">
        <v>46282</v>
      </c>
      <c r="D818" s="3" t="inlineStr"/>
      <c r="E818" s="3" t="inlineStr">
        <is>
          <t>Career Gap/ Non Working</t>
        </is>
      </c>
    </row>
    <row r="819">
      <c r="A819" s="3" t="n">
        <v>113107</v>
      </c>
      <c r="B819" s="3" t="inlineStr">
        <is>
          <t>Professional Certificate Course In Data Science April 2026</t>
        </is>
      </c>
      <c r="C819" s="4" t="n">
        <v>46253</v>
      </c>
      <c r="D819" s="3" t="inlineStr"/>
      <c r="E819" s="3" t="inlineStr">
        <is>
          <t>Relevant</t>
        </is>
      </c>
    </row>
    <row r="820">
      <c r="A820" s="3" t="n">
        <v>2093834</v>
      </c>
      <c r="B820" s="3" t="inlineStr">
        <is>
          <t>Professional Certificate Course In Data Science April 2026</t>
        </is>
      </c>
      <c r="C820" s="4" t="n">
        <v>46253</v>
      </c>
      <c r="D820" s="3" t="inlineStr"/>
      <c r="E820" s="3" t="inlineStr">
        <is>
          <t>Relevant</t>
        </is>
      </c>
    </row>
    <row r="821">
      <c r="A821" s="3" t="n">
        <v>2768559</v>
      </c>
      <c r="B821" s="3" t="inlineStr">
        <is>
          <t>Professional Certificate Course In Data Science April 2026</t>
        </is>
      </c>
      <c r="C821" s="4" t="n">
        <v>46280</v>
      </c>
      <c r="D821" s="3" t="inlineStr"/>
      <c r="E821" s="3" t="inlineStr">
        <is>
          <t>Fresher</t>
        </is>
      </c>
    </row>
    <row r="822">
      <c r="A822" s="3" t="n">
        <v>2991446</v>
      </c>
      <c r="B822" s="3" t="inlineStr">
        <is>
          <t>Professional Certificate Course In Data Science April 2026</t>
        </is>
      </c>
      <c r="C822" s="4" t="n">
        <v>46280</v>
      </c>
      <c r="D822" s="3" t="inlineStr"/>
      <c r="E822" s="3" t="inlineStr">
        <is>
          <t>Fresher</t>
        </is>
      </c>
    </row>
    <row r="823">
      <c r="A823" s="3" t="n">
        <v>3169354</v>
      </c>
      <c r="B823" s="3" t="inlineStr">
        <is>
          <t>Professional Certificate Course In Data Science April 2026</t>
        </is>
      </c>
      <c r="C823" s="4" t="n">
        <v>46252</v>
      </c>
      <c r="D823" s="3" t="inlineStr"/>
      <c r="E823" s="3" t="inlineStr">
        <is>
          <t>Irrelevant (Tech/IT)</t>
        </is>
      </c>
    </row>
    <row r="824">
      <c r="A824" s="3" t="n">
        <v>2985018</v>
      </c>
      <c r="B824" s="3" t="inlineStr">
        <is>
          <t>Professional Certificate Course In Data Science December 2025</t>
        </is>
      </c>
      <c r="C824" s="4" t="n">
        <v>46233</v>
      </c>
      <c r="D824" s="3" t="inlineStr"/>
      <c r="E824" s="3" t="inlineStr">
        <is>
          <t>Irrelevant (Non Tech) (Grad&gt;2020)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55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" t="inlineStr">
        <is>
          <t>Batch</t>
        </is>
      </c>
      <c r="B1" s="1" t="inlineStr">
        <is>
          <t>Batch (A/B)</t>
        </is>
      </c>
      <c r="C1" s="1" t="inlineStr">
        <is>
          <t>Base Batch</t>
        </is>
      </c>
      <c r="D1" s="1" t="inlineStr">
        <is>
          <t>GEM Status (raw)</t>
        </is>
      </c>
      <c r="E1" s="1" t="inlineStr">
        <is>
          <t>Batch Start Date</t>
        </is>
      </c>
      <c r="F1" s="1" t="inlineStr">
        <is>
          <t>Initially Enrolled</t>
        </is>
      </c>
      <c r="G1" s="1" t="inlineStr">
        <is>
          <t>Currently Enrolled</t>
        </is>
      </c>
      <c r="H1" s="1" t="inlineStr">
        <is>
          <t>Picked Students</t>
        </is>
      </c>
      <c r="I1" s="1" t="inlineStr">
        <is>
          <t>Within 30 Days</t>
        </is>
      </c>
      <c r="J1" s="1" t="inlineStr">
        <is>
          <t>% of Currently Enrolled</t>
        </is>
      </c>
      <c r="K1" s="1" t="inlineStr">
        <is>
          <t>Within 60 Days</t>
        </is>
      </c>
      <c r="L1" s="1" t="inlineStr">
        <is>
          <t>% of Currently Enrolled</t>
        </is>
      </c>
      <c r="M1" s="1" t="inlineStr">
        <is>
          <t>Within 90 Days</t>
        </is>
      </c>
      <c r="N1" s="1" t="inlineStr">
        <is>
          <t>% of Currently Enrolled</t>
        </is>
      </c>
      <c r="O1" s="1" t="inlineStr">
        <is>
          <t>Within 120 Days</t>
        </is>
      </c>
      <c r="P1" s="1" t="inlineStr">
        <is>
          <t>% of Currently Enrolled</t>
        </is>
      </c>
      <c r="Q1" s="1" t="inlineStr">
        <is>
          <t>Within 150 Days</t>
        </is>
      </c>
      <c r="R1" s="1" t="inlineStr">
        <is>
          <t>% of Currently Enrolled</t>
        </is>
      </c>
      <c r="S1" s="1" t="inlineStr">
        <is>
          <t>Within 180 Days</t>
        </is>
      </c>
      <c r="T1" s="1" t="inlineStr">
        <is>
          <t>% of Currently Enrolled</t>
        </is>
      </c>
      <c r="U1" s="1" t="inlineStr">
        <is>
          <t>Within 210 Days</t>
        </is>
      </c>
      <c r="V1" s="1" t="inlineStr">
        <is>
          <t>% of Currently Enrolled</t>
        </is>
      </c>
      <c r="W1" s="1" t="inlineStr">
        <is>
          <t>Within 240 Days</t>
        </is>
      </c>
      <c r="X1" s="1" t="inlineStr">
        <is>
          <t>% of Currently Enrolled</t>
        </is>
      </c>
      <c r="Y1" s="1" t="inlineStr">
        <is>
          <t>Within 270 Days</t>
        </is>
      </c>
      <c r="Z1" s="1" t="inlineStr">
        <is>
          <t>% of Currently Enrolled</t>
        </is>
      </c>
      <c r="AA1" s="1" t="inlineStr">
        <is>
          <t>Within 300 Days</t>
        </is>
      </c>
      <c r="AB1" s="1" t="inlineStr">
        <is>
          <t>% of Currently Enrolled</t>
        </is>
      </c>
      <c r="AC1" s="1" t="inlineStr">
        <is>
          <t>Within 330 Days</t>
        </is>
      </c>
      <c r="AD1" s="1" t="inlineStr">
        <is>
          <t>% of Currently Enrolled</t>
        </is>
      </c>
      <c r="AE1" s="1" t="inlineStr">
        <is>
          <t>Within 360 Days</t>
        </is>
      </c>
      <c r="AF1" s="1" t="inlineStr">
        <is>
          <t>% of Currently Enrolled</t>
        </is>
      </c>
      <c r="AG1" s="1" t="inlineStr">
        <is>
          <t>Within 390 Days</t>
        </is>
      </c>
      <c r="AH1" s="1" t="inlineStr">
        <is>
          <t>% of Currently Enrolled</t>
        </is>
      </c>
      <c r="AI1" s="1" t="inlineStr">
        <is>
          <t>Within 420 Days</t>
        </is>
      </c>
      <c r="AJ1" s="1" t="inlineStr">
        <is>
          <t>% of Currently Enrolled</t>
        </is>
      </c>
      <c r="AK1" s="1" t="inlineStr">
        <is>
          <t>Within 450 Days</t>
        </is>
      </c>
      <c r="AL1" s="1" t="inlineStr">
        <is>
          <t>% of Currently Enrolled</t>
        </is>
      </c>
      <c r="AM1" s="1" t="inlineStr">
        <is>
          <t>Within 480 Days</t>
        </is>
      </c>
      <c r="AN1" s="1" t="inlineStr">
        <is>
          <t>% of Currently Enrolled</t>
        </is>
      </c>
      <c r="AO1" s="1" t="inlineStr">
        <is>
          <t>Within 510 Days</t>
        </is>
      </c>
      <c r="AP1" s="1" t="inlineStr">
        <is>
          <t>% of Currently Enrolled</t>
        </is>
      </c>
      <c r="AQ1" s="1" t="inlineStr">
        <is>
          <t>Within 540 Days</t>
        </is>
      </c>
      <c r="AR1" s="1" t="inlineStr">
        <is>
          <t>% of Currently Enrolled</t>
        </is>
      </c>
      <c r="AS1" s="1" t="inlineStr">
        <is>
          <t>Not Placed yet</t>
        </is>
      </c>
    </row>
    <row r="2">
      <c r="A2" s="3" t="inlineStr">
        <is>
          <t>Professional Certificate Course In Data Science - April 2023</t>
        </is>
      </c>
      <c r="B2" s="3">
        <f>IF($A2="","",IFERROR(IF(INDEX('Batch Enrollment (Metabase)'!$C$2:$C$47,MATCH($A2,'Batch Enrollment (Metabase)'!$A$2:$A$47,0))="GEM","A",IF(INDEX('Batch Enrollment (Metabase)'!$C$2:$C$47,MATCH($A2,'Batch Enrollment (Metabase)'!$A$2:$A$47,0))="Non-GEM","B","")),""))</f>
        <v/>
      </c>
      <c r="C2" s="3">
        <f>IF($A2="","",IFERROR(INDEX('Batch Enrollment (Metabase)'!$B$2:$B$47,MATCH($A2,'Batch Enrollment (Metabase)'!$A$2:$A$47,0)),""))</f>
        <v/>
      </c>
      <c r="D2" s="3">
        <f>IF($A2="","",IFERROR(INDEX('Batch Enrollment (Metabase)'!$C$2:$C$47,MATCH($A2,'Batch Enrollment (Metabase)'!$A$2:$A$47,0)),""))</f>
        <v/>
      </c>
      <c r="E2" s="4">
        <f>IF($A2="","",IFERROR(INDEX('Batch Enrollment (Metabase)'!$D$2:$D$47,MATCH($A2,'Batch Enrollment (Metabase)'!$A$2:$A$47,0)),""))</f>
        <v/>
      </c>
      <c r="F2" s="3">
        <f>IF($A2="","",IFERROR(INDEX('Batch Enrollment (Metabase)'!$E$2:$E$47,MATCH($A2,'Batch Enrollment (Metabase)'!$A$2:$A$47,0)),""))</f>
        <v/>
      </c>
      <c r="G2" s="3">
        <f>IF($A2="","",IFERROR(INDEX('Batch Enrollment (Metabase)'!$F$2:$F$47,MATCH($A2,'Batch Enrollment (Metabase)'!$A$2:$A$47,0)),""))</f>
        <v/>
      </c>
      <c r="H2" s="3">
        <f>IF($A2="","",IF($D2="",COUNTIF('Picked Students (raw)'!$B$2:$B$824,$C2),COUNTIFS('Picked Students (raw)'!$B$2:$B$824,$C2,'Picked Students (raw)'!$D$2:$D$824,$D2)))</f>
        <v/>
      </c>
      <c r="I2" s="3">
        <f>IF($A2="","",IF($E2="","",IF(TODAY()&lt;$E2+30,"-",IF($D2="",SUMPRODUCT(('Picked Students (raw)'!$B$2:$B$824=$C2)*('Picked Students (raw)'!$C$2:$C$824&lt;&gt;"")*(('Picked Students (raw)'!$C$2:$C$824-$E2)&lt;30)),SUMPRODUCT(('Picked Students (raw)'!$B$2:$B$824=$C2)*('Picked Students (raw)'!$D$2:$D$824=$D2)*('Picked Students (raw)'!$C$2:$C$824&lt;&gt;"")*(('Picked Students (raw)'!$C$2:$C$824-$E2)&lt;30))))))</f>
        <v/>
      </c>
      <c r="J2" s="5">
        <f>IF($A2="","",IF(I2="-","-",IF($G2=0,0,I2/$G2)))</f>
        <v/>
      </c>
      <c r="K2" s="3">
        <f>IF($A2="","",IF($E2="","",IF(TODAY()&lt;$E2+60,"-",IF($D2="",SUMPRODUCT(('Picked Students (raw)'!$B$2:$B$824=$C2)*('Picked Students (raw)'!$C$2:$C$824&lt;&gt;"")*(('Picked Students (raw)'!$C$2:$C$824-$E2)&lt;60)),SUMPRODUCT(('Picked Students (raw)'!$B$2:$B$824=$C2)*('Picked Students (raw)'!$D$2:$D$824=$D2)*('Picked Students (raw)'!$C$2:$C$824&lt;&gt;"")*(('Picked Students (raw)'!$C$2:$C$824-$E2)&lt;60))))))</f>
        <v/>
      </c>
      <c r="L2" s="5">
        <f>IF($A2="","",IF(K2="-","-",IF($G2=0,0,K2/$G2)))</f>
        <v/>
      </c>
      <c r="M2" s="3">
        <f>IF($A2="","",IF($E2="","",IF(TODAY()&lt;$E2+90,"-",IF($D2="",SUMPRODUCT(('Picked Students (raw)'!$B$2:$B$824=$C2)*('Picked Students (raw)'!$C$2:$C$824&lt;&gt;"")*(('Picked Students (raw)'!$C$2:$C$824-$E2)&lt;90)),SUMPRODUCT(('Picked Students (raw)'!$B$2:$B$824=$C2)*('Picked Students (raw)'!$D$2:$D$824=$D2)*('Picked Students (raw)'!$C$2:$C$824&lt;&gt;"")*(('Picked Students (raw)'!$C$2:$C$824-$E2)&lt;90))))))</f>
        <v/>
      </c>
      <c r="N2" s="5">
        <f>IF($A2="","",IF(M2="-","-",IF($G2=0,0,M2/$G2)))</f>
        <v/>
      </c>
      <c r="O2" s="3">
        <f>IF($A2="","",IF($E2="","",IF(TODAY()&lt;$E2+120,"-",IF($D2="",SUMPRODUCT(('Picked Students (raw)'!$B$2:$B$824=$C2)*('Picked Students (raw)'!$C$2:$C$824&lt;&gt;"")*(('Picked Students (raw)'!$C$2:$C$824-$E2)&lt;120)),SUMPRODUCT(('Picked Students (raw)'!$B$2:$B$824=$C2)*('Picked Students (raw)'!$D$2:$D$824=$D2)*('Picked Students (raw)'!$C$2:$C$824&lt;&gt;"")*(('Picked Students (raw)'!$C$2:$C$824-$E2)&lt;120))))))</f>
        <v/>
      </c>
      <c r="P2" s="5">
        <f>IF($A2="","",IF(O2="-","-",IF($G2=0,0,O2/$G2)))</f>
        <v/>
      </c>
      <c r="Q2" s="3">
        <f>IF($A2="","",IF($E2="","",IF(TODAY()&lt;$E2+150,"-",IF($D2="",SUMPRODUCT(('Picked Students (raw)'!$B$2:$B$824=$C2)*('Picked Students (raw)'!$C$2:$C$824&lt;&gt;"")*(('Picked Students (raw)'!$C$2:$C$824-$E2)&lt;150)),SUMPRODUCT(('Picked Students (raw)'!$B$2:$B$824=$C2)*('Picked Students (raw)'!$D$2:$D$824=$D2)*('Picked Students (raw)'!$C$2:$C$824&lt;&gt;"")*(('Picked Students (raw)'!$C$2:$C$824-$E2)&lt;150))))))</f>
        <v/>
      </c>
      <c r="R2" s="5">
        <f>IF($A2="","",IF(Q2="-","-",IF($G2=0,0,Q2/$G2)))</f>
        <v/>
      </c>
      <c r="S2" s="3">
        <f>IF($A2="","",IF($E2="","",IF(TODAY()&lt;$E2+180,"-",IF($D2="",SUMPRODUCT(('Picked Students (raw)'!$B$2:$B$824=$C2)*('Picked Students (raw)'!$C$2:$C$824&lt;&gt;"")*(('Picked Students (raw)'!$C$2:$C$824-$E2)&lt;180)),SUMPRODUCT(('Picked Students (raw)'!$B$2:$B$824=$C2)*('Picked Students (raw)'!$D$2:$D$824=$D2)*('Picked Students (raw)'!$C$2:$C$824&lt;&gt;"")*(('Picked Students (raw)'!$C$2:$C$824-$E2)&lt;180))))))</f>
        <v/>
      </c>
      <c r="T2" s="5">
        <f>IF($A2="","",IF(S2="-","-",IF($G2=0,0,S2/$G2)))</f>
        <v/>
      </c>
      <c r="U2" s="3">
        <f>IF($A2="","",IF($E2="","",IF(TODAY()&lt;$E2+210,"-",IF($D2="",SUMPRODUCT(('Picked Students (raw)'!$B$2:$B$824=$C2)*('Picked Students (raw)'!$C$2:$C$824&lt;&gt;"")*(('Picked Students (raw)'!$C$2:$C$824-$E2)&lt;210)),SUMPRODUCT(('Picked Students (raw)'!$B$2:$B$824=$C2)*('Picked Students (raw)'!$D$2:$D$824=$D2)*('Picked Students (raw)'!$C$2:$C$824&lt;&gt;"")*(('Picked Students (raw)'!$C$2:$C$824-$E2)&lt;210))))))</f>
        <v/>
      </c>
      <c r="V2" s="5">
        <f>IF($A2="","",IF(U2="-","-",IF($G2=0,0,U2/$G2)))</f>
        <v/>
      </c>
      <c r="W2" s="3">
        <f>IF($A2="","",IF($E2="","",IF(TODAY()&lt;$E2+240,"-",IF($D2="",SUMPRODUCT(('Picked Students (raw)'!$B$2:$B$824=$C2)*('Picked Students (raw)'!$C$2:$C$824&lt;&gt;"")*(('Picked Students (raw)'!$C$2:$C$824-$E2)&lt;240)),SUMPRODUCT(('Picked Students (raw)'!$B$2:$B$824=$C2)*('Picked Students (raw)'!$D$2:$D$824=$D2)*('Picked Students (raw)'!$C$2:$C$824&lt;&gt;"")*(('Picked Students (raw)'!$C$2:$C$824-$E2)&lt;240))))))</f>
        <v/>
      </c>
      <c r="X2" s="5">
        <f>IF($A2="","",IF(W2="-","-",IF($G2=0,0,W2/$G2)))</f>
        <v/>
      </c>
      <c r="Y2" s="3">
        <f>IF($A2="","",IF($E2="","",IF(TODAY()&lt;$E2+270,"-",IF($D2="",SUMPRODUCT(('Picked Students (raw)'!$B$2:$B$824=$C2)*('Picked Students (raw)'!$C$2:$C$824&lt;&gt;"")*(('Picked Students (raw)'!$C$2:$C$824-$E2)&lt;270)),SUMPRODUCT(('Picked Students (raw)'!$B$2:$B$824=$C2)*('Picked Students (raw)'!$D$2:$D$824=$D2)*('Picked Students (raw)'!$C$2:$C$824&lt;&gt;"")*(('Picked Students (raw)'!$C$2:$C$824-$E2)&lt;270))))))</f>
        <v/>
      </c>
      <c r="Z2" s="5">
        <f>IF($A2="","",IF(Y2="-","-",IF($G2=0,0,Y2/$G2)))</f>
        <v/>
      </c>
      <c r="AA2" s="3">
        <f>IF($A2="","",IF($E2="","",IF(TODAY()&lt;$E2+300,"-",IF($D2="",SUMPRODUCT(('Picked Students (raw)'!$B$2:$B$824=$C2)*('Picked Students (raw)'!$C$2:$C$824&lt;&gt;"")*(('Picked Students (raw)'!$C$2:$C$824-$E2)&lt;300)),SUMPRODUCT(('Picked Students (raw)'!$B$2:$B$824=$C2)*('Picked Students (raw)'!$D$2:$D$824=$D2)*('Picked Students (raw)'!$C$2:$C$824&lt;&gt;"")*(('Picked Students (raw)'!$C$2:$C$824-$E2)&lt;300))))))</f>
        <v/>
      </c>
      <c r="AB2" s="5">
        <f>IF($A2="","",IF(AA2="-","-",IF($G2=0,0,AA2/$G2)))</f>
        <v/>
      </c>
      <c r="AC2" s="3">
        <f>IF($A2="","",IF($E2="","",IF(TODAY()&lt;$E2+330,"-",IF($D2="",SUMPRODUCT(('Picked Students (raw)'!$B$2:$B$824=$C2)*('Picked Students (raw)'!$C$2:$C$824&lt;&gt;"")*(('Picked Students (raw)'!$C$2:$C$824-$E2)&lt;330)),SUMPRODUCT(('Picked Students (raw)'!$B$2:$B$824=$C2)*('Picked Students (raw)'!$D$2:$D$824=$D2)*('Picked Students (raw)'!$C$2:$C$824&lt;&gt;"")*(('Picked Students (raw)'!$C$2:$C$824-$E2)&lt;330))))))</f>
        <v/>
      </c>
      <c r="AD2" s="5">
        <f>IF($A2="","",IF(AC2="-","-",IF($G2=0,0,AC2/$G2)))</f>
        <v/>
      </c>
      <c r="AE2" s="3">
        <f>IF($A2="","",IF($E2="","",IF(TODAY()&lt;$E2+360,"-",IF($D2="",SUMPRODUCT(('Picked Students (raw)'!$B$2:$B$824=$C2)*('Picked Students (raw)'!$C$2:$C$824&lt;&gt;"")*(('Picked Students (raw)'!$C$2:$C$824-$E2)&lt;360)),SUMPRODUCT(('Picked Students (raw)'!$B$2:$B$824=$C2)*('Picked Students (raw)'!$D$2:$D$824=$D2)*('Picked Students (raw)'!$C$2:$C$824&lt;&gt;"")*(('Picked Students (raw)'!$C$2:$C$824-$E2)&lt;360))))))</f>
        <v/>
      </c>
      <c r="AF2" s="5">
        <f>IF($A2="","",IF(AE2="-","-",IF($G2=0,0,AE2/$G2)))</f>
        <v/>
      </c>
      <c r="AG2" s="3">
        <f>IF($A2="","",IF($E2="","",IF(TODAY()&lt;$E2+390,"-",IF($D2="",SUMPRODUCT(('Picked Students (raw)'!$B$2:$B$824=$C2)*('Picked Students (raw)'!$C$2:$C$824&lt;&gt;"")*(('Picked Students (raw)'!$C$2:$C$824-$E2)&lt;390)),SUMPRODUCT(('Picked Students (raw)'!$B$2:$B$824=$C2)*('Picked Students (raw)'!$D$2:$D$824=$D2)*('Picked Students (raw)'!$C$2:$C$824&lt;&gt;"")*(('Picked Students (raw)'!$C$2:$C$824-$E2)&lt;390))))))</f>
        <v/>
      </c>
      <c r="AH2" s="5">
        <f>IF($A2="","",IF(AG2="-","-",IF($G2=0,0,AG2/$G2)))</f>
        <v/>
      </c>
      <c r="AI2" s="3">
        <f>IF($A2="","",IF($E2="","",IF(TODAY()&lt;$E2+420,"-",IF($D2="",SUMPRODUCT(('Picked Students (raw)'!$B$2:$B$824=$C2)*('Picked Students (raw)'!$C$2:$C$824&lt;&gt;"")*(('Picked Students (raw)'!$C$2:$C$824-$E2)&lt;420)),SUMPRODUCT(('Picked Students (raw)'!$B$2:$B$824=$C2)*('Picked Students (raw)'!$D$2:$D$824=$D2)*('Picked Students (raw)'!$C$2:$C$824&lt;&gt;"")*(('Picked Students (raw)'!$C$2:$C$824-$E2)&lt;420))))))</f>
        <v/>
      </c>
      <c r="AJ2" s="5">
        <f>IF($A2="","",IF(AI2="-","-",IF($G2=0,0,AI2/$G2)))</f>
        <v/>
      </c>
      <c r="AK2" s="3">
        <f>IF($A2="","",IF($E2="","",IF(TODAY()&lt;$E2+450,"-",IF($D2="",SUMPRODUCT(('Picked Students (raw)'!$B$2:$B$824=$C2)*('Picked Students (raw)'!$C$2:$C$824&lt;&gt;"")*(('Picked Students (raw)'!$C$2:$C$824-$E2)&lt;450)),SUMPRODUCT(('Picked Students (raw)'!$B$2:$B$824=$C2)*('Picked Students (raw)'!$D$2:$D$824=$D2)*('Picked Students (raw)'!$C$2:$C$824&lt;&gt;"")*(('Picked Students (raw)'!$C$2:$C$824-$E2)&lt;450))))))</f>
        <v/>
      </c>
      <c r="AL2" s="5">
        <f>IF($A2="","",IF(AK2="-","-",IF($G2=0,0,AK2/$G2)))</f>
        <v/>
      </c>
      <c r="AM2" s="3">
        <f>IF($A2="","",IF($E2="","",IF(TODAY()&lt;$E2+480,"-",IF($D2="",SUMPRODUCT(('Picked Students (raw)'!$B$2:$B$824=$C2)*('Picked Students (raw)'!$C$2:$C$824&lt;&gt;"")*(('Picked Students (raw)'!$C$2:$C$824-$E2)&lt;480)),SUMPRODUCT(('Picked Students (raw)'!$B$2:$B$824=$C2)*('Picked Students (raw)'!$D$2:$D$824=$D2)*('Picked Students (raw)'!$C$2:$C$824&lt;&gt;"")*(('Picked Students (raw)'!$C$2:$C$824-$E2)&lt;480))))))</f>
        <v/>
      </c>
      <c r="AN2" s="5">
        <f>IF($A2="","",IF(AM2="-","-",IF($G2=0,0,AM2/$G2)))</f>
        <v/>
      </c>
      <c r="AO2" s="3">
        <f>IF($A2="","",IF($E2="","",IF(TODAY()&lt;$E2+510,"-",IF($D2="",SUMPRODUCT(('Picked Students (raw)'!$B$2:$B$824=$C2)*('Picked Students (raw)'!$C$2:$C$824&lt;&gt;"")*(('Picked Students (raw)'!$C$2:$C$824-$E2)&lt;510)),SUMPRODUCT(('Picked Students (raw)'!$B$2:$B$824=$C2)*('Picked Students (raw)'!$D$2:$D$824=$D2)*('Picked Students (raw)'!$C$2:$C$824&lt;&gt;"")*(('Picked Students (raw)'!$C$2:$C$824-$E2)&lt;510))))))</f>
        <v/>
      </c>
      <c r="AP2" s="5">
        <f>IF($A2="","",IF(AO2="-","-",IF($G2=0,0,AO2/$G2)))</f>
        <v/>
      </c>
      <c r="AQ2" s="3">
        <f>IF($A2="","",IF($E2="","",IF(TODAY()&lt;$E2+540,"-",IF($D2="",SUMPRODUCT(('Picked Students (raw)'!$B$2:$B$824=$C2)*('Picked Students (raw)'!$C$2:$C$824&lt;&gt;"")*(('Picked Students (raw)'!$C$2:$C$824-$E2)&lt;540)),SUMPRODUCT(('Picked Students (raw)'!$B$2:$B$824=$C2)*('Picked Students (raw)'!$D$2:$D$824=$D2)*('Picked Students (raw)'!$C$2:$C$824&lt;&gt;"")*(('Picked Students (raw)'!$C$2:$C$824-$E2)&lt;540))))))</f>
        <v/>
      </c>
      <c r="AR2" s="5">
        <f>IF($A2="","",IF(AQ2="-","-",IF($G2=0,0,AQ2/$G2)))</f>
        <v/>
      </c>
      <c r="AS2" s="3">
        <f>IF($A2="","",IF(AQ2="-","-",$H2-AQ2))</f>
        <v/>
      </c>
    </row>
    <row r="3">
      <c r="A3" s="3" t="inlineStr">
        <is>
          <t>Professional Certificate Course In Data Science - May 2023</t>
        </is>
      </c>
      <c r="B3" s="3">
        <f>IF($A3="","",IFERROR(IF(INDEX('Batch Enrollment (Metabase)'!$C$2:$C$47,MATCH($A3,'Batch Enrollment (Metabase)'!$A$2:$A$47,0))="GEM","A",IF(INDEX('Batch Enrollment (Metabase)'!$C$2:$C$47,MATCH($A3,'Batch Enrollment (Metabase)'!$A$2:$A$47,0))="Non-GEM","B","")),""))</f>
        <v/>
      </c>
      <c r="C3" s="3">
        <f>IF($A3="","",IFERROR(INDEX('Batch Enrollment (Metabase)'!$B$2:$B$47,MATCH($A3,'Batch Enrollment (Metabase)'!$A$2:$A$47,0)),""))</f>
        <v/>
      </c>
      <c r="D3" s="3">
        <f>IF($A3="","",IFERROR(INDEX('Batch Enrollment (Metabase)'!$C$2:$C$47,MATCH($A3,'Batch Enrollment (Metabase)'!$A$2:$A$47,0)),""))</f>
        <v/>
      </c>
      <c r="E3" s="4">
        <f>IF($A3="","",IFERROR(INDEX('Batch Enrollment (Metabase)'!$D$2:$D$47,MATCH($A3,'Batch Enrollment (Metabase)'!$A$2:$A$47,0)),""))</f>
        <v/>
      </c>
      <c r="F3" s="3">
        <f>IF($A3="","",IFERROR(INDEX('Batch Enrollment (Metabase)'!$E$2:$E$47,MATCH($A3,'Batch Enrollment (Metabase)'!$A$2:$A$47,0)),""))</f>
        <v/>
      </c>
      <c r="G3" s="3">
        <f>IF($A3="","",IFERROR(INDEX('Batch Enrollment (Metabase)'!$F$2:$F$47,MATCH($A3,'Batch Enrollment (Metabase)'!$A$2:$A$47,0)),""))</f>
        <v/>
      </c>
      <c r="H3" s="3">
        <f>IF($A3="","",IF($D3="",COUNTIF('Picked Students (raw)'!$B$2:$B$824,$C3),COUNTIFS('Picked Students (raw)'!$B$2:$B$824,$C3,'Picked Students (raw)'!$D$2:$D$824,$D3)))</f>
        <v/>
      </c>
      <c r="I3" s="3">
        <f>IF($A3="","",IF($E3="","",IF(TODAY()&lt;$E3+30,"-",IF($D3="",SUMPRODUCT(('Picked Students (raw)'!$B$2:$B$824=$C3)*('Picked Students (raw)'!$C$2:$C$824&lt;&gt;"")*(('Picked Students (raw)'!$C$2:$C$824-$E3)&lt;30)),SUMPRODUCT(('Picked Students (raw)'!$B$2:$B$824=$C3)*('Picked Students (raw)'!$D$2:$D$824=$D3)*('Picked Students (raw)'!$C$2:$C$824&lt;&gt;"")*(('Picked Students (raw)'!$C$2:$C$824-$E3)&lt;30))))))</f>
        <v/>
      </c>
      <c r="J3" s="5">
        <f>IF($A3="","",IF(I3="-","-",IF($G3=0,0,I3/$G3)))</f>
        <v/>
      </c>
      <c r="K3" s="3">
        <f>IF($A3="","",IF($E3="","",IF(TODAY()&lt;$E3+60,"-",IF($D3="",SUMPRODUCT(('Picked Students (raw)'!$B$2:$B$824=$C3)*('Picked Students (raw)'!$C$2:$C$824&lt;&gt;"")*(('Picked Students (raw)'!$C$2:$C$824-$E3)&lt;60)),SUMPRODUCT(('Picked Students (raw)'!$B$2:$B$824=$C3)*('Picked Students (raw)'!$D$2:$D$824=$D3)*('Picked Students (raw)'!$C$2:$C$824&lt;&gt;"")*(('Picked Students (raw)'!$C$2:$C$824-$E3)&lt;60))))))</f>
        <v/>
      </c>
      <c r="L3" s="5">
        <f>IF($A3="","",IF(K3="-","-",IF($G3=0,0,K3/$G3)))</f>
        <v/>
      </c>
      <c r="M3" s="3">
        <f>IF($A3="","",IF($E3="","",IF(TODAY()&lt;$E3+90,"-",IF($D3="",SUMPRODUCT(('Picked Students (raw)'!$B$2:$B$824=$C3)*('Picked Students (raw)'!$C$2:$C$824&lt;&gt;"")*(('Picked Students (raw)'!$C$2:$C$824-$E3)&lt;90)),SUMPRODUCT(('Picked Students (raw)'!$B$2:$B$824=$C3)*('Picked Students (raw)'!$D$2:$D$824=$D3)*('Picked Students (raw)'!$C$2:$C$824&lt;&gt;"")*(('Picked Students (raw)'!$C$2:$C$824-$E3)&lt;90))))))</f>
        <v/>
      </c>
      <c r="N3" s="5">
        <f>IF($A3="","",IF(M3="-","-",IF($G3=0,0,M3/$G3)))</f>
        <v/>
      </c>
      <c r="O3" s="3">
        <f>IF($A3="","",IF($E3="","",IF(TODAY()&lt;$E3+120,"-",IF($D3="",SUMPRODUCT(('Picked Students (raw)'!$B$2:$B$824=$C3)*('Picked Students (raw)'!$C$2:$C$824&lt;&gt;"")*(('Picked Students (raw)'!$C$2:$C$824-$E3)&lt;120)),SUMPRODUCT(('Picked Students (raw)'!$B$2:$B$824=$C3)*('Picked Students (raw)'!$D$2:$D$824=$D3)*('Picked Students (raw)'!$C$2:$C$824&lt;&gt;"")*(('Picked Students (raw)'!$C$2:$C$824-$E3)&lt;120))))))</f>
        <v/>
      </c>
      <c r="P3" s="5">
        <f>IF($A3="","",IF(O3="-","-",IF($G3=0,0,O3/$G3)))</f>
        <v/>
      </c>
      <c r="Q3" s="3">
        <f>IF($A3="","",IF($E3="","",IF(TODAY()&lt;$E3+150,"-",IF($D3="",SUMPRODUCT(('Picked Students (raw)'!$B$2:$B$824=$C3)*('Picked Students (raw)'!$C$2:$C$824&lt;&gt;"")*(('Picked Students (raw)'!$C$2:$C$824-$E3)&lt;150)),SUMPRODUCT(('Picked Students (raw)'!$B$2:$B$824=$C3)*('Picked Students (raw)'!$D$2:$D$824=$D3)*('Picked Students (raw)'!$C$2:$C$824&lt;&gt;"")*(('Picked Students (raw)'!$C$2:$C$824-$E3)&lt;150))))))</f>
        <v/>
      </c>
      <c r="R3" s="5">
        <f>IF($A3="","",IF(Q3="-","-",IF($G3=0,0,Q3/$G3)))</f>
        <v/>
      </c>
      <c r="S3" s="3">
        <f>IF($A3="","",IF($E3="","",IF(TODAY()&lt;$E3+180,"-",IF($D3="",SUMPRODUCT(('Picked Students (raw)'!$B$2:$B$824=$C3)*('Picked Students (raw)'!$C$2:$C$824&lt;&gt;"")*(('Picked Students (raw)'!$C$2:$C$824-$E3)&lt;180)),SUMPRODUCT(('Picked Students (raw)'!$B$2:$B$824=$C3)*('Picked Students (raw)'!$D$2:$D$824=$D3)*('Picked Students (raw)'!$C$2:$C$824&lt;&gt;"")*(('Picked Students (raw)'!$C$2:$C$824-$E3)&lt;180))))))</f>
        <v/>
      </c>
      <c r="T3" s="5">
        <f>IF($A3="","",IF(S3="-","-",IF($G3=0,0,S3/$G3)))</f>
        <v/>
      </c>
      <c r="U3" s="3">
        <f>IF($A3="","",IF($E3="","",IF(TODAY()&lt;$E3+210,"-",IF($D3="",SUMPRODUCT(('Picked Students (raw)'!$B$2:$B$824=$C3)*('Picked Students (raw)'!$C$2:$C$824&lt;&gt;"")*(('Picked Students (raw)'!$C$2:$C$824-$E3)&lt;210)),SUMPRODUCT(('Picked Students (raw)'!$B$2:$B$824=$C3)*('Picked Students (raw)'!$D$2:$D$824=$D3)*('Picked Students (raw)'!$C$2:$C$824&lt;&gt;"")*(('Picked Students (raw)'!$C$2:$C$824-$E3)&lt;210))))))</f>
        <v/>
      </c>
      <c r="V3" s="5">
        <f>IF($A3="","",IF(U3="-","-",IF($G3=0,0,U3/$G3)))</f>
        <v/>
      </c>
      <c r="W3" s="3">
        <f>IF($A3="","",IF($E3="","",IF(TODAY()&lt;$E3+240,"-",IF($D3="",SUMPRODUCT(('Picked Students (raw)'!$B$2:$B$824=$C3)*('Picked Students (raw)'!$C$2:$C$824&lt;&gt;"")*(('Picked Students (raw)'!$C$2:$C$824-$E3)&lt;240)),SUMPRODUCT(('Picked Students (raw)'!$B$2:$B$824=$C3)*('Picked Students (raw)'!$D$2:$D$824=$D3)*('Picked Students (raw)'!$C$2:$C$824&lt;&gt;"")*(('Picked Students (raw)'!$C$2:$C$824-$E3)&lt;240))))))</f>
        <v/>
      </c>
      <c r="X3" s="5">
        <f>IF($A3="","",IF(W3="-","-",IF($G3=0,0,W3/$G3)))</f>
        <v/>
      </c>
      <c r="Y3" s="3">
        <f>IF($A3="","",IF($E3="","",IF(TODAY()&lt;$E3+270,"-",IF($D3="",SUMPRODUCT(('Picked Students (raw)'!$B$2:$B$824=$C3)*('Picked Students (raw)'!$C$2:$C$824&lt;&gt;"")*(('Picked Students (raw)'!$C$2:$C$824-$E3)&lt;270)),SUMPRODUCT(('Picked Students (raw)'!$B$2:$B$824=$C3)*('Picked Students (raw)'!$D$2:$D$824=$D3)*('Picked Students (raw)'!$C$2:$C$824&lt;&gt;"")*(('Picked Students (raw)'!$C$2:$C$824-$E3)&lt;270))))))</f>
        <v/>
      </c>
      <c r="Z3" s="5">
        <f>IF($A3="","",IF(Y3="-","-",IF($G3=0,0,Y3/$G3)))</f>
        <v/>
      </c>
      <c r="AA3" s="3">
        <f>IF($A3="","",IF($E3="","",IF(TODAY()&lt;$E3+300,"-",IF($D3="",SUMPRODUCT(('Picked Students (raw)'!$B$2:$B$824=$C3)*('Picked Students (raw)'!$C$2:$C$824&lt;&gt;"")*(('Picked Students (raw)'!$C$2:$C$824-$E3)&lt;300)),SUMPRODUCT(('Picked Students (raw)'!$B$2:$B$824=$C3)*('Picked Students (raw)'!$D$2:$D$824=$D3)*('Picked Students (raw)'!$C$2:$C$824&lt;&gt;"")*(('Picked Students (raw)'!$C$2:$C$824-$E3)&lt;300))))))</f>
        <v/>
      </c>
      <c r="AB3" s="5">
        <f>IF($A3="","",IF(AA3="-","-",IF($G3=0,0,AA3/$G3)))</f>
        <v/>
      </c>
      <c r="AC3" s="3">
        <f>IF($A3="","",IF($E3="","",IF(TODAY()&lt;$E3+330,"-",IF($D3="",SUMPRODUCT(('Picked Students (raw)'!$B$2:$B$824=$C3)*('Picked Students (raw)'!$C$2:$C$824&lt;&gt;"")*(('Picked Students (raw)'!$C$2:$C$824-$E3)&lt;330)),SUMPRODUCT(('Picked Students (raw)'!$B$2:$B$824=$C3)*('Picked Students (raw)'!$D$2:$D$824=$D3)*('Picked Students (raw)'!$C$2:$C$824&lt;&gt;"")*(('Picked Students (raw)'!$C$2:$C$824-$E3)&lt;330))))))</f>
        <v/>
      </c>
      <c r="AD3" s="5">
        <f>IF($A3="","",IF(AC3="-","-",IF($G3=0,0,AC3/$G3)))</f>
        <v/>
      </c>
      <c r="AE3" s="3">
        <f>IF($A3="","",IF($E3="","",IF(TODAY()&lt;$E3+360,"-",IF($D3="",SUMPRODUCT(('Picked Students (raw)'!$B$2:$B$824=$C3)*('Picked Students (raw)'!$C$2:$C$824&lt;&gt;"")*(('Picked Students (raw)'!$C$2:$C$824-$E3)&lt;360)),SUMPRODUCT(('Picked Students (raw)'!$B$2:$B$824=$C3)*('Picked Students (raw)'!$D$2:$D$824=$D3)*('Picked Students (raw)'!$C$2:$C$824&lt;&gt;"")*(('Picked Students (raw)'!$C$2:$C$824-$E3)&lt;360))))))</f>
        <v/>
      </c>
      <c r="AF3" s="5">
        <f>IF($A3="","",IF(AE3="-","-",IF($G3=0,0,AE3/$G3)))</f>
        <v/>
      </c>
      <c r="AG3" s="3">
        <f>IF($A3="","",IF($E3="","",IF(TODAY()&lt;$E3+390,"-",IF($D3="",SUMPRODUCT(('Picked Students (raw)'!$B$2:$B$824=$C3)*('Picked Students (raw)'!$C$2:$C$824&lt;&gt;"")*(('Picked Students (raw)'!$C$2:$C$824-$E3)&lt;390)),SUMPRODUCT(('Picked Students (raw)'!$B$2:$B$824=$C3)*('Picked Students (raw)'!$D$2:$D$824=$D3)*('Picked Students (raw)'!$C$2:$C$824&lt;&gt;"")*(('Picked Students (raw)'!$C$2:$C$824-$E3)&lt;390))))))</f>
        <v/>
      </c>
      <c r="AH3" s="5">
        <f>IF($A3="","",IF(AG3="-","-",IF($G3=0,0,AG3/$G3)))</f>
        <v/>
      </c>
      <c r="AI3" s="3">
        <f>IF($A3="","",IF($E3="","",IF(TODAY()&lt;$E3+420,"-",IF($D3="",SUMPRODUCT(('Picked Students (raw)'!$B$2:$B$824=$C3)*('Picked Students (raw)'!$C$2:$C$824&lt;&gt;"")*(('Picked Students (raw)'!$C$2:$C$824-$E3)&lt;420)),SUMPRODUCT(('Picked Students (raw)'!$B$2:$B$824=$C3)*('Picked Students (raw)'!$D$2:$D$824=$D3)*('Picked Students (raw)'!$C$2:$C$824&lt;&gt;"")*(('Picked Students (raw)'!$C$2:$C$824-$E3)&lt;420))))))</f>
        <v/>
      </c>
      <c r="AJ3" s="5">
        <f>IF($A3="","",IF(AI3="-","-",IF($G3=0,0,AI3/$G3)))</f>
        <v/>
      </c>
      <c r="AK3" s="3">
        <f>IF($A3="","",IF($E3="","",IF(TODAY()&lt;$E3+450,"-",IF($D3="",SUMPRODUCT(('Picked Students (raw)'!$B$2:$B$824=$C3)*('Picked Students (raw)'!$C$2:$C$824&lt;&gt;"")*(('Picked Students (raw)'!$C$2:$C$824-$E3)&lt;450)),SUMPRODUCT(('Picked Students (raw)'!$B$2:$B$824=$C3)*('Picked Students (raw)'!$D$2:$D$824=$D3)*('Picked Students (raw)'!$C$2:$C$824&lt;&gt;"")*(('Picked Students (raw)'!$C$2:$C$824-$E3)&lt;450))))))</f>
        <v/>
      </c>
      <c r="AL3" s="5">
        <f>IF($A3="","",IF(AK3="-","-",IF($G3=0,0,AK3/$G3)))</f>
        <v/>
      </c>
      <c r="AM3" s="3">
        <f>IF($A3="","",IF($E3="","",IF(TODAY()&lt;$E3+480,"-",IF($D3="",SUMPRODUCT(('Picked Students (raw)'!$B$2:$B$824=$C3)*('Picked Students (raw)'!$C$2:$C$824&lt;&gt;"")*(('Picked Students (raw)'!$C$2:$C$824-$E3)&lt;480)),SUMPRODUCT(('Picked Students (raw)'!$B$2:$B$824=$C3)*('Picked Students (raw)'!$D$2:$D$824=$D3)*('Picked Students (raw)'!$C$2:$C$824&lt;&gt;"")*(('Picked Students (raw)'!$C$2:$C$824-$E3)&lt;480))))))</f>
        <v/>
      </c>
      <c r="AN3" s="5">
        <f>IF($A3="","",IF(AM3="-","-",IF($G3=0,0,AM3/$G3)))</f>
        <v/>
      </c>
      <c r="AO3" s="3">
        <f>IF($A3="","",IF($E3="","",IF(TODAY()&lt;$E3+510,"-",IF($D3="",SUMPRODUCT(('Picked Students (raw)'!$B$2:$B$824=$C3)*('Picked Students (raw)'!$C$2:$C$824&lt;&gt;"")*(('Picked Students (raw)'!$C$2:$C$824-$E3)&lt;510)),SUMPRODUCT(('Picked Students (raw)'!$B$2:$B$824=$C3)*('Picked Students (raw)'!$D$2:$D$824=$D3)*('Picked Students (raw)'!$C$2:$C$824&lt;&gt;"")*(('Picked Students (raw)'!$C$2:$C$824-$E3)&lt;510))))))</f>
        <v/>
      </c>
      <c r="AP3" s="5">
        <f>IF($A3="","",IF(AO3="-","-",IF($G3=0,0,AO3/$G3)))</f>
        <v/>
      </c>
      <c r="AQ3" s="3">
        <f>IF($A3="","",IF($E3="","",IF(TODAY()&lt;$E3+540,"-",IF($D3="",SUMPRODUCT(('Picked Students (raw)'!$B$2:$B$824=$C3)*('Picked Students (raw)'!$C$2:$C$824&lt;&gt;"")*(('Picked Students (raw)'!$C$2:$C$824-$E3)&lt;540)),SUMPRODUCT(('Picked Students (raw)'!$B$2:$B$824=$C3)*('Picked Students (raw)'!$D$2:$D$824=$D3)*('Picked Students (raw)'!$C$2:$C$824&lt;&gt;"")*(('Picked Students (raw)'!$C$2:$C$824-$E3)&lt;540))))))</f>
        <v/>
      </c>
      <c r="AR3" s="5">
        <f>IF($A3="","",IF(AQ3="-","-",IF($G3=0,0,AQ3/$G3)))</f>
        <v/>
      </c>
      <c r="AS3" s="3">
        <f>IF($A3="","",IF(AQ3="-","-",$H3-AQ3))</f>
        <v/>
      </c>
    </row>
    <row r="4">
      <c r="A4" s="3" t="inlineStr">
        <is>
          <t>Professional Certificate Course In Data Science - June 2023</t>
        </is>
      </c>
      <c r="B4" s="3">
        <f>IF($A4="","",IFERROR(IF(INDEX('Batch Enrollment (Metabase)'!$C$2:$C$47,MATCH($A4,'Batch Enrollment (Metabase)'!$A$2:$A$47,0))="GEM","A",IF(INDEX('Batch Enrollment (Metabase)'!$C$2:$C$47,MATCH($A4,'Batch Enrollment (Metabase)'!$A$2:$A$47,0))="Non-GEM","B","")),""))</f>
        <v/>
      </c>
      <c r="C4" s="3">
        <f>IF($A4="","",IFERROR(INDEX('Batch Enrollment (Metabase)'!$B$2:$B$47,MATCH($A4,'Batch Enrollment (Metabase)'!$A$2:$A$47,0)),""))</f>
        <v/>
      </c>
      <c r="D4" s="3">
        <f>IF($A4="","",IFERROR(INDEX('Batch Enrollment (Metabase)'!$C$2:$C$47,MATCH($A4,'Batch Enrollment (Metabase)'!$A$2:$A$47,0)),""))</f>
        <v/>
      </c>
      <c r="E4" s="4">
        <f>IF($A4="","",IFERROR(INDEX('Batch Enrollment (Metabase)'!$D$2:$D$47,MATCH($A4,'Batch Enrollment (Metabase)'!$A$2:$A$47,0)),""))</f>
        <v/>
      </c>
      <c r="F4" s="3">
        <f>IF($A4="","",IFERROR(INDEX('Batch Enrollment (Metabase)'!$E$2:$E$47,MATCH($A4,'Batch Enrollment (Metabase)'!$A$2:$A$47,0)),""))</f>
        <v/>
      </c>
      <c r="G4" s="3">
        <f>IF($A4="","",IFERROR(INDEX('Batch Enrollment (Metabase)'!$F$2:$F$47,MATCH($A4,'Batch Enrollment (Metabase)'!$A$2:$A$47,0)),""))</f>
        <v/>
      </c>
      <c r="H4" s="3">
        <f>IF($A4="","",IF($D4="",COUNTIF('Picked Students (raw)'!$B$2:$B$824,$C4),COUNTIFS('Picked Students (raw)'!$B$2:$B$824,$C4,'Picked Students (raw)'!$D$2:$D$824,$D4)))</f>
        <v/>
      </c>
      <c r="I4" s="3">
        <f>IF($A4="","",IF($E4="","",IF(TODAY()&lt;$E4+30,"-",IF($D4="",SUMPRODUCT(('Picked Students (raw)'!$B$2:$B$824=$C4)*('Picked Students (raw)'!$C$2:$C$824&lt;&gt;"")*(('Picked Students (raw)'!$C$2:$C$824-$E4)&lt;30)),SUMPRODUCT(('Picked Students (raw)'!$B$2:$B$824=$C4)*('Picked Students (raw)'!$D$2:$D$824=$D4)*('Picked Students (raw)'!$C$2:$C$824&lt;&gt;"")*(('Picked Students (raw)'!$C$2:$C$824-$E4)&lt;30))))))</f>
        <v/>
      </c>
      <c r="J4" s="5">
        <f>IF($A4="","",IF(I4="-","-",IF($G4=0,0,I4/$G4)))</f>
        <v/>
      </c>
      <c r="K4" s="3">
        <f>IF($A4="","",IF($E4="","",IF(TODAY()&lt;$E4+60,"-",IF($D4="",SUMPRODUCT(('Picked Students (raw)'!$B$2:$B$824=$C4)*('Picked Students (raw)'!$C$2:$C$824&lt;&gt;"")*(('Picked Students (raw)'!$C$2:$C$824-$E4)&lt;60)),SUMPRODUCT(('Picked Students (raw)'!$B$2:$B$824=$C4)*('Picked Students (raw)'!$D$2:$D$824=$D4)*('Picked Students (raw)'!$C$2:$C$824&lt;&gt;"")*(('Picked Students (raw)'!$C$2:$C$824-$E4)&lt;60))))))</f>
        <v/>
      </c>
      <c r="L4" s="5">
        <f>IF($A4="","",IF(K4="-","-",IF($G4=0,0,K4/$G4)))</f>
        <v/>
      </c>
      <c r="M4" s="3">
        <f>IF($A4="","",IF($E4="","",IF(TODAY()&lt;$E4+90,"-",IF($D4="",SUMPRODUCT(('Picked Students (raw)'!$B$2:$B$824=$C4)*('Picked Students (raw)'!$C$2:$C$824&lt;&gt;"")*(('Picked Students (raw)'!$C$2:$C$824-$E4)&lt;90)),SUMPRODUCT(('Picked Students (raw)'!$B$2:$B$824=$C4)*('Picked Students (raw)'!$D$2:$D$824=$D4)*('Picked Students (raw)'!$C$2:$C$824&lt;&gt;"")*(('Picked Students (raw)'!$C$2:$C$824-$E4)&lt;90))))))</f>
        <v/>
      </c>
      <c r="N4" s="5">
        <f>IF($A4="","",IF(M4="-","-",IF($G4=0,0,M4/$G4)))</f>
        <v/>
      </c>
      <c r="O4" s="3">
        <f>IF($A4="","",IF($E4="","",IF(TODAY()&lt;$E4+120,"-",IF($D4="",SUMPRODUCT(('Picked Students (raw)'!$B$2:$B$824=$C4)*('Picked Students (raw)'!$C$2:$C$824&lt;&gt;"")*(('Picked Students (raw)'!$C$2:$C$824-$E4)&lt;120)),SUMPRODUCT(('Picked Students (raw)'!$B$2:$B$824=$C4)*('Picked Students (raw)'!$D$2:$D$824=$D4)*('Picked Students (raw)'!$C$2:$C$824&lt;&gt;"")*(('Picked Students (raw)'!$C$2:$C$824-$E4)&lt;120))))))</f>
        <v/>
      </c>
      <c r="P4" s="5">
        <f>IF($A4="","",IF(O4="-","-",IF($G4=0,0,O4/$G4)))</f>
        <v/>
      </c>
      <c r="Q4" s="3">
        <f>IF($A4="","",IF($E4="","",IF(TODAY()&lt;$E4+150,"-",IF($D4="",SUMPRODUCT(('Picked Students (raw)'!$B$2:$B$824=$C4)*('Picked Students (raw)'!$C$2:$C$824&lt;&gt;"")*(('Picked Students (raw)'!$C$2:$C$824-$E4)&lt;150)),SUMPRODUCT(('Picked Students (raw)'!$B$2:$B$824=$C4)*('Picked Students (raw)'!$D$2:$D$824=$D4)*('Picked Students (raw)'!$C$2:$C$824&lt;&gt;"")*(('Picked Students (raw)'!$C$2:$C$824-$E4)&lt;150))))))</f>
        <v/>
      </c>
      <c r="R4" s="5">
        <f>IF($A4="","",IF(Q4="-","-",IF($G4=0,0,Q4/$G4)))</f>
        <v/>
      </c>
      <c r="S4" s="3">
        <f>IF($A4="","",IF($E4="","",IF(TODAY()&lt;$E4+180,"-",IF($D4="",SUMPRODUCT(('Picked Students (raw)'!$B$2:$B$824=$C4)*('Picked Students (raw)'!$C$2:$C$824&lt;&gt;"")*(('Picked Students (raw)'!$C$2:$C$824-$E4)&lt;180)),SUMPRODUCT(('Picked Students (raw)'!$B$2:$B$824=$C4)*('Picked Students (raw)'!$D$2:$D$824=$D4)*('Picked Students (raw)'!$C$2:$C$824&lt;&gt;"")*(('Picked Students (raw)'!$C$2:$C$824-$E4)&lt;180))))))</f>
        <v/>
      </c>
      <c r="T4" s="5">
        <f>IF($A4="","",IF(S4="-","-",IF($G4=0,0,S4/$G4)))</f>
        <v/>
      </c>
      <c r="U4" s="3">
        <f>IF($A4="","",IF($E4="","",IF(TODAY()&lt;$E4+210,"-",IF($D4="",SUMPRODUCT(('Picked Students (raw)'!$B$2:$B$824=$C4)*('Picked Students (raw)'!$C$2:$C$824&lt;&gt;"")*(('Picked Students (raw)'!$C$2:$C$824-$E4)&lt;210)),SUMPRODUCT(('Picked Students (raw)'!$B$2:$B$824=$C4)*('Picked Students (raw)'!$D$2:$D$824=$D4)*('Picked Students (raw)'!$C$2:$C$824&lt;&gt;"")*(('Picked Students (raw)'!$C$2:$C$824-$E4)&lt;210))))))</f>
        <v/>
      </c>
      <c r="V4" s="5">
        <f>IF($A4="","",IF(U4="-","-",IF($G4=0,0,U4/$G4)))</f>
        <v/>
      </c>
      <c r="W4" s="3">
        <f>IF($A4="","",IF($E4="","",IF(TODAY()&lt;$E4+240,"-",IF($D4="",SUMPRODUCT(('Picked Students (raw)'!$B$2:$B$824=$C4)*('Picked Students (raw)'!$C$2:$C$824&lt;&gt;"")*(('Picked Students (raw)'!$C$2:$C$824-$E4)&lt;240)),SUMPRODUCT(('Picked Students (raw)'!$B$2:$B$824=$C4)*('Picked Students (raw)'!$D$2:$D$824=$D4)*('Picked Students (raw)'!$C$2:$C$824&lt;&gt;"")*(('Picked Students (raw)'!$C$2:$C$824-$E4)&lt;240))))))</f>
        <v/>
      </c>
      <c r="X4" s="5">
        <f>IF($A4="","",IF(W4="-","-",IF($G4=0,0,W4/$G4)))</f>
        <v/>
      </c>
      <c r="Y4" s="3">
        <f>IF($A4="","",IF($E4="","",IF(TODAY()&lt;$E4+270,"-",IF($D4="",SUMPRODUCT(('Picked Students (raw)'!$B$2:$B$824=$C4)*('Picked Students (raw)'!$C$2:$C$824&lt;&gt;"")*(('Picked Students (raw)'!$C$2:$C$824-$E4)&lt;270)),SUMPRODUCT(('Picked Students (raw)'!$B$2:$B$824=$C4)*('Picked Students (raw)'!$D$2:$D$824=$D4)*('Picked Students (raw)'!$C$2:$C$824&lt;&gt;"")*(('Picked Students (raw)'!$C$2:$C$824-$E4)&lt;270))))))</f>
        <v/>
      </c>
      <c r="Z4" s="5">
        <f>IF($A4="","",IF(Y4="-","-",IF($G4=0,0,Y4/$G4)))</f>
        <v/>
      </c>
      <c r="AA4" s="3">
        <f>IF($A4="","",IF($E4="","",IF(TODAY()&lt;$E4+300,"-",IF($D4="",SUMPRODUCT(('Picked Students (raw)'!$B$2:$B$824=$C4)*('Picked Students (raw)'!$C$2:$C$824&lt;&gt;"")*(('Picked Students (raw)'!$C$2:$C$824-$E4)&lt;300)),SUMPRODUCT(('Picked Students (raw)'!$B$2:$B$824=$C4)*('Picked Students (raw)'!$D$2:$D$824=$D4)*('Picked Students (raw)'!$C$2:$C$824&lt;&gt;"")*(('Picked Students (raw)'!$C$2:$C$824-$E4)&lt;300))))))</f>
        <v/>
      </c>
      <c r="AB4" s="5">
        <f>IF($A4="","",IF(AA4="-","-",IF($G4=0,0,AA4/$G4)))</f>
        <v/>
      </c>
      <c r="AC4" s="3">
        <f>IF($A4="","",IF($E4="","",IF(TODAY()&lt;$E4+330,"-",IF($D4="",SUMPRODUCT(('Picked Students (raw)'!$B$2:$B$824=$C4)*('Picked Students (raw)'!$C$2:$C$824&lt;&gt;"")*(('Picked Students (raw)'!$C$2:$C$824-$E4)&lt;330)),SUMPRODUCT(('Picked Students (raw)'!$B$2:$B$824=$C4)*('Picked Students (raw)'!$D$2:$D$824=$D4)*('Picked Students (raw)'!$C$2:$C$824&lt;&gt;"")*(('Picked Students (raw)'!$C$2:$C$824-$E4)&lt;330))))))</f>
        <v/>
      </c>
      <c r="AD4" s="5">
        <f>IF($A4="","",IF(AC4="-","-",IF($G4=0,0,AC4/$G4)))</f>
        <v/>
      </c>
      <c r="AE4" s="3">
        <f>IF($A4="","",IF($E4="","",IF(TODAY()&lt;$E4+360,"-",IF($D4="",SUMPRODUCT(('Picked Students (raw)'!$B$2:$B$824=$C4)*('Picked Students (raw)'!$C$2:$C$824&lt;&gt;"")*(('Picked Students (raw)'!$C$2:$C$824-$E4)&lt;360)),SUMPRODUCT(('Picked Students (raw)'!$B$2:$B$824=$C4)*('Picked Students (raw)'!$D$2:$D$824=$D4)*('Picked Students (raw)'!$C$2:$C$824&lt;&gt;"")*(('Picked Students (raw)'!$C$2:$C$824-$E4)&lt;360))))))</f>
        <v/>
      </c>
      <c r="AF4" s="5">
        <f>IF($A4="","",IF(AE4="-","-",IF($G4=0,0,AE4/$G4)))</f>
        <v/>
      </c>
      <c r="AG4" s="3">
        <f>IF($A4="","",IF($E4="","",IF(TODAY()&lt;$E4+390,"-",IF($D4="",SUMPRODUCT(('Picked Students (raw)'!$B$2:$B$824=$C4)*('Picked Students (raw)'!$C$2:$C$824&lt;&gt;"")*(('Picked Students (raw)'!$C$2:$C$824-$E4)&lt;390)),SUMPRODUCT(('Picked Students (raw)'!$B$2:$B$824=$C4)*('Picked Students (raw)'!$D$2:$D$824=$D4)*('Picked Students (raw)'!$C$2:$C$824&lt;&gt;"")*(('Picked Students (raw)'!$C$2:$C$824-$E4)&lt;390))))))</f>
        <v/>
      </c>
      <c r="AH4" s="5">
        <f>IF($A4="","",IF(AG4="-","-",IF($G4=0,0,AG4/$G4)))</f>
        <v/>
      </c>
      <c r="AI4" s="3">
        <f>IF($A4="","",IF($E4="","",IF(TODAY()&lt;$E4+420,"-",IF($D4="",SUMPRODUCT(('Picked Students (raw)'!$B$2:$B$824=$C4)*('Picked Students (raw)'!$C$2:$C$824&lt;&gt;"")*(('Picked Students (raw)'!$C$2:$C$824-$E4)&lt;420)),SUMPRODUCT(('Picked Students (raw)'!$B$2:$B$824=$C4)*('Picked Students (raw)'!$D$2:$D$824=$D4)*('Picked Students (raw)'!$C$2:$C$824&lt;&gt;"")*(('Picked Students (raw)'!$C$2:$C$824-$E4)&lt;420))))))</f>
        <v/>
      </c>
      <c r="AJ4" s="5">
        <f>IF($A4="","",IF(AI4="-","-",IF($G4=0,0,AI4/$G4)))</f>
        <v/>
      </c>
      <c r="AK4" s="3">
        <f>IF($A4="","",IF($E4="","",IF(TODAY()&lt;$E4+450,"-",IF($D4="",SUMPRODUCT(('Picked Students (raw)'!$B$2:$B$824=$C4)*('Picked Students (raw)'!$C$2:$C$824&lt;&gt;"")*(('Picked Students (raw)'!$C$2:$C$824-$E4)&lt;450)),SUMPRODUCT(('Picked Students (raw)'!$B$2:$B$824=$C4)*('Picked Students (raw)'!$D$2:$D$824=$D4)*('Picked Students (raw)'!$C$2:$C$824&lt;&gt;"")*(('Picked Students (raw)'!$C$2:$C$824-$E4)&lt;450))))))</f>
        <v/>
      </c>
      <c r="AL4" s="5">
        <f>IF($A4="","",IF(AK4="-","-",IF($G4=0,0,AK4/$G4)))</f>
        <v/>
      </c>
      <c r="AM4" s="3">
        <f>IF($A4="","",IF($E4="","",IF(TODAY()&lt;$E4+480,"-",IF($D4="",SUMPRODUCT(('Picked Students (raw)'!$B$2:$B$824=$C4)*('Picked Students (raw)'!$C$2:$C$824&lt;&gt;"")*(('Picked Students (raw)'!$C$2:$C$824-$E4)&lt;480)),SUMPRODUCT(('Picked Students (raw)'!$B$2:$B$824=$C4)*('Picked Students (raw)'!$D$2:$D$824=$D4)*('Picked Students (raw)'!$C$2:$C$824&lt;&gt;"")*(('Picked Students (raw)'!$C$2:$C$824-$E4)&lt;480))))))</f>
        <v/>
      </c>
      <c r="AN4" s="5">
        <f>IF($A4="","",IF(AM4="-","-",IF($G4=0,0,AM4/$G4)))</f>
        <v/>
      </c>
      <c r="AO4" s="3">
        <f>IF($A4="","",IF($E4="","",IF(TODAY()&lt;$E4+510,"-",IF($D4="",SUMPRODUCT(('Picked Students (raw)'!$B$2:$B$824=$C4)*('Picked Students (raw)'!$C$2:$C$824&lt;&gt;"")*(('Picked Students (raw)'!$C$2:$C$824-$E4)&lt;510)),SUMPRODUCT(('Picked Students (raw)'!$B$2:$B$824=$C4)*('Picked Students (raw)'!$D$2:$D$824=$D4)*('Picked Students (raw)'!$C$2:$C$824&lt;&gt;"")*(('Picked Students (raw)'!$C$2:$C$824-$E4)&lt;510))))))</f>
        <v/>
      </c>
      <c r="AP4" s="5">
        <f>IF($A4="","",IF(AO4="-","-",IF($G4=0,0,AO4/$G4)))</f>
        <v/>
      </c>
      <c r="AQ4" s="3">
        <f>IF($A4="","",IF($E4="","",IF(TODAY()&lt;$E4+540,"-",IF($D4="",SUMPRODUCT(('Picked Students (raw)'!$B$2:$B$824=$C4)*('Picked Students (raw)'!$C$2:$C$824&lt;&gt;"")*(('Picked Students (raw)'!$C$2:$C$824-$E4)&lt;540)),SUMPRODUCT(('Picked Students (raw)'!$B$2:$B$824=$C4)*('Picked Students (raw)'!$D$2:$D$824=$D4)*('Picked Students (raw)'!$C$2:$C$824&lt;&gt;"")*(('Picked Students (raw)'!$C$2:$C$824-$E4)&lt;540))))))</f>
        <v/>
      </c>
      <c r="AR4" s="5">
        <f>IF($A4="","",IF(AQ4="-","-",IF($G4=0,0,AQ4/$G4)))</f>
        <v/>
      </c>
      <c r="AS4" s="3">
        <f>IF($A4="","",IF(AQ4="-","-",$H4-AQ4))</f>
        <v/>
      </c>
    </row>
    <row r="5">
      <c r="A5" s="3" t="inlineStr">
        <is>
          <t>Professional Certificate Course In Data Science - July 2023</t>
        </is>
      </c>
      <c r="B5" s="3">
        <f>IF($A5="","",IFERROR(IF(INDEX('Batch Enrollment (Metabase)'!$C$2:$C$47,MATCH($A5,'Batch Enrollment (Metabase)'!$A$2:$A$47,0))="GEM","A",IF(INDEX('Batch Enrollment (Metabase)'!$C$2:$C$47,MATCH($A5,'Batch Enrollment (Metabase)'!$A$2:$A$47,0))="Non-GEM","B","")),""))</f>
        <v/>
      </c>
      <c r="C5" s="3">
        <f>IF($A5="","",IFERROR(INDEX('Batch Enrollment (Metabase)'!$B$2:$B$47,MATCH($A5,'Batch Enrollment (Metabase)'!$A$2:$A$47,0)),""))</f>
        <v/>
      </c>
      <c r="D5" s="3">
        <f>IF($A5="","",IFERROR(INDEX('Batch Enrollment (Metabase)'!$C$2:$C$47,MATCH($A5,'Batch Enrollment (Metabase)'!$A$2:$A$47,0)),""))</f>
        <v/>
      </c>
      <c r="E5" s="4">
        <f>IF($A5="","",IFERROR(INDEX('Batch Enrollment (Metabase)'!$D$2:$D$47,MATCH($A5,'Batch Enrollment (Metabase)'!$A$2:$A$47,0)),""))</f>
        <v/>
      </c>
      <c r="F5" s="3">
        <f>IF($A5="","",IFERROR(INDEX('Batch Enrollment (Metabase)'!$E$2:$E$47,MATCH($A5,'Batch Enrollment (Metabase)'!$A$2:$A$47,0)),""))</f>
        <v/>
      </c>
      <c r="G5" s="3">
        <f>IF($A5="","",IFERROR(INDEX('Batch Enrollment (Metabase)'!$F$2:$F$47,MATCH($A5,'Batch Enrollment (Metabase)'!$A$2:$A$47,0)),""))</f>
        <v/>
      </c>
      <c r="H5" s="3">
        <f>IF($A5="","",IF($D5="",COUNTIF('Picked Students (raw)'!$B$2:$B$824,$C5),COUNTIFS('Picked Students (raw)'!$B$2:$B$824,$C5,'Picked Students (raw)'!$D$2:$D$824,$D5)))</f>
        <v/>
      </c>
      <c r="I5" s="3">
        <f>IF($A5="","",IF($E5="","",IF(TODAY()&lt;$E5+30,"-",IF($D5="",SUMPRODUCT(('Picked Students (raw)'!$B$2:$B$824=$C5)*('Picked Students (raw)'!$C$2:$C$824&lt;&gt;"")*(('Picked Students (raw)'!$C$2:$C$824-$E5)&lt;30)),SUMPRODUCT(('Picked Students (raw)'!$B$2:$B$824=$C5)*('Picked Students (raw)'!$D$2:$D$824=$D5)*('Picked Students (raw)'!$C$2:$C$824&lt;&gt;"")*(('Picked Students (raw)'!$C$2:$C$824-$E5)&lt;30))))))</f>
        <v/>
      </c>
      <c r="J5" s="5">
        <f>IF($A5="","",IF(I5="-","-",IF($G5=0,0,I5/$G5)))</f>
        <v/>
      </c>
      <c r="K5" s="3">
        <f>IF($A5="","",IF($E5="","",IF(TODAY()&lt;$E5+60,"-",IF($D5="",SUMPRODUCT(('Picked Students (raw)'!$B$2:$B$824=$C5)*('Picked Students (raw)'!$C$2:$C$824&lt;&gt;"")*(('Picked Students (raw)'!$C$2:$C$824-$E5)&lt;60)),SUMPRODUCT(('Picked Students (raw)'!$B$2:$B$824=$C5)*('Picked Students (raw)'!$D$2:$D$824=$D5)*('Picked Students (raw)'!$C$2:$C$824&lt;&gt;"")*(('Picked Students (raw)'!$C$2:$C$824-$E5)&lt;60))))))</f>
        <v/>
      </c>
      <c r="L5" s="5">
        <f>IF($A5="","",IF(K5="-","-",IF($G5=0,0,K5/$G5)))</f>
        <v/>
      </c>
      <c r="M5" s="3">
        <f>IF($A5="","",IF($E5="","",IF(TODAY()&lt;$E5+90,"-",IF($D5="",SUMPRODUCT(('Picked Students (raw)'!$B$2:$B$824=$C5)*('Picked Students (raw)'!$C$2:$C$824&lt;&gt;"")*(('Picked Students (raw)'!$C$2:$C$824-$E5)&lt;90)),SUMPRODUCT(('Picked Students (raw)'!$B$2:$B$824=$C5)*('Picked Students (raw)'!$D$2:$D$824=$D5)*('Picked Students (raw)'!$C$2:$C$824&lt;&gt;"")*(('Picked Students (raw)'!$C$2:$C$824-$E5)&lt;90))))))</f>
        <v/>
      </c>
      <c r="N5" s="5">
        <f>IF($A5="","",IF(M5="-","-",IF($G5=0,0,M5/$G5)))</f>
        <v/>
      </c>
      <c r="O5" s="3">
        <f>IF($A5="","",IF($E5="","",IF(TODAY()&lt;$E5+120,"-",IF($D5="",SUMPRODUCT(('Picked Students (raw)'!$B$2:$B$824=$C5)*('Picked Students (raw)'!$C$2:$C$824&lt;&gt;"")*(('Picked Students (raw)'!$C$2:$C$824-$E5)&lt;120)),SUMPRODUCT(('Picked Students (raw)'!$B$2:$B$824=$C5)*('Picked Students (raw)'!$D$2:$D$824=$D5)*('Picked Students (raw)'!$C$2:$C$824&lt;&gt;"")*(('Picked Students (raw)'!$C$2:$C$824-$E5)&lt;120))))))</f>
        <v/>
      </c>
      <c r="P5" s="5">
        <f>IF($A5="","",IF(O5="-","-",IF($G5=0,0,O5/$G5)))</f>
        <v/>
      </c>
      <c r="Q5" s="3">
        <f>IF($A5="","",IF($E5="","",IF(TODAY()&lt;$E5+150,"-",IF($D5="",SUMPRODUCT(('Picked Students (raw)'!$B$2:$B$824=$C5)*('Picked Students (raw)'!$C$2:$C$824&lt;&gt;"")*(('Picked Students (raw)'!$C$2:$C$824-$E5)&lt;150)),SUMPRODUCT(('Picked Students (raw)'!$B$2:$B$824=$C5)*('Picked Students (raw)'!$D$2:$D$824=$D5)*('Picked Students (raw)'!$C$2:$C$824&lt;&gt;"")*(('Picked Students (raw)'!$C$2:$C$824-$E5)&lt;150))))))</f>
        <v/>
      </c>
      <c r="R5" s="5">
        <f>IF($A5="","",IF(Q5="-","-",IF($G5=0,0,Q5/$G5)))</f>
        <v/>
      </c>
      <c r="S5" s="3">
        <f>IF($A5="","",IF($E5="","",IF(TODAY()&lt;$E5+180,"-",IF($D5="",SUMPRODUCT(('Picked Students (raw)'!$B$2:$B$824=$C5)*('Picked Students (raw)'!$C$2:$C$824&lt;&gt;"")*(('Picked Students (raw)'!$C$2:$C$824-$E5)&lt;180)),SUMPRODUCT(('Picked Students (raw)'!$B$2:$B$824=$C5)*('Picked Students (raw)'!$D$2:$D$824=$D5)*('Picked Students (raw)'!$C$2:$C$824&lt;&gt;"")*(('Picked Students (raw)'!$C$2:$C$824-$E5)&lt;180))))))</f>
        <v/>
      </c>
      <c r="T5" s="5">
        <f>IF($A5="","",IF(S5="-","-",IF($G5=0,0,S5/$G5)))</f>
        <v/>
      </c>
      <c r="U5" s="3">
        <f>IF($A5="","",IF($E5="","",IF(TODAY()&lt;$E5+210,"-",IF($D5="",SUMPRODUCT(('Picked Students (raw)'!$B$2:$B$824=$C5)*('Picked Students (raw)'!$C$2:$C$824&lt;&gt;"")*(('Picked Students (raw)'!$C$2:$C$824-$E5)&lt;210)),SUMPRODUCT(('Picked Students (raw)'!$B$2:$B$824=$C5)*('Picked Students (raw)'!$D$2:$D$824=$D5)*('Picked Students (raw)'!$C$2:$C$824&lt;&gt;"")*(('Picked Students (raw)'!$C$2:$C$824-$E5)&lt;210))))))</f>
        <v/>
      </c>
      <c r="V5" s="5">
        <f>IF($A5="","",IF(U5="-","-",IF($G5=0,0,U5/$G5)))</f>
        <v/>
      </c>
      <c r="W5" s="3">
        <f>IF($A5="","",IF($E5="","",IF(TODAY()&lt;$E5+240,"-",IF($D5="",SUMPRODUCT(('Picked Students (raw)'!$B$2:$B$824=$C5)*('Picked Students (raw)'!$C$2:$C$824&lt;&gt;"")*(('Picked Students (raw)'!$C$2:$C$824-$E5)&lt;240)),SUMPRODUCT(('Picked Students (raw)'!$B$2:$B$824=$C5)*('Picked Students (raw)'!$D$2:$D$824=$D5)*('Picked Students (raw)'!$C$2:$C$824&lt;&gt;"")*(('Picked Students (raw)'!$C$2:$C$824-$E5)&lt;240))))))</f>
        <v/>
      </c>
      <c r="X5" s="5">
        <f>IF($A5="","",IF(W5="-","-",IF($G5=0,0,W5/$G5)))</f>
        <v/>
      </c>
      <c r="Y5" s="3">
        <f>IF($A5="","",IF($E5="","",IF(TODAY()&lt;$E5+270,"-",IF($D5="",SUMPRODUCT(('Picked Students (raw)'!$B$2:$B$824=$C5)*('Picked Students (raw)'!$C$2:$C$824&lt;&gt;"")*(('Picked Students (raw)'!$C$2:$C$824-$E5)&lt;270)),SUMPRODUCT(('Picked Students (raw)'!$B$2:$B$824=$C5)*('Picked Students (raw)'!$D$2:$D$824=$D5)*('Picked Students (raw)'!$C$2:$C$824&lt;&gt;"")*(('Picked Students (raw)'!$C$2:$C$824-$E5)&lt;270))))))</f>
        <v/>
      </c>
      <c r="Z5" s="5">
        <f>IF($A5="","",IF(Y5="-","-",IF($G5=0,0,Y5/$G5)))</f>
        <v/>
      </c>
      <c r="AA5" s="3">
        <f>IF($A5="","",IF($E5="","",IF(TODAY()&lt;$E5+300,"-",IF($D5="",SUMPRODUCT(('Picked Students (raw)'!$B$2:$B$824=$C5)*('Picked Students (raw)'!$C$2:$C$824&lt;&gt;"")*(('Picked Students (raw)'!$C$2:$C$824-$E5)&lt;300)),SUMPRODUCT(('Picked Students (raw)'!$B$2:$B$824=$C5)*('Picked Students (raw)'!$D$2:$D$824=$D5)*('Picked Students (raw)'!$C$2:$C$824&lt;&gt;"")*(('Picked Students (raw)'!$C$2:$C$824-$E5)&lt;300))))))</f>
        <v/>
      </c>
      <c r="AB5" s="5">
        <f>IF($A5="","",IF(AA5="-","-",IF($G5=0,0,AA5/$G5)))</f>
        <v/>
      </c>
      <c r="AC5" s="3">
        <f>IF($A5="","",IF($E5="","",IF(TODAY()&lt;$E5+330,"-",IF($D5="",SUMPRODUCT(('Picked Students (raw)'!$B$2:$B$824=$C5)*('Picked Students (raw)'!$C$2:$C$824&lt;&gt;"")*(('Picked Students (raw)'!$C$2:$C$824-$E5)&lt;330)),SUMPRODUCT(('Picked Students (raw)'!$B$2:$B$824=$C5)*('Picked Students (raw)'!$D$2:$D$824=$D5)*('Picked Students (raw)'!$C$2:$C$824&lt;&gt;"")*(('Picked Students (raw)'!$C$2:$C$824-$E5)&lt;330))))))</f>
        <v/>
      </c>
      <c r="AD5" s="5">
        <f>IF($A5="","",IF(AC5="-","-",IF($G5=0,0,AC5/$G5)))</f>
        <v/>
      </c>
      <c r="AE5" s="3">
        <f>IF($A5="","",IF($E5="","",IF(TODAY()&lt;$E5+360,"-",IF($D5="",SUMPRODUCT(('Picked Students (raw)'!$B$2:$B$824=$C5)*('Picked Students (raw)'!$C$2:$C$824&lt;&gt;"")*(('Picked Students (raw)'!$C$2:$C$824-$E5)&lt;360)),SUMPRODUCT(('Picked Students (raw)'!$B$2:$B$824=$C5)*('Picked Students (raw)'!$D$2:$D$824=$D5)*('Picked Students (raw)'!$C$2:$C$824&lt;&gt;"")*(('Picked Students (raw)'!$C$2:$C$824-$E5)&lt;360))))))</f>
        <v/>
      </c>
      <c r="AF5" s="5">
        <f>IF($A5="","",IF(AE5="-","-",IF($G5=0,0,AE5/$G5)))</f>
        <v/>
      </c>
      <c r="AG5" s="3">
        <f>IF($A5="","",IF($E5="","",IF(TODAY()&lt;$E5+390,"-",IF($D5="",SUMPRODUCT(('Picked Students (raw)'!$B$2:$B$824=$C5)*('Picked Students (raw)'!$C$2:$C$824&lt;&gt;"")*(('Picked Students (raw)'!$C$2:$C$824-$E5)&lt;390)),SUMPRODUCT(('Picked Students (raw)'!$B$2:$B$824=$C5)*('Picked Students (raw)'!$D$2:$D$824=$D5)*('Picked Students (raw)'!$C$2:$C$824&lt;&gt;"")*(('Picked Students (raw)'!$C$2:$C$824-$E5)&lt;390))))))</f>
        <v/>
      </c>
      <c r="AH5" s="5">
        <f>IF($A5="","",IF(AG5="-","-",IF($G5=0,0,AG5/$G5)))</f>
        <v/>
      </c>
      <c r="AI5" s="3">
        <f>IF($A5="","",IF($E5="","",IF(TODAY()&lt;$E5+420,"-",IF($D5="",SUMPRODUCT(('Picked Students (raw)'!$B$2:$B$824=$C5)*('Picked Students (raw)'!$C$2:$C$824&lt;&gt;"")*(('Picked Students (raw)'!$C$2:$C$824-$E5)&lt;420)),SUMPRODUCT(('Picked Students (raw)'!$B$2:$B$824=$C5)*('Picked Students (raw)'!$D$2:$D$824=$D5)*('Picked Students (raw)'!$C$2:$C$824&lt;&gt;"")*(('Picked Students (raw)'!$C$2:$C$824-$E5)&lt;420))))))</f>
        <v/>
      </c>
      <c r="AJ5" s="5">
        <f>IF($A5="","",IF(AI5="-","-",IF($G5=0,0,AI5/$G5)))</f>
        <v/>
      </c>
      <c r="AK5" s="3">
        <f>IF($A5="","",IF($E5="","",IF(TODAY()&lt;$E5+450,"-",IF($D5="",SUMPRODUCT(('Picked Students (raw)'!$B$2:$B$824=$C5)*('Picked Students (raw)'!$C$2:$C$824&lt;&gt;"")*(('Picked Students (raw)'!$C$2:$C$824-$E5)&lt;450)),SUMPRODUCT(('Picked Students (raw)'!$B$2:$B$824=$C5)*('Picked Students (raw)'!$D$2:$D$824=$D5)*('Picked Students (raw)'!$C$2:$C$824&lt;&gt;"")*(('Picked Students (raw)'!$C$2:$C$824-$E5)&lt;450))))))</f>
        <v/>
      </c>
      <c r="AL5" s="5">
        <f>IF($A5="","",IF(AK5="-","-",IF($G5=0,0,AK5/$G5)))</f>
        <v/>
      </c>
      <c r="AM5" s="3">
        <f>IF($A5="","",IF($E5="","",IF(TODAY()&lt;$E5+480,"-",IF($D5="",SUMPRODUCT(('Picked Students (raw)'!$B$2:$B$824=$C5)*('Picked Students (raw)'!$C$2:$C$824&lt;&gt;"")*(('Picked Students (raw)'!$C$2:$C$824-$E5)&lt;480)),SUMPRODUCT(('Picked Students (raw)'!$B$2:$B$824=$C5)*('Picked Students (raw)'!$D$2:$D$824=$D5)*('Picked Students (raw)'!$C$2:$C$824&lt;&gt;"")*(('Picked Students (raw)'!$C$2:$C$824-$E5)&lt;480))))))</f>
        <v/>
      </c>
      <c r="AN5" s="5">
        <f>IF($A5="","",IF(AM5="-","-",IF($G5=0,0,AM5/$G5)))</f>
        <v/>
      </c>
      <c r="AO5" s="3">
        <f>IF($A5="","",IF($E5="","",IF(TODAY()&lt;$E5+510,"-",IF($D5="",SUMPRODUCT(('Picked Students (raw)'!$B$2:$B$824=$C5)*('Picked Students (raw)'!$C$2:$C$824&lt;&gt;"")*(('Picked Students (raw)'!$C$2:$C$824-$E5)&lt;510)),SUMPRODUCT(('Picked Students (raw)'!$B$2:$B$824=$C5)*('Picked Students (raw)'!$D$2:$D$824=$D5)*('Picked Students (raw)'!$C$2:$C$824&lt;&gt;"")*(('Picked Students (raw)'!$C$2:$C$824-$E5)&lt;510))))))</f>
        <v/>
      </c>
      <c r="AP5" s="5">
        <f>IF($A5="","",IF(AO5="-","-",IF($G5=0,0,AO5/$G5)))</f>
        <v/>
      </c>
      <c r="AQ5" s="3">
        <f>IF($A5="","",IF($E5="","",IF(TODAY()&lt;$E5+540,"-",IF($D5="",SUMPRODUCT(('Picked Students (raw)'!$B$2:$B$824=$C5)*('Picked Students (raw)'!$C$2:$C$824&lt;&gt;"")*(('Picked Students (raw)'!$C$2:$C$824-$E5)&lt;540)),SUMPRODUCT(('Picked Students (raw)'!$B$2:$B$824=$C5)*('Picked Students (raw)'!$D$2:$D$824=$D5)*('Picked Students (raw)'!$C$2:$C$824&lt;&gt;"")*(('Picked Students (raw)'!$C$2:$C$824-$E5)&lt;540))))))</f>
        <v/>
      </c>
      <c r="AR5" s="5">
        <f>IF($A5="","",IF(AQ5="-","-",IF($G5=0,0,AQ5/$G5)))</f>
        <v/>
      </c>
      <c r="AS5" s="3">
        <f>IF($A5="","",IF(AQ5="-","-",$H5-AQ5))</f>
        <v/>
      </c>
    </row>
    <row r="6">
      <c r="A6" s="3" t="inlineStr">
        <is>
          <t>Professional Certificate Course In Data Science - July 2023 - August 2023</t>
        </is>
      </c>
      <c r="B6" s="3">
        <f>IF($A6="","",IFERROR(IF(INDEX('Batch Enrollment (Metabase)'!$C$2:$C$47,MATCH($A6,'Batch Enrollment (Metabase)'!$A$2:$A$47,0))="GEM","A",IF(INDEX('Batch Enrollment (Metabase)'!$C$2:$C$47,MATCH($A6,'Batch Enrollment (Metabase)'!$A$2:$A$47,0))="Non-GEM","B","")),""))</f>
        <v/>
      </c>
      <c r="C6" s="3">
        <f>IF($A6="","",IFERROR(INDEX('Batch Enrollment (Metabase)'!$B$2:$B$47,MATCH($A6,'Batch Enrollment (Metabase)'!$A$2:$A$47,0)),""))</f>
        <v/>
      </c>
      <c r="D6" s="3">
        <f>IF($A6="","",IFERROR(INDEX('Batch Enrollment (Metabase)'!$C$2:$C$47,MATCH($A6,'Batch Enrollment (Metabase)'!$A$2:$A$47,0)),""))</f>
        <v/>
      </c>
      <c r="E6" s="4">
        <f>IF($A6="","",IFERROR(INDEX('Batch Enrollment (Metabase)'!$D$2:$D$47,MATCH($A6,'Batch Enrollment (Metabase)'!$A$2:$A$47,0)),""))</f>
        <v/>
      </c>
      <c r="F6" s="3">
        <f>IF($A6="","",IFERROR(INDEX('Batch Enrollment (Metabase)'!$E$2:$E$47,MATCH($A6,'Batch Enrollment (Metabase)'!$A$2:$A$47,0)),""))</f>
        <v/>
      </c>
      <c r="G6" s="3">
        <f>IF($A6="","",IFERROR(INDEX('Batch Enrollment (Metabase)'!$F$2:$F$47,MATCH($A6,'Batch Enrollment (Metabase)'!$A$2:$A$47,0)),""))</f>
        <v/>
      </c>
      <c r="H6" s="3">
        <f>IF($A6="","",IF($D6="",COUNTIF('Picked Students (raw)'!$B$2:$B$824,$C6),COUNTIFS('Picked Students (raw)'!$B$2:$B$824,$C6,'Picked Students (raw)'!$D$2:$D$824,$D6)))</f>
        <v/>
      </c>
      <c r="I6" s="3">
        <f>IF($A6="","",IF($E6="","",IF(TODAY()&lt;$E6+30,"-",IF($D6="",SUMPRODUCT(('Picked Students (raw)'!$B$2:$B$824=$C6)*('Picked Students (raw)'!$C$2:$C$824&lt;&gt;"")*(('Picked Students (raw)'!$C$2:$C$824-$E6)&lt;30)),SUMPRODUCT(('Picked Students (raw)'!$B$2:$B$824=$C6)*('Picked Students (raw)'!$D$2:$D$824=$D6)*('Picked Students (raw)'!$C$2:$C$824&lt;&gt;"")*(('Picked Students (raw)'!$C$2:$C$824-$E6)&lt;30))))))</f>
        <v/>
      </c>
      <c r="J6" s="5">
        <f>IF($A6="","",IF(I6="-","-",IF($G6=0,0,I6/$G6)))</f>
        <v/>
      </c>
      <c r="K6" s="3">
        <f>IF($A6="","",IF($E6="","",IF(TODAY()&lt;$E6+60,"-",IF($D6="",SUMPRODUCT(('Picked Students (raw)'!$B$2:$B$824=$C6)*('Picked Students (raw)'!$C$2:$C$824&lt;&gt;"")*(('Picked Students (raw)'!$C$2:$C$824-$E6)&lt;60)),SUMPRODUCT(('Picked Students (raw)'!$B$2:$B$824=$C6)*('Picked Students (raw)'!$D$2:$D$824=$D6)*('Picked Students (raw)'!$C$2:$C$824&lt;&gt;"")*(('Picked Students (raw)'!$C$2:$C$824-$E6)&lt;60))))))</f>
        <v/>
      </c>
      <c r="L6" s="5">
        <f>IF($A6="","",IF(K6="-","-",IF($G6=0,0,K6/$G6)))</f>
        <v/>
      </c>
      <c r="M6" s="3">
        <f>IF($A6="","",IF($E6="","",IF(TODAY()&lt;$E6+90,"-",IF($D6="",SUMPRODUCT(('Picked Students (raw)'!$B$2:$B$824=$C6)*('Picked Students (raw)'!$C$2:$C$824&lt;&gt;"")*(('Picked Students (raw)'!$C$2:$C$824-$E6)&lt;90)),SUMPRODUCT(('Picked Students (raw)'!$B$2:$B$824=$C6)*('Picked Students (raw)'!$D$2:$D$824=$D6)*('Picked Students (raw)'!$C$2:$C$824&lt;&gt;"")*(('Picked Students (raw)'!$C$2:$C$824-$E6)&lt;90))))))</f>
        <v/>
      </c>
      <c r="N6" s="5">
        <f>IF($A6="","",IF(M6="-","-",IF($G6=0,0,M6/$G6)))</f>
        <v/>
      </c>
      <c r="O6" s="3">
        <f>IF($A6="","",IF($E6="","",IF(TODAY()&lt;$E6+120,"-",IF($D6="",SUMPRODUCT(('Picked Students (raw)'!$B$2:$B$824=$C6)*('Picked Students (raw)'!$C$2:$C$824&lt;&gt;"")*(('Picked Students (raw)'!$C$2:$C$824-$E6)&lt;120)),SUMPRODUCT(('Picked Students (raw)'!$B$2:$B$824=$C6)*('Picked Students (raw)'!$D$2:$D$824=$D6)*('Picked Students (raw)'!$C$2:$C$824&lt;&gt;"")*(('Picked Students (raw)'!$C$2:$C$824-$E6)&lt;120))))))</f>
        <v/>
      </c>
      <c r="P6" s="5">
        <f>IF($A6="","",IF(O6="-","-",IF($G6=0,0,O6/$G6)))</f>
        <v/>
      </c>
      <c r="Q6" s="3">
        <f>IF($A6="","",IF($E6="","",IF(TODAY()&lt;$E6+150,"-",IF($D6="",SUMPRODUCT(('Picked Students (raw)'!$B$2:$B$824=$C6)*('Picked Students (raw)'!$C$2:$C$824&lt;&gt;"")*(('Picked Students (raw)'!$C$2:$C$824-$E6)&lt;150)),SUMPRODUCT(('Picked Students (raw)'!$B$2:$B$824=$C6)*('Picked Students (raw)'!$D$2:$D$824=$D6)*('Picked Students (raw)'!$C$2:$C$824&lt;&gt;"")*(('Picked Students (raw)'!$C$2:$C$824-$E6)&lt;150))))))</f>
        <v/>
      </c>
      <c r="R6" s="5">
        <f>IF($A6="","",IF(Q6="-","-",IF($G6=0,0,Q6/$G6)))</f>
        <v/>
      </c>
      <c r="S6" s="3">
        <f>IF($A6="","",IF($E6="","",IF(TODAY()&lt;$E6+180,"-",IF($D6="",SUMPRODUCT(('Picked Students (raw)'!$B$2:$B$824=$C6)*('Picked Students (raw)'!$C$2:$C$824&lt;&gt;"")*(('Picked Students (raw)'!$C$2:$C$824-$E6)&lt;180)),SUMPRODUCT(('Picked Students (raw)'!$B$2:$B$824=$C6)*('Picked Students (raw)'!$D$2:$D$824=$D6)*('Picked Students (raw)'!$C$2:$C$824&lt;&gt;"")*(('Picked Students (raw)'!$C$2:$C$824-$E6)&lt;180))))))</f>
        <v/>
      </c>
      <c r="T6" s="5">
        <f>IF($A6="","",IF(S6="-","-",IF($G6=0,0,S6/$G6)))</f>
        <v/>
      </c>
      <c r="U6" s="3">
        <f>IF($A6="","",IF($E6="","",IF(TODAY()&lt;$E6+210,"-",IF($D6="",SUMPRODUCT(('Picked Students (raw)'!$B$2:$B$824=$C6)*('Picked Students (raw)'!$C$2:$C$824&lt;&gt;"")*(('Picked Students (raw)'!$C$2:$C$824-$E6)&lt;210)),SUMPRODUCT(('Picked Students (raw)'!$B$2:$B$824=$C6)*('Picked Students (raw)'!$D$2:$D$824=$D6)*('Picked Students (raw)'!$C$2:$C$824&lt;&gt;"")*(('Picked Students (raw)'!$C$2:$C$824-$E6)&lt;210))))))</f>
        <v/>
      </c>
      <c r="V6" s="5">
        <f>IF($A6="","",IF(U6="-","-",IF($G6=0,0,U6/$G6)))</f>
        <v/>
      </c>
      <c r="W6" s="3">
        <f>IF($A6="","",IF($E6="","",IF(TODAY()&lt;$E6+240,"-",IF($D6="",SUMPRODUCT(('Picked Students (raw)'!$B$2:$B$824=$C6)*('Picked Students (raw)'!$C$2:$C$824&lt;&gt;"")*(('Picked Students (raw)'!$C$2:$C$824-$E6)&lt;240)),SUMPRODUCT(('Picked Students (raw)'!$B$2:$B$824=$C6)*('Picked Students (raw)'!$D$2:$D$824=$D6)*('Picked Students (raw)'!$C$2:$C$824&lt;&gt;"")*(('Picked Students (raw)'!$C$2:$C$824-$E6)&lt;240))))))</f>
        <v/>
      </c>
      <c r="X6" s="5">
        <f>IF($A6="","",IF(W6="-","-",IF($G6=0,0,W6/$G6)))</f>
        <v/>
      </c>
      <c r="Y6" s="3">
        <f>IF($A6="","",IF($E6="","",IF(TODAY()&lt;$E6+270,"-",IF($D6="",SUMPRODUCT(('Picked Students (raw)'!$B$2:$B$824=$C6)*('Picked Students (raw)'!$C$2:$C$824&lt;&gt;"")*(('Picked Students (raw)'!$C$2:$C$824-$E6)&lt;270)),SUMPRODUCT(('Picked Students (raw)'!$B$2:$B$824=$C6)*('Picked Students (raw)'!$D$2:$D$824=$D6)*('Picked Students (raw)'!$C$2:$C$824&lt;&gt;"")*(('Picked Students (raw)'!$C$2:$C$824-$E6)&lt;270))))))</f>
        <v/>
      </c>
      <c r="Z6" s="5">
        <f>IF($A6="","",IF(Y6="-","-",IF($G6=0,0,Y6/$G6)))</f>
        <v/>
      </c>
      <c r="AA6" s="3">
        <f>IF($A6="","",IF($E6="","",IF(TODAY()&lt;$E6+300,"-",IF($D6="",SUMPRODUCT(('Picked Students (raw)'!$B$2:$B$824=$C6)*('Picked Students (raw)'!$C$2:$C$824&lt;&gt;"")*(('Picked Students (raw)'!$C$2:$C$824-$E6)&lt;300)),SUMPRODUCT(('Picked Students (raw)'!$B$2:$B$824=$C6)*('Picked Students (raw)'!$D$2:$D$824=$D6)*('Picked Students (raw)'!$C$2:$C$824&lt;&gt;"")*(('Picked Students (raw)'!$C$2:$C$824-$E6)&lt;300))))))</f>
        <v/>
      </c>
      <c r="AB6" s="5">
        <f>IF($A6="","",IF(AA6="-","-",IF($G6=0,0,AA6/$G6)))</f>
        <v/>
      </c>
      <c r="AC6" s="3">
        <f>IF($A6="","",IF($E6="","",IF(TODAY()&lt;$E6+330,"-",IF($D6="",SUMPRODUCT(('Picked Students (raw)'!$B$2:$B$824=$C6)*('Picked Students (raw)'!$C$2:$C$824&lt;&gt;"")*(('Picked Students (raw)'!$C$2:$C$824-$E6)&lt;330)),SUMPRODUCT(('Picked Students (raw)'!$B$2:$B$824=$C6)*('Picked Students (raw)'!$D$2:$D$824=$D6)*('Picked Students (raw)'!$C$2:$C$824&lt;&gt;"")*(('Picked Students (raw)'!$C$2:$C$824-$E6)&lt;330))))))</f>
        <v/>
      </c>
      <c r="AD6" s="5">
        <f>IF($A6="","",IF(AC6="-","-",IF($G6=0,0,AC6/$G6)))</f>
        <v/>
      </c>
      <c r="AE6" s="3">
        <f>IF($A6="","",IF($E6="","",IF(TODAY()&lt;$E6+360,"-",IF($D6="",SUMPRODUCT(('Picked Students (raw)'!$B$2:$B$824=$C6)*('Picked Students (raw)'!$C$2:$C$824&lt;&gt;"")*(('Picked Students (raw)'!$C$2:$C$824-$E6)&lt;360)),SUMPRODUCT(('Picked Students (raw)'!$B$2:$B$824=$C6)*('Picked Students (raw)'!$D$2:$D$824=$D6)*('Picked Students (raw)'!$C$2:$C$824&lt;&gt;"")*(('Picked Students (raw)'!$C$2:$C$824-$E6)&lt;360))))))</f>
        <v/>
      </c>
      <c r="AF6" s="5">
        <f>IF($A6="","",IF(AE6="-","-",IF($G6=0,0,AE6/$G6)))</f>
        <v/>
      </c>
      <c r="AG6" s="3">
        <f>IF($A6="","",IF($E6="","",IF(TODAY()&lt;$E6+390,"-",IF($D6="",SUMPRODUCT(('Picked Students (raw)'!$B$2:$B$824=$C6)*('Picked Students (raw)'!$C$2:$C$824&lt;&gt;"")*(('Picked Students (raw)'!$C$2:$C$824-$E6)&lt;390)),SUMPRODUCT(('Picked Students (raw)'!$B$2:$B$824=$C6)*('Picked Students (raw)'!$D$2:$D$824=$D6)*('Picked Students (raw)'!$C$2:$C$824&lt;&gt;"")*(('Picked Students (raw)'!$C$2:$C$824-$E6)&lt;390))))))</f>
        <v/>
      </c>
      <c r="AH6" s="5">
        <f>IF($A6="","",IF(AG6="-","-",IF($G6=0,0,AG6/$G6)))</f>
        <v/>
      </c>
      <c r="AI6" s="3">
        <f>IF($A6="","",IF($E6="","",IF(TODAY()&lt;$E6+420,"-",IF($D6="",SUMPRODUCT(('Picked Students (raw)'!$B$2:$B$824=$C6)*('Picked Students (raw)'!$C$2:$C$824&lt;&gt;"")*(('Picked Students (raw)'!$C$2:$C$824-$E6)&lt;420)),SUMPRODUCT(('Picked Students (raw)'!$B$2:$B$824=$C6)*('Picked Students (raw)'!$D$2:$D$824=$D6)*('Picked Students (raw)'!$C$2:$C$824&lt;&gt;"")*(('Picked Students (raw)'!$C$2:$C$824-$E6)&lt;420))))))</f>
        <v/>
      </c>
      <c r="AJ6" s="5">
        <f>IF($A6="","",IF(AI6="-","-",IF($G6=0,0,AI6/$G6)))</f>
        <v/>
      </c>
      <c r="AK6" s="3">
        <f>IF($A6="","",IF($E6="","",IF(TODAY()&lt;$E6+450,"-",IF($D6="",SUMPRODUCT(('Picked Students (raw)'!$B$2:$B$824=$C6)*('Picked Students (raw)'!$C$2:$C$824&lt;&gt;"")*(('Picked Students (raw)'!$C$2:$C$824-$E6)&lt;450)),SUMPRODUCT(('Picked Students (raw)'!$B$2:$B$824=$C6)*('Picked Students (raw)'!$D$2:$D$824=$D6)*('Picked Students (raw)'!$C$2:$C$824&lt;&gt;"")*(('Picked Students (raw)'!$C$2:$C$824-$E6)&lt;450))))))</f>
        <v/>
      </c>
      <c r="AL6" s="5">
        <f>IF($A6="","",IF(AK6="-","-",IF($G6=0,0,AK6/$G6)))</f>
        <v/>
      </c>
      <c r="AM6" s="3">
        <f>IF($A6="","",IF($E6="","",IF(TODAY()&lt;$E6+480,"-",IF($D6="",SUMPRODUCT(('Picked Students (raw)'!$B$2:$B$824=$C6)*('Picked Students (raw)'!$C$2:$C$824&lt;&gt;"")*(('Picked Students (raw)'!$C$2:$C$824-$E6)&lt;480)),SUMPRODUCT(('Picked Students (raw)'!$B$2:$B$824=$C6)*('Picked Students (raw)'!$D$2:$D$824=$D6)*('Picked Students (raw)'!$C$2:$C$824&lt;&gt;"")*(('Picked Students (raw)'!$C$2:$C$824-$E6)&lt;480))))))</f>
        <v/>
      </c>
      <c r="AN6" s="5">
        <f>IF($A6="","",IF(AM6="-","-",IF($G6=0,0,AM6/$G6)))</f>
        <v/>
      </c>
      <c r="AO6" s="3">
        <f>IF($A6="","",IF($E6="","",IF(TODAY()&lt;$E6+510,"-",IF($D6="",SUMPRODUCT(('Picked Students (raw)'!$B$2:$B$824=$C6)*('Picked Students (raw)'!$C$2:$C$824&lt;&gt;"")*(('Picked Students (raw)'!$C$2:$C$824-$E6)&lt;510)),SUMPRODUCT(('Picked Students (raw)'!$B$2:$B$824=$C6)*('Picked Students (raw)'!$D$2:$D$824=$D6)*('Picked Students (raw)'!$C$2:$C$824&lt;&gt;"")*(('Picked Students (raw)'!$C$2:$C$824-$E6)&lt;510))))))</f>
        <v/>
      </c>
      <c r="AP6" s="5">
        <f>IF($A6="","",IF(AO6="-","-",IF($G6=0,0,AO6/$G6)))</f>
        <v/>
      </c>
      <c r="AQ6" s="3">
        <f>IF($A6="","",IF($E6="","",IF(TODAY()&lt;$E6+540,"-",IF($D6="",SUMPRODUCT(('Picked Students (raw)'!$B$2:$B$824=$C6)*('Picked Students (raw)'!$C$2:$C$824&lt;&gt;"")*(('Picked Students (raw)'!$C$2:$C$824-$E6)&lt;540)),SUMPRODUCT(('Picked Students (raw)'!$B$2:$B$824=$C6)*('Picked Students (raw)'!$D$2:$D$824=$D6)*('Picked Students (raw)'!$C$2:$C$824&lt;&gt;"")*(('Picked Students (raw)'!$C$2:$C$824-$E6)&lt;540))))))</f>
        <v/>
      </c>
      <c r="AR6" s="5">
        <f>IF($A6="","",IF(AQ6="-","-",IF($G6=0,0,AQ6/$G6)))</f>
        <v/>
      </c>
      <c r="AS6" s="3">
        <f>IF($A6="","",IF(AQ6="-","-",$H6-AQ6))</f>
        <v/>
      </c>
    </row>
    <row r="7">
      <c r="A7" s="3" t="inlineStr">
        <is>
          <t>Professional Certificate Course In Data Science - August 2023</t>
        </is>
      </c>
      <c r="B7" s="3">
        <f>IF($A7="","",IFERROR(IF(INDEX('Batch Enrollment (Metabase)'!$C$2:$C$47,MATCH($A7,'Batch Enrollment (Metabase)'!$A$2:$A$47,0))="GEM","A",IF(INDEX('Batch Enrollment (Metabase)'!$C$2:$C$47,MATCH($A7,'Batch Enrollment (Metabase)'!$A$2:$A$47,0))="Non-GEM","B","")),""))</f>
        <v/>
      </c>
      <c r="C7" s="3">
        <f>IF($A7="","",IFERROR(INDEX('Batch Enrollment (Metabase)'!$B$2:$B$47,MATCH($A7,'Batch Enrollment (Metabase)'!$A$2:$A$47,0)),""))</f>
        <v/>
      </c>
      <c r="D7" s="3">
        <f>IF($A7="","",IFERROR(INDEX('Batch Enrollment (Metabase)'!$C$2:$C$47,MATCH($A7,'Batch Enrollment (Metabase)'!$A$2:$A$47,0)),""))</f>
        <v/>
      </c>
      <c r="E7" s="4">
        <f>IF($A7="","",IFERROR(INDEX('Batch Enrollment (Metabase)'!$D$2:$D$47,MATCH($A7,'Batch Enrollment (Metabase)'!$A$2:$A$47,0)),""))</f>
        <v/>
      </c>
      <c r="F7" s="3">
        <f>IF($A7="","",IFERROR(INDEX('Batch Enrollment (Metabase)'!$E$2:$E$47,MATCH($A7,'Batch Enrollment (Metabase)'!$A$2:$A$47,0)),""))</f>
        <v/>
      </c>
      <c r="G7" s="3">
        <f>IF($A7="","",IFERROR(INDEX('Batch Enrollment (Metabase)'!$F$2:$F$47,MATCH($A7,'Batch Enrollment (Metabase)'!$A$2:$A$47,0)),""))</f>
        <v/>
      </c>
      <c r="H7" s="3">
        <f>IF($A7="","",IF($D7="",COUNTIF('Picked Students (raw)'!$B$2:$B$824,$C7),COUNTIFS('Picked Students (raw)'!$B$2:$B$824,$C7,'Picked Students (raw)'!$D$2:$D$824,$D7)))</f>
        <v/>
      </c>
      <c r="I7" s="3">
        <f>IF($A7="","",IF($E7="","",IF(TODAY()&lt;$E7+30,"-",IF($D7="",SUMPRODUCT(('Picked Students (raw)'!$B$2:$B$824=$C7)*('Picked Students (raw)'!$C$2:$C$824&lt;&gt;"")*(('Picked Students (raw)'!$C$2:$C$824-$E7)&lt;30)),SUMPRODUCT(('Picked Students (raw)'!$B$2:$B$824=$C7)*('Picked Students (raw)'!$D$2:$D$824=$D7)*('Picked Students (raw)'!$C$2:$C$824&lt;&gt;"")*(('Picked Students (raw)'!$C$2:$C$824-$E7)&lt;30))))))</f>
        <v/>
      </c>
      <c r="J7" s="5">
        <f>IF($A7="","",IF(I7="-","-",IF($G7=0,0,I7/$G7)))</f>
        <v/>
      </c>
      <c r="K7" s="3">
        <f>IF($A7="","",IF($E7="","",IF(TODAY()&lt;$E7+60,"-",IF($D7="",SUMPRODUCT(('Picked Students (raw)'!$B$2:$B$824=$C7)*('Picked Students (raw)'!$C$2:$C$824&lt;&gt;"")*(('Picked Students (raw)'!$C$2:$C$824-$E7)&lt;60)),SUMPRODUCT(('Picked Students (raw)'!$B$2:$B$824=$C7)*('Picked Students (raw)'!$D$2:$D$824=$D7)*('Picked Students (raw)'!$C$2:$C$824&lt;&gt;"")*(('Picked Students (raw)'!$C$2:$C$824-$E7)&lt;60))))))</f>
        <v/>
      </c>
      <c r="L7" s="5">
        <f>IF($A7="","",IF(K7="-","-",IF($G7=0,0,K7/$G7)))</f>
        <v/>
      </c>
      <c r="M7" s="3">
        <f>IF($A7="","",IF($E7="","",IF(TODAY()&lt;$E7+90,"-",IF($D7="",SUMPRODUCT(('Picked Students (raw)'!$B$2:$B$824=$C7)*('Picked Students (raw)'!$C$2:$C$824&lt;&gt;"")*(('Picked Students (raw)'!$C$2:$C$824-$E7)&lt;90)),SUMPRODUCT(('Picked Students (raw)'!$B$2:$B$824=$C7)*('Picked Students (raw)'!$D$2:$D$824=$D7)*('Picked Students (raw)'!$C$2:$C$824&lt;&gt;"")*(('Picked Students (raw)'!$C$2:$C$824-$E7)&lt;90))))))</f>
        <v/>
      </c>
      <c r="N7" s="5">
        <f>IF($A7="","",IF(M7="-","-",IF($G7=0,0,M7/$G7)))</f>
        <v/>
      </c>
      <c r="O7" s="3">
        <f>IF($A7="","",IF($E7="","",IF(TODAY()&lt;$E7+120,"-",IF($D7="",SUMPRODUCT(('Picked Students (raw)'!$B$2:$B$824=$C7)*('Picked Students (raw)'!$C$2:$C$824&lt;&gt;"")*(('Picked Students (raw)'!$C$2:$C$824-$E7)&lt;120)),SUMPRODUCT(('Picked Students (raw)'!$B$2:$B$824=$C7)*('Picked Students (raw)'!$D$2:$D$824=$D7)*('Picked Students (raw)'!$C$2:$C$824&lt;&gt;"")*(('Picked Students (raw)'!$C$2:$C$824-$E7)&lt;120))))))</f>
        <v/>
      </c>
      <c r="P7" s="5">
        <f>IF($A7="","",IF(O7="-","-",IF($G7=0,0,O7/$G7)))</f>
        <v/>
      </c>
      <c r="Q7" s="3">
        <f>IF($A7="","",IF($E7="","",IF(TODAY()&lt;$E7+150,"-",IF($D7="",SUMPRODUCT(('Picked Students (raw)'!$B$2:$B$824=$C7)*('Picked Students (raw)'!$C$2:$C$824&lt;&gt;"")*(('Picked Students (raw)'!$C$2:$C$824-$E7)&lt;150)),SUMPRODUCT(('Picked Students (raw)'!$B$2:$B$824=$C7)*('Picked Students (raw)'!$D$2:$D$824=$D7)*('Picked Students (raw)'!$C$2:$C$824&lt;&gt;"")*(('Picked Students (raw)'!$C$2:$C$824-$E7)&lt;150))))))</f>
        <v/>
      </c>
      <c r="R7" s="5">
        <f>IF($A7="","",IF(Q7="-","-",IF($G7=0,0,Q7/$G7)))</f>
        <v/>
      </c>
      <c r="S7" s="3">
        <f>IF($A7="","",IF($E7="","",IF(TODAY()&lt;$E7+180,"-",IF($D7="",SUMPRODUCT(('Picked Students (raw)'!$B$2:$B$824=$C7)*('Picked Students (raw)'!$C$2:$C$824&lt;&gt;"")*(('Picked Students (raw)'!$C$2:$C$824-$E7)&lt;180)),SUMPRODUCT(('Picked Students (raw)'!$B$2:$B$824=$C7)*('Picked Students (raw)'!$D$2:$D$824=$D7)*('Picked Students (raw)'!$C$2:$C$824&lt;&gt;"")*(('Picked Students (raw)'!$C$2:$C$824-$E7)&lt;180))))))</f>
        <v/>
      </c>
      <c r="T7" s="5">
        <f>IF($A7="","",IF(S7="-","-",IF($G7=0,0,S7/$G7)))</f>
        <v/>
      </c>
      <c r="U7" s="3">
        <f>IF($A7="","",IF($E7="","",IF(TODAY()&lt;$E7+210,"-",IF($D7="",SUMPRODUCT(('Picked Students (raw)'!$B$2:$B$824=$C7)*('Picked Students (raw)'!$C$2:$C$824&lt;&gt;"")*(('Picked Students (raw)'!$C$2:$C$824-$E7)&lt;210)),SUMPRODUCT(('Picked Students (raw)'!$B$2:$B$824=$C7)*('Picked Students (raw)'!$D$2:$D$824=$D7)*('Picked Students (raw)'!$C$2:$C$824&lt;&gt;"")*(('Picked Students (raw)'!$C$2:$C$824-$E7)&lt;210))))))</f>
        <v/>
      </c>
      <c r="V7" s="5">
        <f>IF($A7="","",IF(U7="-","-",IF($G7=0,0,U7/$G7)))</f>
        <v/>
      </c>
      <c r="W7" s="3">
        <f>IF($A7="","",IF($E7="","",IF(TODAY()&lt;$E7+240,"-",IF($D7="",SUMPRODUCT(('Picked Students (raw)'!$B$2:$B$824=$C7)*('Picked Students (raw)'!$C$2:$C$824&lt;&gt;"")*(('Picked Students (raw)'!$C$2:$C$824-$E7)&lt;240)),SUMPRODUCT(('Picked Students (raw)'!$B$2:$B$824=$C7)*('Picked Students (raw)'!$D$2:$D$824=$D7)*('Picked Students (raw)'!$C$2:$C$824&lt;&gt;"")*(('Picked Students (raw)'!$C$2:$C$824-$E7)&lt;240))))))</f>
        <v/>
      </c>
      <c r="X7" s="5">
        <f>IF($A7="","",IF(W7="-","-",IF($G7=0,0,W7/$G7)))</f>
        <v/>
      </c>
      <c r="Y7" s="3">
        <f>IF($A7="","",IF($E7="","",IF(TODAY()&lt;$E7+270,"-",IF($D7="",SUMPRODUCT(('Picked Students (raw)'!$B$2:$B$824=$C7)*('Picked Students (raw)'!$C$2:$C$824&lt;&gt;"")*(('Picked Students (raw)'!$C$2:$C$824-$E7)&lt;270)),SUMPRODUCT(('Picked Students (raw)'!$B$2:$B$824=$C7)*('Picked Students (raw)'!$D$2:$D$824=$D7)*('Picked Students (raw)'!$C$2:$C$824&lt;&gt;"")*(('Picked Students (raw)'!$C$2:$C$824-$E7)&lt;270))))))</f>
        <v/>
      </c>
      <c r="Z7" s="5">
        <f>IF($A7="","",IF(Y7="-","-",IF($G7=0,0,Y7/$G7)))</f>
        <v/>
      </c>
      <c r="AA7" s="3">
        <f>IF($A7="","",IF($E7="","",IF(TODAY()&lt;$E7+300,"-",IF($D7="",SUMPRODUCT(('Picked Students (raw)'!$B$2:$B$824=$C7)*('Picked Students (raw)'!$C$2:$C$824&lt;&gt;"")*(('Picked Students (raw)'!$C$2:$C$824-$E7)&lt;300)),SUMPRODUCT(('Picked Students (raw)'!$B$2:$B$824=$C7)*('Picked Students (raw)'!$D$2:$D$824=$D7)*('Picked Students (raw)'!$C$2:$C$824&lt;&gt;"")*(('Picked Students (raw)'!$C$2:$C$824-$E7)&lt;300))))))</f>
        <v/>
      </c>
      <c r="AB7" s="5">
        <f>IF($A7="","",IF(AA7="-","-",IF($G7=0,0,AA7/$G7)))</f>
        <v/>
      </c>
      <c r="AC7" s="3">
        <f>IF($A7="","",IF($E7="","",IF(TODAY()&lt;$E7+330,"-",IF($D7="",SUMPRODUCT(('Picked Students (raw)'!$B$2:$B$824=$C7)*('Picked Students (raw)'!$C$2:$C$824&lt;&gt;"")*(('Picked Students (raw)'!$C$2:$C$824-$E7)&lt;330)),SUMPRODUCT(('Picked Students (raw)'!$B$2:$B$824=$C7)*('Picked Students (raw)'!$D$2:$D$824=$D7)*('Picked Students (raw)'!$C$2:$C$824&lt;&gt;"")*(('Picked Students (raw)'!$C$2:$C$824-$E7)&lt;330))))))</f>
        <v/>
      </c>
      <c r="AD7" s="5">
        <f>IF($A7="","",IF(AC7="-","-",IF($G7=0,0,AC7/$G7)))</f>
        <v/>
      </c>
      <c r="AE7" s="3">
        <f>IF($A7="","",IF($E7="","",IF(TODAY()&lt;$E7+360,"-",IF($D7="",SUMPRODUCT(('Picked Students (raw)'!$B$2:$B$824=$C7)*('Picked Students (raw)'!$C$2:$C$824&lt;&gt;"")*(('Picked Students (raw)'!$C$2:$C$824-$E7)&lt;360)),SUMPRODUCT(('Picked Students (raw)'!$B$2:$B$824=$C7)*('Picked Students (raw)'!$D$2:$D$824=$D7)*('Picked Students (raw)'!$C$2:$C$824&lt;&gt;"")*(('Picked Students (raw)'!$C$2:$C$824-$E7)&lt;360))))))</f>
        <v/>
      </c>
      <c r="AF7" s="5">
        <f>IF($A7="","",IF(AE7="-","-",IF($G7=0,0,AE7/$G7)))</f>
        <v/>
      </c>
      <c r="AG7" s="3">
        <f>IF($A7="","",IF($E7="","",IF(TODAY()&lt;$E7+390,"-",IF($D7="",SUMPRODUCT(('Picked Students (raw)'!$B$2:$B$824=$C7)*('Picked Students (raw)'!$C$2:$C$824&lt;&gt;"")*(('Picked Students (raw)'!$C$2:$C$824-$E7)&lt;390)),SUMPRODUCT(('Picked Students (raw)'!$B$2:$B$824=$C7)*('Picked Students (raw)'!$D$2:$D$824=$D7)*('Picked Students (raw)'!$C$2:$C$824&lt;&gt;"")*(('Picked Students (raw)'!$C$2:$C$824-$E7)&lt;390))))))</f>
        <v/>
      </c>
      <c r="AH7" s="5">
        <f>IF($A7="","",IF(AG7="-","-",IF($G7=0,0,AG7/$G7)))</f>
        <v/>
      </c>
      <c r="AI7" s="3">
        <f>IF($A7="","",IF($E7="","",IF(TODAY()&lt;$E7+420,"-",IF($D7="",SUMPRODUCT(('Picked Students (raw)'!$B$2:$B$824=$C7)*('Picked Students (raw)'!$C$2:$C$824&lt;&gt;"")*(('Picked Students (raw)'!$C$2:$C$824-$E7)&lt;420)),SUMPRODUCT(('Picked Students (raw)'!$B$2:$B$824=$C7)*('Picked Students (raw)'!$D$2:$D$824=$D7)*('Picked Students (raw)'!$C$2:$C$824&lt;&gt;"")*(('Picked Students (raw)'!$C$2:$C$824-$E7)&lt;420))))))</f>
        <v/>
      </c>
      <c r="AJ7" s="5">
        <f>IF($A7="","",IF(AI7="-","-",IF($G7=0,0,AI7/$G7)))</f>
        <v/>
      </c>
      <c r="AK7" s="3">
        <f>IF($A7="","",IF($E7="","",IF(TODAY()&lt;$E7+450,"-",IF($D7="",SUMPRODUCT(('Picked Students (raw)'!$B$2:$B$824=$C7)*('Picked Students (raw)'!$C$2:$C$824&lt;&gt;"")*(('Picked Students (raw)'!$C$2:$C$824-$E7)&lt;450)),SUMPRODUCT(('Picked Students (raw)'!$B$2:$B$824=$C7)*('Picked Students (raw)'!$D$2:$D$824=$D7)*('Picked Students (raw)'!$C$2:$C$824&lt;&gt;"")*(('Picked Students (raw)'!$C$2:$C$824-$E7)&lt;450))))))</f>
        <v/>
      </c>
      <c r="AL7" s="5">
        <f>IF($A7="","",IF(AK7="-","-",IF($G7=0,0,AK7/$G7)))</f>
        <v/>
      </c>
      <c r="AM7" s="3">
        <f>IF($A7="","",IF($E7="","",IF(TODAY()&lt;$E7+480,"-",IF($D7="",SUMPRODUCT(('Picked Students (raw)'!$B$2:$B$824=$C7)*('Picked Students (raw)'!$C$2:$C$824&lt;&gt;"")*(('Picked Students (raw)'!$C$2:$C$824-$E7)&lt;480)),SUMPRODUCT(('Picked Students (raw)'!$B$2:$B$824=$C7)*('Picked Students (raw)'!$D$2:$D$824=$D7)*('Picked Students (raw)'!$C$2:$C$824&lt;&gt;"")*(('Picked Students (raw)'!$C$2:$C$824-$E7)&lt;480))))))</f>
        <v/>
      </c>
      <c r="AN7" s="5">
        <f>IF($A7="","",IF(AM7="-","-",IF($G7=0,0,AM7/$G7)))</f>
        <v/>
      </c>
      <c r="AO7" s="3">
        <f>IF($A7="","",IF($E7="","",IF(TODAY()&lt;$E7+510,"-",IF($D7="",SUMPRODUCT(('Picked Students (raw)'!$B$2:$B$824=$C7)*('Picked Students (raw)'!$C$2:$C$824&lt;&gt;"")*(('Picked Students (raw)'!$C$2:$C$824-$E7)&lt;510)),SUMPRODUCT(('Picked Students (raw)'!$B$2:$B$824=$C7)*('Picked Students (raw)'!$D$2:$D$824=$D7)*('Picked Students (raw)'!$C$2:$C$824&lt;&gt;"")*(('Picked Students (raw)'!$C$2:$C$824-$E7)&lt;510))))))</f>
        <v/>
      </c>
      <c r="AP7" s="5">
        <f>IF($A7="","",IF(AO7="-","-",IF($G7=0,0,AO7/$G7)))</f>
        <v/>
      </c>
      <c r="AQ7" s="3">
        <f>IF($A7="","",IF($E7="","",IF(TODAY()&lt;$E7+540,"-",IF($D7="",SUMPRODUCT(('Picked Students (raw)'!$B$2:$B$824=$C7)*('Picked Students (raw)'!$C$2:$C$824&lt;&gt;"")*(('Picked Students (raw)'!$C$2:$C$824-$E7)&lt;540)),SUMPRODUCT(('Picked Students (raw)'!$B$2:$B$824=$C7)*('Picked Students (raw)'!$D$2:$D$824=$D7)*('Picked Students (raw)'!$C$2:$C$824&lt;&gt;"")*(('Picked Students (raw)'!$C$2:$C$824-$E7)&lt;540))))))</f>
        <v/>
      </c>
      <c r="AR7" s="5">
        <f>IF($A7="","",IF(AQ7="-","-",IF($G7=0,0,AQ7/$G7)))</f>
        <v/>
      </c>
      <c r="AS7" s="3">
        <f>IF($A7="","",IF(AQ7="-","-",$H7-AQ7))</f>
        <v/>
      </c>
    </row>
    <row r="8">
      <c r="A8" s="3" t="inlineStr">
        <is>
          <t>Professional Certificate Course In Data Science - September 2023</t>
        </is>
      </c>
      <c r="B8" s="3">
        <f>IF($A8="","",IFERROR(IF(INDEX('Batch Enrollment (Metabase)'!$C$2:$C$47,MATCH($A8,'Batch Enrollment (Metabase)'!$A$2:$A$47,0))="GEM","A",IF(INDEX('Batch Enrollment (Metabase)'!$C$2:$C$47,MATCH($A8,'Batch Enrollment (Metabase)'!$A$2:$A$47,0))="Non-GEM","B","")),""))</f>
        <v/>
      </c>
      <c r="C8" s="3">
        <f>IF($A8="","",IFERROR(INDEX('Batch Enrollment (Metabase)'!$B$2:$B$47,MATCH($A8,'Batch Enrollment (Metabase)'!$A$2:$A$47,0)),""))</f>
        <v/>
      </c>
      <c r="D8" s="3">
        <f>IF($A8="","",IFERROR(INDEX('Batch Enrollment (Metabase)'!$C$2:$C$47,MATCH($A8,'Batch Enrollment (Metabase)'!$A$2:$A$47,0)),""))</f>
        <v/>
      </c>
      <c r="E8" s="4">
        <f>IF($A8="","",IFERROR(INDEX('Batch Enrollment (Metabase)'!$D$2:$D$47,MATCH($A8,'Batch Enrollment (Metabase)'!$A$2:$A$47,0)),""))</f>
        <v/>
      </c>
      <c r="F8" s="3">
        <f>IF($A8="","",IFERROR(INDEX('Batch Enrollment (Metabase)'!$E$2:$E$47,MATCH($A8,'Batch Enrollment (Metabase)'!$A$2:$A$47,0)),""))</f>
        <v/>
      </c>
      <c r="G8" s="3">
        <f>IF($A8="","",IFERROR(INDEX('Batch Enrollment (Metabase)'!$F$2:$F$47,MATCH($A8,'Batch Enrollment (Metabase)'!$A$2:$A$47,0)),""))</f>
        <v/>
      </c>
      <c r="H8" s="3">
        <f>IF($A8="","",IF($D8="",COUNTIF('Picked Students (raw)'!$B$2:$B$824,$C8),COUNTIFS('Picked Students (raw)'!$B$2:$B$824,$C8,'Picked Students (raw)'!$D$2:$D$824,$D8)))</f>
        <v/>
      </c>
      <c r="I8" s="3">
        <f>IF($A8="","",IF($E8="","",IF(TODAY()&lt;$E8+30,"-",IF($D8="",SUMPRODUCT(('Picked Students (raw)'!$B$2:$B$824=$C8)*('Picked Students (raw)'!$C$2:$C$824&lt;&gt;"")*(('Picked Students (raw)'!$C$2:$C$824-$E8)&lt;30)),SUMPRODUCT(('Picked Students (raw)'!$B$2:$B$824=$C8)*('Picked Students (raw)'!$D$2:$D$824=$D8)*('Picked Students (raw)'!$C$2:$C$824&lt;&gt;"")*(('Picked Students (raw)'!$C$2:$C$824-$E8)&lt;30))))))</f>
        <v/>
      </c>
      <c r="J8" s="5">
        <f>IF($A8="","",IF(I8="-","-",IF($G8=0,0,I8/$G8)))</f>
        <v/>
      </c>
      <c r="K8" s="3">
        <f>IF($A8="","",IF($E8="","",IF(TODAY()&lt;$E8+60,"-",IF($D8="",SUMPRODUCT(('Picked Students (raw)'!$B$2:$B$824=$C8)*('Picked Students (raw)'!$C$2:$C$824&lt;&gt;"")*(('Picked Students (raw)'!$C$2:$C$824-$E8)&lt;60)),SUMPRODUCT(('Picked Students (raw)'!$B$2:$B$824=$C8)*('Picked Students (raw)'!$D$2:$D$824=$D8)*('Picked Students (raw)'!$C$2:$C$824&lt;&gt;"")*(('Picked Students (raw)'!$C$2:$C$824-$E8)&lt;60))))))</f>
        <v/>
      </c>
      <c r="L8" s="5">
        <f>IF($A8="","",IF(K8="-","-",IF($G8=0,0,K8/$G8)))</f>
        <v/>
      </c>
      <c r="M8" s="3">
        <f>IF($A8="","",IF($E8="","",IF(TODAY()&lt;$E8+90,"-",IF($D8="",SUMPRODUCT(('Picked Students (raw)'!$B$2:$B$824=$C8)*('Picked Students (raw)'!$C$2:$C$824&lt;&gt;"")*(('Picked Students (raw)'!$C$2:$C$824-$E8)&lt;90)),SUMPRODUCT(('Picked Students (raw)'!$B$2:$B$824=$C8)*('Picked Students (raw)'!$D$2:$D$824=$D8)*('Picked Students (raw)'!$C$2:$C$824&lt;&gt;"")*(('Picked Students (raw)'!$C$2:$C$824-$E8)&lt;90))))))</f>
        <v/>
      </c>
      <c r="N8" s="5">
        <f>IF($A8="","",IF(M8="-","-",IF($G8=0,0,M8/$G8)))</f>
        <v/>
      </c>
      <c r="O8" s="3">
        <f>IF($A8="","",IF($E8="","",IF(TODAY()&lt;$E8+120,"-",IF($D8="",SUMPRODUCT(('Picked Students (raw)'!$B$2:$B$824=$C8)*('Picked Students (raw)'!$C$2:$C$824&lt;&gt;"")*(('Picked Students (raw)'!$C$2:$C$824-$E8)&lt;120)),SUMPRODUCT(('Picked Students (raw)'!$B$2:$B$824=$C8)*('Picked Students (raw)'!$D$2:$D$824=$D8)*('Picked Students (raw)'!$C$2:$C$824&lt;&gt;"")*(('Picked Students (raw)'!$C$2:$C$824-$E8)&lt;120))))))</f>
        <v/>
      </c>
      <c r="P8" s="5">
        <f>IF($A8="","",IF(O8="-","-",IF($G8=0,0,O8/$G8)))</f>
        <v/>
      </c>
      <c r="Q8" s="3">
        <f>IF($A8="","",IF($E8="","",IF(TODAY()&lt;$E8+150,"-",IF($D8="",SUMPRODUCT(('Picked Students (raw)'!$B$2:$B$824=$C8)*('Picked Students (raw)'!$C$2:$C$824&lt;&gt;"")*(('Picked Students (raw)'!$C$2:$C$824-$E8)&lt;150)),SUMPRODUCT(('Picked Students (raw)'!$B$2:$B$824=$C8)*('Picked Students (raw)'!$D$2:$D$824=$D8)*('Picked Students (raw)'!$C$2:$C$824&lt;&gt;"")*(('Picked Students (raw)'!$C$2:$C$824-$E8)&lt;150))))))</f>
        <v/>
      </c>
      <c r="R8" s="5">
        <f>IF($A8="","",IF(Q8="-","-",IF($G8=0,0,Q8/$G8)))</f>
        <v/>
      </c>
      <c r="S8" s="3">
        <f>IF($A8="","",IF($E8="","",IF(TODAY()&lt;$E8+180,"-",IF($D8="",SUMPRODUCT(('Picked Students (raw)'!$B$2:$B$824=$C8)*('Picked Students (raw)'!$C$2:$C$824&lt;&gt;"")*(('Picked Students (raw)'!$C$2:$C$824-$E8)&lt;180)),SUMPRODUCT(('Picked Students (raw)'!$B$2:$B$824=$C8)*('Picked Students (raw)'!$D$2:$D$824=$D8)*('Picked Students (raw)'!$C$2:$C$824&lt;&gt;"")*(('Picked Students (raw)'!$C$2:$C$824-$E8)&lt;180))))))</f>
        <v/>
      </c>
      <c r="T8" s="5">
        <f>IF($A8="","",IF(S8="-","-",IF($G8=0,0,S8/$G8)))</f>
        <v/>
      </c>
      <c r="U8" s="3">
        <f>IF($A8="","",IF($E8="","",IF(TODAY()&lt;$E8+210,"-",IF($D8="",SUMPRODUCT(('Picked Students (raw)'!$B$2:$B$824=$C8)*('Picked Students (raw)'!$C$2:$C$824&lt;&gt;"")*(('Picked Students (raw)'!$C$2:$C$824-$E8)&lt;210)),SUMPRODUCT(('Picked Students (raw)'!$B$2:$B$824=$C8)*('Picked Students (raw)'!$D$2:$D$824=$D8)*('Picked Students (raw)'!$C$2:$C$824&lt;&gt;"")*(('Picked Students (raw)'!$C$2:$C$824-$E8)&lt;210))))))</f>
        <v/>
      </c>
      <c r="V8" s="5">
        <f>IF($A8="","",IF(U8="-","-",IF($G8=0,0,U8/$G8)))</f>
        <v/>
      </c>
      <c r="W8" s="3">
        <f>IF($A8="","",IF($E8="","",IF(TODAY()&lt;$E8+240,"-",IF($D8="",SUMPRODUCT(('Picked Students (raw)'!$B$2:$B$824=$C8)*('Picked Students (raw)'!$C$2:$C$824&lt;&gt;"")*(('Picked Students (raw)'!$C$2:$C$824-$E8)&lt;240)),SUMPRODUCT(('Picked Students (raw)'!$B$2:$B$824=$C8)*('Picked Students (raw)'!$D$2:$D$824=$D8)*('Picked Students (raw)'!$C$2:$C$824&lt;&gt;"")*(('Picked Students (raw)'!$C$2:$C$824-$E8)&lt;240))))))</f>
        <v/>
      </c>
      <c r="X8" s="5">
        <f>IF($A8="","",IF(W8="-","-",IF($G8=0,0,W8/$G8)))</f>
        <v/>
      </c>
      <c r="Y8" s="3">
        <f>IF($A8="","",IF($E8="","",IF(TODAY()&lt;$E8+270,"-",IF($D8="",SUMPRODUCT(('Picked Students (raw)'!$B$2:$B$824=$C8)*('Picked Students (raw)'!$C$2:$C$824&lt;&gt;"")*(('Picked Students (raw)'!$C$2:$C$824-$E8)&lt;270)),SUMPRODUCT(('Picked Students (raw)'!$B$2:$B$824=$C8)*('Picked Students (raw)'!$D$2:$D$824=$D8)*('Picked Students (raw)'!$C$2:$C$824&lt;&gt;"")*(('Picked Students (raw)'!$C$2:$C$824-$E8)&lt;270))))))</f>
        <v/>
      </c>
      <c r="Z8" s="5">
        <f>IF($A8="","",IF(Y8="-","-",IF($G8=0,0,Y8/$G8)))</f>
        <v/>
      </c>
      <c r="AA8" s="3">
        <f>IF($A8="","",IF($E8="","",IF(TODAY()&lt;$E8+300,"-",IF($D8="",SUMPRODUCT(('Picked Students (raw)'!$B$2:$B$824=$C8)*('Picked Students (raw)'!$C$2:$C$824&lt;&gt;"")*(('Picked Students (raw)'!$C$2:$C$824-$E8)&lt;300)),SUMPRODUCT(('Picked Students (raw)'!$B$2:$B$824=$C8)*('Picked Students (raw)'!$D$2:$D$824=$D8)*('Picked Students (raw)'!$C$2:$C$824&lt;&gt;"")*(('Picked Students (raw)'!$C$2:$C$824-$E8)&lt;300))))))</f>
        <v/>
      </c>
      <c r="AB8" s="5">
        <f>IF($A8="","",IF(AA8="-","-",IF($G8=0,0,AA8/$G8)))</f>
        <v/>
      </c>
      <c r="AC8" s="3">
        <f>IF($A8="","",IF($E8="","",IF(TODAY()&lt;$E8+330,"-",IF($D8="",SUMPRODUCT(('Picked Students (raw)'!$B$2:$B$824=$C8)*('Picked Students (raw)'!$C$2:$C$824&lt;&gt;"")*(('Picked Students (raw)'!$C$2:$C$824-$E8)&lt;330)),SUMPRODUCT(('Picked Students (raw)'!$B$2:$B$824=$C8)*('Picked Students (raw)'!$D$2:$D$824=$D8)*('Picked Students (raw)'!$C$2:$C$824&lt;&gt;"")*(('Picked Students (raw)'!$C$2:$C$824-$E8)&lt;330))))))</f>
        <v/>
      </c>
      <c r="AD8" s="5">
        <f>IF($A8="","",IF(AC8="-","-",IF($G8=0,0,AC8/$G8)))</f>
        <v/>
      </c>
      <c r="AE8" s="3">
        <f>IF($A8="","",IF($E8="","",IF(TODAY()&lt;$E8+360,"-",IF($D8="",SUMPRODUCT(('Picked Students (raw)'!$B$2:$B$824=$C8)*('Picked Students (raw)'!$C$2:$C$824&lt;&gt;"")*(('Picked Students (raw)'!$C$2:$C$824-$E8)&lt;360)),SUMPRODUCT(('Picked Students (raw)'!$B$2:$B$824=$C8)*('Picked Students (raw)'!$D$2:$D$824=$D8)*('Picked Students (raw)'!$C$2:$C$824&lt;&gt;"")*(('Picked Students (raw)'!$C$2:$C$824-$E8)&lt;360))))))</f>
        <v/>
      </c>
      <c r="AF8" s="5">
        <f>IF($A8="","",IF(AE8="-","-",IF($G8=0,0,AE8/$G8)))</f>
        <v/>
      </c>
      <c r="AG8" s="3">
        <f>IF($A8="","",IF($E8="","",IF(TODAY()&lt;$E8+390,"-",IF($D8="",SUMPRODUCT(('Picked Students (raw)'!$B$2:$B$824=$C8)*('Picked Students (raw)'!$C$2:$C$824&lt;&gt;"")*(('Picked Students (raw)'!$C$2:$C$824-$E8)&lt;390)),SUMPRODUCT(('Picked Students (raw)'!$B$2:$B$824=$C8)*('Picked Students (raw)'!$D$2:$D$824=$D8)*('Picked Students (raw)'!$C$2:$C$824&lt;&gt;"")*(('Picked Students (raw)'!$C$2:$C$824-$E8)&lt;390))))))</f>
        <v/>
      </c>
      <c r="AH8" s="5">
        <f>IF($A8="","",IF(AG8="-","-",IF($G8=0,0,AG8/$G8)))</f>
        <v/>
      </c>
      <c r="AI8" s="3">
        <f>IF($A8="","",IF($E8="","",IF(TODAY()&lt;$E8+420,"-",IF($D8="",SUMPRODUCT(('Picked Students (raw)'!$B$2:$B$824=$C8)*('Picked Students (raw)'!$C$2:$C$824&lt;&gt;"")*(('Picked Students (raw)'!$C$2:$C$824-$E8)&lt;420)),SUMPRODUCT(('Picked Students (raw)'!$B$2:$B$824=$C8)*('Picked Students (raw)'!$D$2:$D$824=$D8)*('Picked Students (raw)'!$C$2:$C$824&lt;&gt;"")*(('Picked Students (raw)'!$C$2:$C$824-$E8)&lt;420))))))</f>
        <v/>
      </c>
      <c r="AJ8" s="5">
        <f>IF($A8="","",IF(AI8="-","-",IF($G8=0,0,AI8/$G8)))</f>
        <v/>
      </c>
      <c r="AK8" s="3">
        <f>IF($A8="","",IF($E8="","",IF(TODAY()&lt;$E8+450,"-",IF($D8="",SUMPRODUCT(('Picked Students (raw)'!$B$2:$B$824=$C8)*('Picked Students (raw)'!$C$2:$C$824&lt;&gt;"")*(('Picked Students (raw)'!$C$2:$C$824-$E8)&lt;450)),SUMPRODUCT(('Picked Students (raw)'!$B$2:$B$824=$C8)*('Picked Students (raw)'!$D$2:$D$824=$D8)*('Picked Students (raw)'!$C$2:$C$824&lt;&gt;"")*(('Picked Students (raw)'!$C$2:$C$824-$E8)&lt;450))))))</f>
        <v/>
      </c>
      <c r="AL8" s="5">
        <f>IF($A8="","",IF(AK8="-","-",IF($G8=0,0,AK8/$G8)))</f>
        <v/>
      </c>
      <c r="AM8" s="3">
        <f>IF($A8="","",IF($E8="","",IF(TODAY()&lt;$E8+480,"-",IF($D8="",SUMPRODUCT(('Picked Students (raw)'!$B$2:$B$824=$C8)*('Picked Students (raw)'!$C$2:$C$824&lt;&gt;"")*(('Picked Students (raw)'!$C$2:$C$824-$E8)&lt;480)),SUMPRODUCT(('Picked Students (raw)'!$B$2:$B$824=$C8)*('Picked Students (raw)'!$D$2:$D$824=$D8)*('Picked Students (raw)'!$C$2:$C$824&lt;&gt;"")*(('Picked Students (raw)'!$C$2:$C$824-$E8)&lt;480))))))</f>
        <v/>
      </c>
      <c r="AN8" s="5">
        <f>IF($A8="","",IF(AM8="-","-",IF($G8=0,0,AM8/$G8)))</f>
        <v/>
      </c>
      <c r="AO8" s="3">
        <f>IF($A8="","",IF($E8="","",IF(TODAY()&lt;$E8+510,"-",IF($D8="",SUMPRODUCT(('Picked Students (raw)'!$B$2:$B$824=$C8)*('Picked Students (raw)'!$C$2:$C$824&lt;&gt;"")*(('Picked Students (raw)'!$C$2:$C$824-$E8)&lt;510)),SUMPRODUCT(('Picked Students (raw)'!$B$2:$B$824=$C8)*('Picked Students (raw)'!$D$2:$D$824=$D8)*('Picked Students (raw)'!$C$2:$C$824&lt;&gt;"")*(('Picked Students (raw)'!$C$2:$C$824-$E8)&lt;510))))))</f>
        <v/>
      </c>
      <c r="AP8" s="5">
        <f>IF($A8="","",IF(AO8="-","-",IF($G8=0,0,AO8/$G8)))</f>
        <v/>
      </c>
      <c r="AQ8" s="3">
        <f>IF($A8="","",IF($E8="","",IF(TODAY()&lt;$E8+540,"-",IF($D8="",SUMPRODUCT(('Picked Students (raw)'!$B$2:$B$824=$C8)*('Picked Students (raw)'!$C$2:$C$824&lt;&gt;"")*(('Picked Students (raw)'!$C$2:$C$824-$E8)&lt;540)),SUMPRODUCT(('Picked Students (raw)'!$B$2:$B$824=$C8)*('Picked Students (raw)'!$D$2:$D$824=$D8)*('Picked Students (raw)'!$C$2:$C$824&lt;&gt;"")*(('Picked Students (raw)'!$C$2:$C$824-$E8)&lt;540))))))</f>
        <v/>
      </c>
      <c r="AR8" s="5">
        <f>IF($A8="","",IF(AQ8="-","-",IF($G8=0,0,AQ8/$G8)))</f>
        <v/>
      </c>
      <c r="AS8" s="3">
        <f>IF($A8="","",IF(AQ8="-","-",$H8-AQ8))</f>
        <v/>
      </c>
    </row>
    <row r="9">
      <c r="A9" s="3" t="inlineStr">
        <is>
          <t>Professional Certificate Course In Data Science - October 2023</t>
        </is>
      </c>
      <c r="B9" s="3">
        <f>IF($A9="","",IFERROR(IF(INDEX('Batch Enrollment (Metabase)'!$C$2:$C$47,MATCH($A9,'Batch Enrollment (Metabase)'!$A$2:$A$47,0))="GEM","A",IF(INDEX('Batch Enrollment (Metabase)'!$C$2:$C$47,MATCH($A9,'Batch Enrollment (Metabase)'!$A$2:$A$47,0))="Non-GEM","B","")),""))</f>
        <v/>
      </c>
      <c r="C9" s="3">
        <f>IF($A9="","",IFERROR(INDEX('Batch Enrollment (Metabase)'!$B$2:$B$47,MATCH($A9,'Batch Enrollment (Metabase)'!$A$2:$A$47,0)),""))</f>
        <v/>
      </c>
      <c r="D9" s="3">
        <f>IF($A9="","",IFERROR(INDEX('Batch Enrollment (Metabase)'!$C$2:$C$47,MATCH($A9,'Batch Enrollment (Metabase)'!$A$2:$A$47,0)),""))</f>
        <v/>
      </c>
      <c r="E9" s="4">
        <f>IF($A9="","",IFERROR(INDEX('Batch Enrollment (Metabase)'!$D$2:$D$47,MATCH($A9,'Batch Enrollment (Metabase)'!$A$2:$A$47,0)),""))</f>
        <v/>
      </c>
      <c r="F9" s="3">
        <f>IF($A9="","",IFERROR(INDEX('Batch Enrollment (Metabase)'!$E$2:$E$47,MATCH($A9,'Batch Enrollment (Metabase)'!$A$2:$A$47,0)),""))</f>
        <v/>
      </c>
      <c r="G9" s="3">
        <f>IF($A9="","",IFERROR(INDEX('Batch Enrollment (Metabase)'!$F$2:$F$47,MATCH($A9,'Batch Enrollment (Metabase)'!$A$2:$A$47,0)),""))</f>
        <v/>
      </c>
      <c r="H9" s="3">
        <f>IF($A9="","",IF($D9="",COUNTIF('Picked Students (raw)'!$B$2:$B$824,$C9),COUNTIFS('Picked Students (raw)'!$B$2:$B$824,$C9,'Picked Students (raw)'!$D$2:$D$824,$D9)))</f>
        <v/>
      </c>
      <c r="I9" s="3">
        <f>IF($A9="","",IF($E9="","",IF(TODAY()&lt;$E9+30,"-",IF($D9="",SUMPRODUCT(('Picked Students (raw)'!$B$2:$B$824=$C9)*('Picked Students (raw)'!$C$2:$C$824&lt;&gt;"")*(('Picked Students (raw)'!$C$2:$C$824-$E9)&lt;30)),SUMPRODUCT(('Picked Students (raw)'!$B$2:$B$824=$C9)*('Picked Students (raw)'!$D$2:$D$824=$D9)*('Picked Students (raw)'!$C$2:$C$824&lt;&gt;"")*(('Picked Students (raw)'!$C$2:$C$824-$E9)&lt;30))))))</f>
        <v/>
      </c>
      <c r="J9" s="5">
        <f>IF($A9="","",IF(I9="-","-",IF($G9=0,0,I9/$G9)))</f>
        <v/>
      </c>
      <c r="K9" s="3">
        <f>IF($A9="","",IF($E9="","",IF(TODAY()&lt;$E9+60,"-",IF($D9="",SUMPRODUCT(('Picked Students (raw)'!$B$2:$B$824=$C9)*('Picked Students (raw)'!$C$2:$C$824&lt;&gt;"")*(('Picked Students (raw)'!$C$2:$C$824-$E9)&lt;60)),SUMPRODUCT(('Picked Students (raw)'!$B$2:$B$824=$C9)*('Picked Students (raw)'!$D$2:$D$824=$D9)*('Picked Students (raw)'!$C$2:$C$824&lt;&gt;"")*(('Picked Students (raw)'!$C$2:$C$824-$E9)&lt;60))))))</f>
        <v/>
      </c>
      <c r="L9" s="5">
        <f>IF($A9="","",IF(K9="-","-",IF($G9=0,0,K9/$G9)))</f>
        <v/>
      </c>
      <c r="M9" s="3">
        <f>IF($A9="","",IF($E9="","",IF(TODAY()&lt;$E9+90,"-",IF($D9="",SUMPRODUCT(('Picked Students (raw)'!$B$2:$B$824=$C9)*('Picked Students (raw)'!$C$2:$C$824&lt;&gt;"")*(('Picked Students (raw)'!$C$2:$C$824-$E9)&lt;90)),SUMPRODUCT(('Picked Students (raw)'!$B$2:$B$824=$C9)*('Picked Students (raw)'!$D$2:$D$824=$D9)*('Picked Students (raw)'!$C$2:$C$824&lt;&gt;"")*(('Picked Students (raw)'!$C$2:$C$824-$E9)&lt;90))))))</f>
        <v/>
      </c>
      <c r="N9" s="5">
        <f>IF($A9="","",IF(M9="-","-",IF($G9=0,0,M9/$G9)))</f>
        <v/>
      </c>
      <c r="O9" s="3">
        <f>IF($A9="","",IF($E9="","",IF(TODAY()&lt;$E9+120,"-",IF($D9="",SUMPRODUCT(('Picked Students (raw)'!$B$2:$B$824=$C9)*('Picked Students (raw)'!$C$2:$C$824&lt;&gt;"")*(('Picked Students (raw)'!$C$2:$C$824-$E9)&lt;120)),SUMPRODUCT(('Picked Students (raw)'!$B$2:$B$824=$C9)*('Picked Students (raw)'!$D$2:$D$824=$D9)*('Picked Students (raw)'!$C$2:$C$824&lt;&gt;"")*(('Picked Students (raw)'!$C$2:$C$824-$E9)&lt;120))))))</f>
        <v/>
      </c>
      <c r="P9" s="5">
        <f>IF($A9="","",IF(O9="-","-",IF($G9=0,0,O9/$G9)))</f>
        <v/>
      </c>
      <c r="Q9" s="3">
        <f>IF($A9="","",IF($E9="","",IF(TODAY()&lt;$E9+150,"-",IF($D9="",SUMPRODUCT(('Picked Students (raw)'!$B$2:$B$824=$C9)*('Picked Students (raw)'!$C$2:$C$824&lt;&gt;"")*(('Picked Students (raw)'!$C$2:$C$824-$E9)&lt;150)),SUMPRODUCT(('Picked Students (raw)'!$B$2:$B$824=$C9)*('Picked Students (raw)'!$D$2:$D$824=$D9)*('Picked Students (raw)'!$C$2:$C$824&lt;&gt;"")*(('Picked Students (raw)'!$C$2:$C$824-$E9)&lt;150))))))</f>
        <v/>
      </c>
      <c r="R9" s="5">
        <f>IF($A9="","",IF(Q9="-","-",IF($G9=0,0,Q9/$G9)))</f>
        <v/>
      </c>
      <c r="S9" s="3">
        <f>IF($A9="","",IF($E9="","",IF(TODAY()&lt;$E9+180,"-",IF($D9="",SUMPRODUCT(('Picked Students (raw)'!$B$2:$B$824=$C9)*('Picked Students (raw)'!$C$2:$C$824&lt;&gt;"")*(('Picked Students (raw)'!$C$2:$C$824-$E9)&lt;180)),SUMPRODUCT(('Picked Students (raw)'!$B$2:$B$824=$C9)*('Picked Students (raw)'!$D$2:$D$824=$D9)*('Picked Students (raw)'!$C$2:$C$824&lt;&gt;"")*(('Picked Students (raw)'!$C$2:$C$824-$E9)&lt;180))))))</f>
        <v/>
      </c>
      <c r="T9" s="5">
        <f>IF($A9="","",IF(S9="-","-",IF($G9=0,0,S9/$G9)))</f>
        <v/>
      </c>
      <c r="U9" s="3">
        <f>IF($A9="","",IF($E9="","",IF(TODAY()&lt;$E9+210,"-",IF($D9="",SUMPRODUCT(('Picked Students (raw)'!$B$2:$B$824=$C9)*('Picked Students (raw)'!$C$2:$C$824&lt;&gt;"")*(('Picked Students (raw)'!$C$2:$C$824-$E9)&lt;210)),SUMPRODUCT(('Picked Students (raw)'!$B$2:$B$824=$C9)*('Picked Students (raw)'!$D$2:$D$824=$D9)*('Picked Students (raw)'!$C$2:$C$824&lt;&gt;"")*(('Picked Students (raw)'!$C$2:$C$824-$E9)&lt;210))))))</f>
        <v/>
      </c>
      <c r="V9" s="5">
        <f>IF($A9="","",IF(U9="-","-",IF($G9=0,0,U9/$G9)))</f>
        <v/>
      </c>
      <c r="W9" s="3">
        <f>IF($A9="","",IF($E9="","",IF(TODAY()&lt;$E9+240,"-",IF($D9="",SUMPRODUCT(('Picked Students (raw)'!$B$2:$B$824=$C9)*('Picked Students (raw)'!$C$2:$C$824&lt;&gt;"")*(('Picked Students (raw)'!$C$2:$C$824-$E9)&lt;240)),SUMPRODUCT(('Picked Students (raw)'!$B$2:$B$824=$C9)*('Picked Students (raw)'!$D$2:$D$824=$D9)*('Picked Students (raw)'!$C$2:$C$824&lt;&gt;"")*(('Picked Students (raw)'!$C$2:$C$824-$E9)&lt;240))))))</f>
        <v/>
      </c>
      <c r="X9" s="5">
        <f>IF($A9="","",IF(W9="-","-",IF($G9=0,0,W9/$G9)))</f>
        <v/>
      </c>
      <c r="Y9" s="3">
        <f>IF($A9="","",IF($E9="","",IF(TODAY()&lt;$E9+270,"-",IF($D9="",SUMPRODUCT(('Picked Students (raw)'!$B$2:$B$824=$C9)*('Picked Students (raw)'!$C$2:$C$824&lt;&gt;"")*(('Picked Students (raw)'!$C$2:$C$824-$E9)&lt;270)),SUMPRODUCT(('Picked Students (raw)'!$B$2:$B$824=$C9)*('Picked Students (raw)'!$D$2:$D$824=$D9)*('Picked Students (raw)'!$C$2:$C$824&lt;&gt;"")*(('Picked Students (raw)'!$C$2:$C$824-$E9)&lt;270))))))</f>
        <v/>
      </c>
      <c r="Z9" s="5">
        <f>IF($A9="","",IF(Y9="-","-",IF($G9=0,0,Y9/$G9)))</f>
        <v/>
      </c>
      <c r="AA9" s="3">
        <f>IF($A9="","",IF($E9="","",IF(TODAY()&lt;$E9+300,"-",IF($D9="",SUMPRODUCT(('Picked Students (raw)'!$B$2:$B$824=$C9)*('Picked Students (raw)'!$C$2:$C$824&lt;&gt;"")*(('Picked Students (raw)'!$C$2:$C$824-$E9)&lt;300)),SUMPRODUCT(('Picked Students (raw)'!$B$2:$B$824=$C9)*('Picked Students (raw)'!$D$2:$D$824=$D9)*('Picked Students (raw)'!$C$2:$C$824&lt;&gt;"")*(('Picked Students (raw)'!$C$2:$C$824-$E9)&lt;300))))))</f>
        <v/>
      </c>
      <c r="AB9" s="5">
        <f>IF($A9="","",IF(AA9="-","-",IF($G9=0,0,AA9/$G9)))</f>
        <v/>
      </c>
      <c r="AC9" s="3">
        <f>IF($A9="","",IF($E9="","",IF(TODAY()&lt;$E9+330,"-",IF($D9="",SUMPRODUCT(('Picked Students (raw)'!$B$2:$B$824=$C9)*('Picked Students (raw)'!$C$2:$C$824&lt;&gt;"")*(('Picked Students (raw)'!$C$2:$C$824-$E9)&lt;330)),SUMPRODUCT(('Picked Students (raw)'!$B$2:$B$824=$C9)*('Picked Students (raw)'!$D$2:$D$824=$D9)*('Picked Students (raw)'!$C$2:$C$824&lt;&gt;"")*(('Picked Students (raw)'!$C$2:$C$824-$E9)&lt;330))))))</f>
        <v/>
      </c>
      <c r="AD9" s="5">
        <f>IF($A9="","",IF(AC9="-","-",IF($G9=0,0,AC9/$G9)))</f>
        <v/>
      </c>
      <c r="AE9" s="3">
        <f>IF($A9="","",IF($E9="","",IF(TODAY()&lt;$E9+360,"-",IF($D9="",SUMPRODUCT(('Picked Students (raw)'!$B$2:$B$824=$C9)*('Picked Students (raw)'!$C$2:$C$824&lt;&gt;"")*(('Picked Students (raw)'!$C$2:$C$824-$E9)&lt;360)),SUMPRODUCT(('Picked Students (raw)'!$B$2:$B$824=$C9)*('Picked Students (raw)'!$D$2:$D$824=$D9)*('Picked Students (raw)'!$C$2:$C$824&lt;&gt;"")*(('Picked Students (raw)'!$C$2:$C$824-$E9)&lt;360))))))</f>
        <v/>
      </c>
      <c r="AF9" s="5">
        <f>IF($A9="","",IF(AE9="-","-",IF($G9=0,0,AE9/$G9)))</f>
        <v/>
      </c>
      <c r="AG9" s="3">
        <f>IF($A9="","",IF($E9="","",IF(TODAY()&lt;$E9+390,"-",IF($D9="",SUMPRODUCT(('Picked Students (raw)'!$B$2:$B$824=$C9)*('Picked Students (raw)'!$C$2:$C$824&lt;&gt;"")*(('Picked Students (raw)'!$C$2:$C$824-$E9)&lt;390)),SUMPRODUCT(('Picked Students (raw)'!$B$2:$B$824=$C9)*('Picked Students (raw)'!$D$2:$D$824=$D9)*('Picked Students (raw)'!$C$2:$C$824&lt;&gt;"")*(('Picked Students (raw)'!$C$2:$C$824-$E9)&lt;390))))))</f>
        <v/>
      </c>
      <c r="AH9" s="5">
        <f>IF($A9="","",IF(AG9="-","-",IF($G9=0,0,AG9/$G9)))</f>
        <v/>
      </c>
      <c r="AI9" s="3">
        <f>IF($A9="","",IF($E9="","",IF(TODAY()&lt;$E9+420,"-",IF($D9="",SUMPRODUCT(('Picked Students (raw)'!$B$2:$B$824=$C9)*('Picked Students (raw)'!$C$2:$C$824&lt;&gt;"")*(('Picked Students (raw)'!$C$2:$C$824-$E9)&lt;420)),SUMPRODUCT(('Picked Students (raw)'!$B$2:$B$824=$C9)*('Picked Students (raw)'!$D$2:$D$824=$D9)*('Picked Students (raw)'!$C$2:$C$824&lt;&gt;"")*(('Picked Students (raw)'!$C$2:$C$824-$E9)&lt;420))))))</f>
        <v/>
      </c>
      <c r="AJ9" s="5">
        <f>IF($A9="","",IF(AI9="-","-",IF($G9=0,0,AI9/$G9)))</f>
        <v/>
      </c>
      <c r="AK9" s="3">
        <f>IF($A9="","",IF($E9="","",IF(TODAY()&lt;$E9+450,"-",IF($D9="",SUMPRODUCT(('Picked Students (raw)'!$B$2:$B$824=$C9)*('Picked Students (raw)'!$C$2:$C$824&lt;&gt;"")*(('Picked Students (raw)'!$C$2:$C$824-$E9)&lt;450)),SUMPRODUCT(('Picked Students (raw)'!$B$2:$B$824=$C9)*('Picked Students (raw)'!$D$2:$D$824=$D9)*('Picked Students (raw)'!$C$2:$C$824&lt;&gt;"")*(('Picked Students (raw)'!$C$2:$C$824-$E9)&lt;450))))))</f>
        <v/>
      </c>
      <c r="AL9" s="5">
        <f>IF($A9="","",IF(AK9="-","-",IF($G9=0,0,AK9/$G9)))</f>
        <v/>
      </c>
      <c r="AM9" s="3">
        <f>IF($A9="","",IF($E9="","",IF(TODAY()&lt;$E9+480,"-",IF($D9="",SUMPRODUCT(('Picked Students (raw)'!$B$2:$B$824=$C9)*('Picked Students (raw)'!$C$2:$C$824&lt;&gt;"")*(('Picked Students (raw)'!$C$2:$C$824-$E9)&lt;480)),SUMPRODUCT(('Picked Students (raw)'!$B$2:$B$824=$C9)*('Picked Students (raw)'!$D$2:$D$824=$D9)*('Picked Students (raw)'!$C$2:$C$824&lt;&gt;"")*(('Picked Students (raw)'!$C$2:$C$824-$E9)&lt;480))))))</f>
        <v/>
      </c>
      <c r="AN9" s="5">
        <f>IF($A9="","",IF(AM9="-","-",IF($G9=0,0,AM9/$G9)))</f>
        <v/>
      </c>
      <c r="AO9" s="3">
        <f>IF($A9="","",IF($E9="","",IF(TODAY()&lt;$E9+510,"-",IF($D9="",SUMPRODUCT(('Picked Students (raw)'!$B$2:$B$824=$C9)*('Picked Students (raw)'!$C$2:$C$824&lt;&gt;"")*(('Picked Students (raw)'!$C$2:$C$824-$E9)&lt;510)),SUMPRODUCT(('Picked Students (raw)'!$B$2:$B$824=$C9)*('Picked Students (raw)'!$D$2:$D$824=$D9)*('Picked Students (raw)'!$C$2:$C$824&lt;&gt;"")*(('Picked Students (raw)'!$C$2:$C$824-$E9)&lt;510))))))</f>
        <v/>
      </c>
      <c r="AP9" s="5">
        <f>IF($A9="","",IF(AO9="-","-",IF($G9=0,0,AO9/$G9)))</f>
        <v/>
      </c>
      <c r="AQ9" s="3">
        <f>IF($A9="","",IF($E9="","",IF(TODAY()&lt;$E9+540,"-",IF($D9="",SUMPRODUCT(('Picked Students (raw)'!$B$2:$B$824=$C9)*('Picked Students (raw)'!$C$2:$C$824&lt;&gt;"")*(('Picked Students (raw)'!$C$2:$C$824-$E9)&lt;540)),SUMPRODUCT(('Picked Students (raw)'!$B$2:$B$824=$C9)*('Picked Students (raw)'!$D$2:$D$824=$D9)*('Picked Students (raw)'!$C$2:$C$824&lt;&gt;"")*(('Picked Students (raw)'!$C$2:$C$824-$E9)&lt;540))))))</f>
        <v/>
      </c>
      <c r="AR9" s="5">
        <f>IF($A9="","",IF(AQ9="-","-",IF($G9=0,0,AQ9/$G9)))</f>
        <v/>
      </c>
      <c r="AS9" s="3">
        <f>IF($A9="","",IF(AQ9="-","-",$H9-AQ9))</f>
        <v/>
      </c>
    </row>
    <row r="10">
      <c r="A10" s="3" t="inlineStr">
        <is>
          <t>Professional Certificate Course In Data Science - November 2023</t>
        </is>
      </c>
      <c r="B10" s="3">
        <f>IF($A10="","",IFERROR(IF(INDEX('Batch Enrollment (Metabase)'!$C$2:$C$47,MATCH($A10,'Batch Enrollment (Metabase)'!$A$2:$A$47,0))="GEM","A",IF(INDEX('Batch Enrollment (Metabase)'!$C$2:$C$47,MATCH($A10,'Batch Enrollment (Metabase)'!$A$2:$A$47,0))="Non-GEM","B","")),""))</f>
        <v/>
      </c>
      <c r="C10" s="3">
        <f>IF($A10="","",IFERROR(INDEX('Batch Enrollment (Metabase)'!$B$2:$B$47,MATCH($A10,'Batch Enrollment (Metabase)'!$A$2:$A$47,0)),""))</f>
        <v/>
      </c>
      <c r="D10" s="3">
        <f>IF($A10="","",IFERROR(INDEX('Batch Enrollment (Metabase)'!$C$2:$C$47,MATCH($A10,'Batch Enrollment (Metabase)'!$A$2:$A$47,0)),""))</f>
        <v/>
      </c>
      <c r="E10" s="4">
        <f>IF($A10="","",IFERROR(INDEX('Batch Enrollment (Metabase)'!$D$2:$D$47,MATCH($A10,'Batch Enrollment (Metabase)'!$A$2:$A$47,0)),""))</f>
        <v/>
      </c>
      <c r="F10" s="3">
        <f>IF($A10="","",IFERROR(INDEX('Batch Enrollment (Metabase)'!$E$2:$E$47,MATCH($A10,'Batch Enrollment (Metabase)'!$A$2:$A$47,0)),""))</f>
        <v/>
      </c>
      <c r="G10" s="3">
        <f>IF($A10="","",IFERROR(INDEX('Batch Enrollment (Metabase)'!$F$2:$F$47,MATCH($A10,'Batch Enrollment (Metabase)'!$A$2:$A$47,0)),""))</f>
        <v/>
      </c>
      <c r="H10" s="3">
        <f>IF($A10="","",IF($D10="",COUNTIF('Picked Students (raw)'!$B$2:$B$824,$C10),COUNTIFS('Picked Students (raw)'!$B$2:$B$824,$C10,'Picked Students (raw)'!$D$2:$D$824,$D10)))</f>
        <v/>
      </c>
      <c r="I10" s="3">
        <f>IF($A10="","",IF($E10="","",IF(TODAY()&lt;$E10+30,"-",IF($D10="",SUMPRODUCT(('Picked Students (raw)'!$B$2:$B$824=$C10)*('Picked Students (raw)'!$C$2:$C$824&lt;&gt;"")*(('Picked Students (raw)'!$C$2:$C$824-$E10)&lt;30)),SUMPRODUCT(('Picked Students (raw)'!$B$2:$B$824=$C10)*('Picked Students (raw)'!$D$2:$D$824=$D10)*('Picked Students (raw)'!$C$2:$C$824&lt;&gt;"")*(('Picked Students (raw)'!$C$2:$C$824-$E10)&lt;30))))))</f>
        <v/>
      </c>
      <c r="J10" s="5">
        <f>IF($A10="","",IF(I10="-","-",IF($G10=0,0,I10/$G10)))</f>
        <v/>
      </c>
      <c r="K10" s="3">
        <f>IF($A10="","",IF($E10="","",IF(TODAY()&lt;$E10+60,"-",IF($D10="",SUMPRODUCT(('Picked Students (raw)'!$B$2:$B$824=$C10)*('Picked Students (raw)'!$C$2:$C$824&lt;&gt;"")*(('Picked Students (raw)'!$C$2:$C$824-$E10)&lt;60)),SUMPRODUCT(('Picked Students (raw)'!$B$2:$B$824=$C10)*('Picked Students (raw)'!$D$2:$D$824=$D10)*('Picked Students (raw)'!$C$2:$C$824&lt;&gt;"")*(('Picked Students (raw)'!$C$2:$C$824-$E10)&lt;60))))))</f>
        <v/>
      </c>
      <c r="L10" s="5">
        <f>IF($A10="","",IF(K10="-","-",IF($G10=0,0,K10/$G10)))</f>
        <v/>
      </c>
      <c r="M10" s="3">
        <f>IF($A10="","",IF($E10="","",IF(TODAY()&lt;$E10+90,"-",IF($D10="",SUMPRODUCT(('Picked Students (raw)'!$B$2:$B$824=$C10)*('Picked Students (raw)'!$C$2:$C$824&lt;&gt;"")*(('Picked Students (raw)'!$C$2:$C$824-$E10)&lt;90)),SUMPRODUCT(('Picked Students (raw)'!$B$2:$B$824=$C10)*('Picked Students (raw)'!$D$2:$D$824=$D10)*('Picked Students (raw)'!$C$2:$C$824&lt;&gt;"")*(('Picked Students (raw)'!$C$2:$C$824-$E10)&lt;90))))))</f>
        <v/>
      </c>
      <c r="N10" s="5">
        <f>IF($A10="","",IF(M10="-","-",IF($G10=0,0,M10/$G10)))</f>
        <v/>
      </c>
      <c r="O10" s="3">
        <f>IF($A10="","",IF($E10="","",IF(TODAY()&lt;$E10+120,"-",IF($D10="",SUMPRODUCT(('Picked Students (raw)'!$B$2:$B$824=$C10)*('Picked Students (raw)'!$C$2:$C$824&lt;&gt;"")*(('Picked Students (raw)'!$C$2:$C$824-$E10)&lt;120)),SUMPRODUCT(('Picked Students (raw)'!$B$2:$B$824=$C10)*('Picked Students (raw)'!$D$2:$D$824=$D10)*('Picked Students (raw)'!$C$2:$C$824&lt;&gt;"")*(('Picked Students (raw)'!$C$2:$C$824-$E10)&lt;120))))))</f>
        <v/>
      </c>
      <c r="P10" s="5">
        <f>IF($A10="","",IF(O10="-","-",IF($G10=0,0,O10/$G10)))</f>
        <v/>
      </c>
      <c r="Q10" s="3">
        <f>IF($A10="","",IF($E10="","",IF(TODAY()&lt;$E10+150,"-",IF($D10="",SUMPRODUCT(('Picked Students (raw)'!$B$2:$B$824=$C10)*('Picked Students (raw)'!$C$2:$C$824&lt;&gt;"")*(('Picked Students (raw)'!$C$2:$C$824-$E10)&lt;150)),SUMPRODUCT(('Picked Students (raw)'!$B$2:$B$824=$C10)*('Picked Students (raw)'!$D$2:$D$824=$D10)*('Picked Students (raw)'!$C$2:$C$824&lt;&gt;"")*(('Picked Students (raw)'!$C$2:$C$824-$E10)&lt;150))))))</f>
        <v/>
      </c>
      <c r="R10" s="5">
        <f>IF($A10="","",IF(Q10="-","-",IF($G10=0,0,Q10/$G10)))</f>
        <v/>
      </c>
      <c r="S10" s="3">
        <f>IF($A10="","",IF($E10="","",IF(TODAY()&lt;$E10+180,"-",IF($D10="",SUMPRODUCT(('Picked Students (raw)'!$B$2:$B$824=$C10)*('Picked Students (raw)'!$C$2:$C$824&lt;&gt;"")*(('Picked Students (raw)'!$C$2:$C$824-$E10)&lt;180)),SUMPRODUCT(('Picked Students (raw)'!$B$2:$B$824=$C10)*('Picked Students (raw)'!$D$2:$D$824=$D10)*('Picked Students (raw)'!$C$2:$C$824&lt;&gt;"")*(('Picked Students (raw)'!$C$2:$C$824-$E10)&lt;180))))))</f>
        <v/>
      </c>
      <c r="T10" s="5">
        <f>IF($A10="","",IF(S10="-","-",IF($G10=0,0,S10/$G10)))</f>
        <v/>
      </c>
      <c r="U10" s="3">
        <f>IF($A10="","",IF($E10="","",IF(TODAY()&lt;$E10+210,"-",IF($D10="",SUMPRODUCT(('Picked Students (raw)'!$B$2:$B$824=$C10)*('Picked Students (raw)'!$C$2:$C$824&lt;&gt;"")*(('Picked Students (raw)'!$C$2:$C$824-$E10)&lt;210)),SUMPRODUCT(('Picked Students (raw)'!$B$2:$B$824=$C10)*('Picked Students (raw)'!$D$2:$D$824=$D10)*('Picked Students (raw)'!$C$2:$C$824&lt;&gt;"")*(('Picked Students (raw)'!$C$2:$C$824-$E10)&lt;210))))))</f>
        <v/>
      </c>
      <c r="V10" s="5">
        <f>IF($A10="","",IF(U10="-","-",IF($G10=0,0,U10/$G10)))</f>
        <v/>
      </c>
      <c r="W10" s="3">
        <f>IF($A10="","",IF($E10="","",IF(TODAY()&lt;$E10+240,"-",IF($D10="",SUMPRODUCT(('Picked Students (raw)'!$B$2:$B$824=$C10)*('Picked Students (raw)'!$C$2:$C$824&lt;&gt;"")*(('Picked Students (raw)'!$C$2:$C$824-$E10)&lt;240)),SUMPRODUCT(('Picked Students (raw)'!$B$2:$B$824=$C10)*('Picked Students (raw)'!$D$2:$D$824=$D10)*('Picked Students (raw)'!$C$2:$C$824&lt;&gt;"")*(('Picked Students (raw)'!$C$2:$C$824-$E10)&lt;240))))))</f>
        <v/>
      </c>
      <c r="X10" s="5">
        <f>IF($A10="","",IF(W10="-","-",IF($G10=0,0,W10/$G10)))</f>
        <v/>
      </c>
      <c r="Y10" s="3">
        <f>IF($A10="","",IF($E10="","",IF(TODAY()&lt;$E10+270,"-",IF($D10="",SUMPRODUCT(('Picked Students (raw)'!$B$2:$B$824=$C10)*('Picked Students (raw)'!$C$2:$C$824&lt;&gt;"")*(('Picked Students (raw)'!$C$2:$C$824-$E10)&lt;270)),SUMPRODUCT(('Picked Students (raw)'!$B$2:$B$824=$C10)*('Picked Students (raw)'!$D$2:$D$824=$D10)*('Picked Students (raw)'!$C$2:$C$824&lt;&gt;"")*(('Picked Students (raw)'!$C$2:$C$824-$E10)&lt;270))))))</f>
        <v/>
      </c>
      <c r="Z10" s="5">
        <f>IF($A10="","",IF(Y10="-","-",IF($G10=0,0,Y10/$G10)))</f>
        <v/>
      </c>
      <c r="AA10" s="3">
        <f>IF($A10="","",IF($E10="","",IF(TODAY()&lt;$E10+300,"-",IF($D10="",SUMPRODUCT(('Picked Students (raw)'!$B$2:$B$824=$C10)*('Picked Students (raw)'!$C$2:$C$824&lt;&gt;"")*(('Picked Students (raw)'!$C$2:$C$824-$E10)&lt;300)),SUMPRODUCT(('Picked Students (raw)'!$B$2:$B$824=$C10)*('Picked Students (raw)'!$D$2:$D$824=$D10)*('Picked Students (raw)'!$C$2:$C$824&lt;&gt;"")*(('Picked Students (raw)'!$C$2:$C$824-$E10)&lt;300))))))</f>
        <v/>
      </c>
      <c r="AB10" s="5">
        <f>IF($A10="","",IF(AA10="-","-",IF($G10=0,0,AA10/$G10)))</f>
        <v/>
      </c>
      <c r="AC10" s="3">
        <f>IF($A10="","",IF($E10="","",IF(TODAY()&lt;$E10+330,"-",IF($D10="",SUMPRODUCT(('Picked Students (raw)'!$B$2:$B$824=$C10)*('Picked Students (raw)'!$C$2:$C$824&lt;&gt;"")*(('Picked Students (raw)'!$C$2:$C$824-$E10)&lt;330)),SUMPRODUCT(('Picked Students (raw)'!$B$2:$B$824=$C10)*('Picked Students (raw)'!$D$2:$D$824=$D10)*('Picked Students (raw)'!$C$2:$C$824&lt;&gt;"")*(('Picked Students (raw)'!$C$2:$C$824-$E10)&lt;330))))))</f>
        <v/>
      </c>
      <c r="AD10" s="5">
        <f>IF($A10="","",IF(AC10="-","-",IF($G10=0,0,AC10/$G10)))</f>
        <v/>
      </c>
      <c r="AE10" s="3">
        <f>IF($A10="","",IF($E10="","",IF(TODAY()&lt;$E10+360,"-",IF($D10="",SUMPRODUCT(('Picked Students (raw)'!$B$2:$B$824=$C10)*('Picked Students (raw)'!$C$2:$C$824&lt;&gt;"")*(('Picked Students (raw)'!$C$2:$C$824-$E10)&lt;360)),SUMPRODUCT(('Picked Students (raw)'!$B$2:$B$824=$C10)*('Picked Students (raw)'!$D$2:$D$824=$D10)*('Picked Students (raw)'!$C$2:$C$824&lt;&gt;"")*(('Picked Students (raw)'!$C$2:$C$824-$E10)&lt;360))))))</f>
        <v/>
      </c>
      <c r="AF10" s="5">
        <f>IF($A10="","",IF(AE10="-","-",IF($G10=0,0,AE10/$G10)))</f>
        <v/>
      </c>
      <c r="AG10" s="3">
        <f>IF($A10="","",IF($E10="","",IF(TODAY()&lt;$E10+390,"-",IF($D10="",SUMPRODUCT(('Picked Students (raw)'!$B$2:$B$824=$C10)*('Picked Students (raw)'!$C$2:$C$824&lt;&gt;"")*(('Picked Students (raw)'!$C$2:$C$824-$E10)&lt;390)),SUMPRODUCT(('Picked Students (raw)'!$B$2:$B$824=$C10)*('Picked Students (raw)'!$D$2:$D$824=$D10)*('Picked Students (raw)'!$C$2:$C$824&lt;&gt;"")*(('Picked Students (raw)'!$C$2:$C$824-$E10)&lt;390))))))</f>
        <v/>
      </c>
      <c r="AH10" s="5">
        <f>IF($A10="","",IF(AG10="-","-",IF($G10=0,0,AG10/$G10)))</f>
        <v/>
      </c>
      <c r="AI10" s="3">
        <f>IF($A10="","",IF($E10="","",IF(TODAY()&lt;$E10+420,"-",IF($D10="",SUMPRODUCT(('Picked Students (raw)'!$B$2:$B$824=$C10)*('Picked Students (raw)'!$C$2:$C$824&lt;&gt;"")*(('Picked Students (raw)'!$C$2:$C$824-$E10)&lt;420)),SUMPRODUCT(('Picked Students (raw)'!$B$2:$B$824=$C10)*('Picked Students (raw)'!$D$2:$D$824=$D10)*('Picked Students (raw)'!$C$2:$C$824&lt;&gt;"")*(('Picked Students (raw)'!$C$2:$C$824-$E10)&lt;420))))))</f>
        <v/>
      </c>
      <c r="AJ10" s="5">
        <f>IF($A10="","",IF(AI10="-","-",IF($G10=0,0,AI10/$G10)))</f>
        <v/>
      </c>
      <c r="AK10" s="3">
        <f>IF($A10="","",IF($E10="","",IF(TODAY()&lt;$E10+450,"-",IF($D10="",SUMPRODUCT(('Picked Students (raw)'!$B$2:$B$824=$C10)*('Picked Students (raw)'!$C$2:$C$824&lt;&gt;"")*(('Picked Students (raw)'!$C$2:$C$824-$E10)&lt;450)),SUMPRODUCT(('Picked Students (raw)'!$B$2:$B$824=$C10)*('Picked Students (raw)'!$D$2:$D$824=$D10)*('Picked Students (raw)'!$C$2:$C$824&lt;&gt;"")*(('Picked Students (raw)'!$C$2:$C$824-$E10)&lt;450))))))</f>
        <v/>
      </c>
      <c r="AL10" s="5">
        <f>IF($A10="","",IF(AK10="-","-",IF($G10=0,0,AK10/$G10)))</f>
        <v/>
      </c>
      <c r="AM10" s="3">
        <f>IF($A10="","",IF($E10="","",IF(TODAY()&lt;$E10+480,"-",IF($D10="",SUMPRODUCT(('Picked Students (raw)'!$B$2:$B$824=$C10)*('Picked Students (raw)'!$C$2:$C$824&lt;&gt;"")*(('Picked Students (raw)'!$C$2:$C$824-$E10)&lt;480)),SUMPRODUCT(('Picked Students (raw)'!$B$2:$B$824=$C10)*('Picked Students (raw)'!$D$2:$D$824=$D10)*('Picked Students (raw)'!$C$2:$C$824&lt;&gt;"")*(('Picked Students (raw)'!$C$2:$C$824-$E10)&lt;480))))))</f>
        <v/>
      </c>
      <c r="AN10" s="5">
        <f>IF($A10="","",IF(AM10="-","-",IF($G10=0,0,AM10/$G10)))</f>
        <v/>
      </c>
      <c r="AO10" s="3">
        <f>IF($A10="","",IF($E10="","",IF(TODAY()&lt;$E10+510,"-",IF($D10="",SUMPRODUCT(('Picked Students (raw)'!$B$2:$B$824=$C10)*('Picked Students (raw)'!$C$2:$C$824&lt;&gt;"")*(('Picked Students (raw)'!$C$2:$C$824-$E10)&lt;510)),SUMPRODUCT(('Picked Students (raw)'!$B$2:$B$824=$C10)*('Picked Students (raw)'!$D$2:$D$824=$D10)*('Picked Students (raw)'!$C$2:$C$824&lt;&gt;"")*(('Picked Students (raw)'!$C$2:$C$824-$E10)&lt;510))))))</f>
        <v/>
      </c>
      <c r="AP10" s="5">
        <f>IF($A10="","",IF(AO10="-","-",IF($G10=0,0,AO10/$G10)))</f>
        <v/>
      </c>
      <c r="AQ10" s="3">
        <f>IF($A10="","",IF($E10="","",IF(TODAY()&lt;$E10+540,"-",IF($D10="",SUMPRODUCT(('Picked Students (raw)'!$B$2:$B$824=$C10)*('Picked Students (raw)'!$C$2:$C$824&lt;&gt;"")*(('Picked Students (raw)'!$C$2:$C$824-$E10)&lt;540)),SUMPRODUCT(('Picked Students (raw)'!$B$2:$B$824=$C10)*('Picked Students (raw)'!$D$2:$D$824=$D10)*('Picked Students (raw)'!$C$2:$C$824&lt;&gt;"")*(('Picked Students (raw)'!$C$2:$C$824-$E10)&lt;540))))))</f>
        <v/>
      </c>
      <c r="AR10" s="5">
        <f>IF($A10="","",IF(AQ10="-","-",IF($G10=0,0,AQ10/$G10)))</f>
        <v/>
      </c>
      <c r="AS10" s="3">
        <f>IF($A10="","",IF(AQ10="-","-",$H10-AQ10))</f>
        <v/>
      </c>
    </row>
    <row r="11">
      <c r="A11" s="3" t="inlineStr">
        <is>
          <t>Professional Certificate Course In Data Science - May 2023 - LU</t>
        </is>
      </c>
      <c r="B11" s="3">
        <f>IF($A11="","",IFERROR(IF(INDEX('Batch Enrollment (Metabase)'!$C$2:$C$47,MATCH($A11,'Batch Enrollment (Metabase)'!$A$2:$A$47,0))="GEM","A",IF(INDEX('Batch Enrollment (Metabase)'!$C$2:$C$47,MATCH($A11,'Batch Enrollment (Metabase)'!$A$2:$A$47,0))="Non-GEM","B","")),""))</f>
        <v/>
      </c>
      <c r="C11" s="3">
        <f>IF($A11="","",IFERROR(INDEX('Batch Enrollment (Metabase)'!$B$2:$B$47,MATCH($A11,'Batch Enrollment (Metabase)'!$A$2:$A$47,0)),""))</f>
        <v/>
      </c>
      <c r="D11" s="3">
        <f>IF($A11="","",IFERROR(INDEX('Batch Enrollment (Metabase)'!$C$2:$C$47,MATCH($A11,'Batch Enrollment (Metabase)'!$A$2:$A$47,0)),""))</f>
        <v/>
      </c>
      <c r="E11" s="4">
        <f>IF($A11="","",IFERROR(INDEX('Batch Enrollment (Metabase)'!$D$2:$D$47,MATCH($A11,'Batch Enrollment (Metabase)'!$A$2:$A$47,0)),""))</f>
        <v/>
      </c>
      <c r="F11" s="3">
        <f>IF($A11="","",IFERROR(INDEX('Batch Enrollment (Metabase)'!$E$2:$E$47,MATCH($A11,'Batch Enrollment (Metabase)'!$A$2:$A$47,0)),""))</f>
        <v/>
      </c>
      <c r="G11" s="3">
        <f>IF($A11="","",IFERROR(INDEX('Batch Enrollment (Metabase)'!$F$2:$F$47,MATCH($A11,'Batch Enrollment (Metabase)'!$A$2:$A$47,0)),""))</f>
        <v/>
      </c>
      <c r="H11" s="3">
        <f>IF($A11="","",IF($D11="",COUNTIF('Picked Students (raw)'!$B$2:$B$824,$C11),COUNTIFS('Picked Students (raw)'!$B$2:$B$824,$C11,'Picked Students (raw)'!$D$2:$D$824,$D11)))</f>
        <v/>
      </c>
      <c r="I11" s="3">
        <f>IF($A11="","",IF($E11="","",IF(TODAY()&lt;$E11+30,"-",IF($D11="",SUMPRODUCT(('Picked Students (raw)'!$B$2:$B$824=$C11)*('Picked Students (raw)'!$C$2:$C$824&lt;&gt;"")*(('Picked Students (raw)'!$C$2:$C$824-$E11)&lt;30)),SUMPRODUCT(('Picked Students (raw)'!$B$2:$B$824=$C11)*('Picked Students (raw)'!$D$2:$D$824=$D11)*('Picked Students (raw)'!$C$2:$C$824&lt;&gt;"")*(('Picked Students (raw)'!$C$2:$C$824-$E11)&lt;30))))))</f>
        <v/>
      </c>
      <c r="J11" s="5">
        <f>IF($A11="","",IF(I11="-","-",IF($G11=0,0,I11/$G11)))</f>
        <v/>
      </c>
      <c r="K11" s="3">
        <f>IF($A11="","",IF($E11="","",IF(TODAY()&lt;$E11+60,"-",IF($D11="",SUMPRODUCT(('Picked Students (raw)'!$B$2:$B$824=$C11)*('Picked Students (raw)'!$C$2:$C$824&lt;&gt;"")*(('Picked Students (raw)'!$C$2:$C$824-$E11)&lt;60)),SUMPRODUCT(('Picked Students (raw)'!$B$2:$B$824=$C11)*('Picked Students (raw)'!$D$2:$D$824=$D11)*('Picked Students (raw)'!$C$2:$C$824&lt;&gt;"")*(('Picked Students (raw)'!$C$2:$C$824-$E11)&lt;60))))))</f>
        <v/>
      </c>
      <c r="L11" s="5">
        <f>IF($A11="","",IF(K11="-","-",IF($G11=0,0,K11/$G11)))</f>
        <v/>
      </c>
      <c r="M11" s="3">
        <f>IF($A11="","",IF($E11="","",IF(TODAY()&lt;$E11+90,"-",IF($D11="",SUMPRODUCT(('Picked Students (raw)'!$B$2:$B$824=$C11)*('Picked Students (raw)'!$C$2:$C$824&lt;&gt;"")*(('Picked Students (raw)'!$C$2:$C$824-$E11)&lt;90)),SUMPRODUCT(('Picked Students (raw)'!$B$2:$B$824=$C11)*('Picked Students (raw)'!$D$2:$D$824=$D11)*('Picked Students (raw)'!$C$2:$C$824&lt;&gt;"")*(('Picked Students (raw)'!$C$2:$C$824-$E11)&lt;90))))))</f>
        <v/>
      </c>
      <c r="N11" s="5">
        <f>IF($A11="","",IF(M11="-","-",IF($G11=0,0,M11/$G11)))</f>
        <v/>
      </c>
      <c r="O11" s="3">
        <f>IF($A11="","",IF($E11="","",IF(TODAY()&lt;$E11+120,"-",IF($D11="",SUMPRODUCT(('Picked Students (raw)'!$B$2:$B$824=$C11)*('Picked Students (raw)'!$C$2:$C$824&lt;&gt;"")*(('Picked Students (raw)'!$C$2:$C$824-$E11)&lt;120)),SUMPRODUCT(('Picked Students (raw)'!$B$2:$B$824=$C11)*('Picked Students (raw)'!$D$2:$D$824=$D11)*('Picked Students (raw)'!$C$2:$C$824&lt;&gt;"")*(('Picked Students (raw)'!$C$2:$C$824-$E11)&lt;120))))))</f>
        <v/>
      </c>
      <c r="P11" s="5">
        <f>IF($A11="","",IF(O11="-","-",IF($G11=0,0,O11/$G11)))</f>
        <v/>
      </c>
      <c r="Q11" s="3">
        <f>IF($A11="","",IF($E11="","",IF(TODAY()&lt;$E11+150,"-",IF($D11="",SUMPRODUCT(('Picked Students (raw)'!$B$2:$B$824=$C11)*('Picked Students (raw)'!$C$2:$C$824&lt;&gt;"")*(('Picked Students (raw)'!$C$2:$C$824-$E11)&lt;150)),SUMPRODUCT(('Picked Students (raw)'!$B$2:$B$824=$C11)*('Picked Students (raw)'!$D$2:$D$824=$D11)*('Picked Students (raw)'!$C$2:$C$824&lt;&gt;"")*(('Picked Students (raw)'!$C$2:$C$824-$E11)&lt;150))))))</f>
        <v/>
      </c>
      <c r="R11" s="5">
        <f>IF($A11="","",IF(Q11="-","-",IF($G11=0,0,Q11/$G11)))</f>
        <v/>
      </c>
      <c r="S11" s="3">
        <f>IF($A11="","",IF($E11="","",IF(TODAY()&lt;$E11+180,"-",IF($D11="",SUMPRODUCT(('Picked Students (raw)'!$B$2:$B$824=$C11)*('Picked Students (raw)'!$C$2:$C$824&lt;&gt;"")*(('Picked Students (raw)'!$C$2:$C$824-$E11)&lt;180)),SUMPRODUCT(('Picked Students (raw)'!$B$2:$B$824=$C11)*('Picked Students (raw)'!$D$2:$D$824=$D11)*('Picked Students (raw)'!$C$2:$C$824&lt;&gt;"")*(('Picked Students (raw)'!$C$2:$C$824-$E11)&lt;180))))))</f>
        <v/>
      </c>
      <c r="T11" s="5">
        <f>IF($A11="","",IF(S11="-","-",IF($G11=0,0,S11/$G11)))</f>
        <v/>
      </c>
      <c r="U11" s="3">
        <f>IF($A11="","",IF($E11="","",IF(TODAY()&lt;$E11+210,"-",IF($D11="",SUMPRODUCT(('Picked Students (raw)'!$B$2:$B$824=$C11)*('Picked Students (raw)'!$C$2:$C$824&lt;&gt;"")*(('Picked Students (raw)'!$C$2:$C$824-$E11)&lt;210)),SUMPRODUCT(('Picked Students (raw)'!$B$2:$B$824=$C11)*('Picked Students (raw)'!$D$2:$D$824=$D11)*('Picked Students (raw)'!$C$2:$C$824&lt;&gt;"")*(('Picked Students (raw)'!$C$2:$C$824-$E11)&lt;210))))))</f>
        <v/>
      </c>
      <c r="V11" s="5">
        <f>IF($A11="","",IF(U11="-","-",IF($G11=0,0,U11/$G11)))</f>
        <v/>
      </c>
      <c r="W11" s="3">
        <f>IF($A11="","",IF($E11="","",IF(TODAY()&lt;$E11+240,"-",IF($D11="",SUMPRODUCT(('Picked Students (raw)'!$B$2:$B$824=$C11)*('Picked Students (raw)'!$C$2:$C$824&lt;&gt;"")*(('Picked Students (raw)'!$C$2:$C$824-$E11)&lt;240)),SUMPRODUCT(('Picked Students (raw)'!$B$2:$B$824=$C11)*('Picked Students (raw)'!$D$2:$D$824=$D11)*('Picked Students (raw)'!$C$2:$C$824&lt;&gt;"")*(('Picked Students (raw)'!$C$2:$C$824-$E11)&lt;240))))))</f>
        <v/>
      </c>
      <c r="X11" s="5">
        <f>IF($A11="","",IF(W11="-","-",IF($G11=0,0,W11/$G11)))</f>
        <v/>
      </c>
      <c r="Y11" s="3">
        <f>IF($A11="","",IF($E11="","",IF(TODAY()&lt;$E11+270,"-",IF($D11="",SUMPRODUCT(('Picked Students (raw)'!$B$2:$B$824=$C11)*('Picked Students (raw)'!$C$2:$C$824&lt;&gt;"")*(('Picked Students (raw)'!$C$2:$C$824-$E11)&lt;270)),SUMPRODUCT(('Picked Students (raw)'!$B$2:$B$824=$C11)*('Picked Students (raw)'!$D$2:$D$824=$D11)*('Picked Students (raw)'!$C$2:$C$824&lt;&gt;"")*(('Picked Students (raw)'!$C$2:$C$824-$E11)&lt;270))))))</f>
        <v/>
      </c>
      <c r="Z11" s="5">
        <f>IF($A11="","",IF(Y11="-","-",IF($G11=0,0,Y11/$G11)))</f>
        <v/>
      </c>
      <c r="AA11" s="3">
        <f>IF($A11="","",IF($E11="","",IF(TODAY()&lt;$E11+300,"-",IF($D11="",SUMPRODUCT(('Picked Students (raw)'!$B$2:$B$824=$C11)*('Picked Students (raw)'!$C$2:$C$824&lt;&gt;"")*(('Picked Students (raw)'!$C$2:$C$824-$E11)&lt;300)),SUMPRODUCT(('Picked Students (raw)'!$B$2:$B$824=$C11)*('Picked Students (raw)'!$D$2:$D$824=$D11)*('Picked Students (raw)'!$C$2:$C$824&lt;&gt;"")*(('Picked Students (raw)'!$C$2:$C$824-$E11)&lt;300))))))</f>
        <v/>
      </c>
      <c r="AB11" s="5">
        <f>IF($A11="","",IF(AA11="-","-",IF($G11=0,0,AA11/$G11)))</f>
        <v/>
      </c>
      <c r="AC11" s="3">
        <f>IF($A11="","",IF($E11="","",IF(TODAY()&lt;$E11+330,"-",IF($D11="",SUMPRODUCT(('Picked Students (raw)'!$B$2:$B$824=$C11)*('Picked Students (raw)'!$C$2:$C$824&lt;&gt;"")*(('Picked Students (raw)'!$C$2:$C$824-$E11)&lt;330)),SUMPRODUCT(('Picked Students (raw)'!$B$2:$B$824=$C11)*('Picked Students (raw)'!$D$2:$D$824=$D11)*('Picked Students (raw)'!$C$2:$C$824&lt;&gt;"")*(('Picked Students (raw)'!$C$2:$C$824-$E11)&lt;330))))))</f>
        <v/>
      </c>
      <c r="AD11" s="5">
        <f>IF($A11="","",IF(AC11="-","-",IF($G11=0,0,AC11/$G11)))</f>
        <v/>
      </c>
      <c r="AE11" s="3">
        <f>IF($A11="","",IF($E11="","",IF(TODAY()&lt;$E11+360,"-",IF($D11="",SUMPRODUCT(('Picked Students (raw)'!$B$2:$B$824=$C11)*('Picked Students (raw)'!$C$2:$C$824&lt;&gt;"")*(('Picked Students (raw)'!$C$2:$C$824-$E11)&lt;360)),SUMPRODUCT(('Picked Students (raw)'!$B$2:$B$824=$C11)*('Picked Students (raw)'!$D$2:$D$824=$D11)*('Picked Students (raw)'!$C$2:$C$824&lt;&gt;"")*(('Picked Students (raw)'!$C$2:$C$824-$E11)&lt;360))))))</f>
        <v/>
      </c>
      <c r="AF11" s="5">
        <f>IF($A11="","",IF(AE11="-","-",IF($G11=0,0,AE11/$G11)))</f>
        <v/>
      </c>
      <c r="AG11" s="3">
        <f>IF($A11="","",IF($E11="","",IF(TODAY()&lt;$E11+390,"-",IF($D11="",SUMPRODUCT(('Picked Students (raw)'!$B$2:$B$824=$C11)*('Picked Students (raw)'!$C$2:$C$824&lt;&gt;"")*(('Picked Students (raw)'!$C$2:$C$824-$E11)&lt;390)),SUMPRODUCT(('Picked Students (raw)'!$B$2:$B$824=$C11)*('Picked Students (raw)'!$D$2:$D$824=$D11)*('Picked Students (raw)'!$C$2:$C$824&lt;&gt;"")*(('Picked Students (raw)'!$C$2:$C$824-$E11)&lt;390))))))</f>
        <v/>
      </c>
      <c r="AH11" s="5">
        <f>IF($A11="","",IF(AG11="-","-",IF($G11=0,0,AG11/$G11)))</f>
        <v/>
      </c>
      <c r="AI11" s="3">
        <f>IF($A11="","",IF($E11="","",IF(TODAY()&lt;$E11+420,"-",IF($D11="",SUMPRODUCT(('Picked Students (raw)'!$B$2:$B$824=$C11)*('Picked Students (raw)'!$C$2:$C$824&lt;&gt;"")*(('Picked Students (raw)'!$C$2:$C$824-$E11)&lt;420)),SUMPRODUCT(('Picked Students (raw)'!$B$2:$B$824=$C11)*('Picked Students (raw)'!$D$2:$D$824=$D11)*('Picked Students (raw)'!$C$2:$C$824&lt;&gt;"")*(('Picked Students (raw)'!$C$2:$C$824-$E11)&lt;420))))))</f>
        <v/>
      </c>
      <c r="AJ11" s="5">
        <f>IF($A11="","",IF(AI11="-","-",IF($G11=0,0,AI11/$G11)))</f>
        <v/>
      </c>
      <c r="AK11" s="3">
        <f>IF($A11="","",IF($E11="","",IF(TODAY()&lt;$E11+450,"-",IF($D11="",SUMPRODUCT(('Picked Students (raw)'!$B$2:$B$824=$C11)*('Picked Students (raw)'!$C$2:$C$824&lt;&gt;"")*(('Picked Students (raw)'!$C$2:$C$824-$E11)&lt;450)),SUMPRODUCT(('Picked Students (raw)'!$B$2:$B$824=$C11)*('Picked Students (raw)'!$D$2:$D$824=$D11)*('Picked Students (raw)'!$C$2:$C$824&lt;&gt;"")*(('Picked Students (raw)'!$C$2:$C$824-$E11)&lt;450))))))</f>
        <v/>
      </c>
      <c r="AL11" s="5">
        <f>IF($A11="","",IF(AK11="-","-",IF($G11=0,0,AK11/$G11)))</f>
        <v/>
      </c>
      <c r="AM11" s="3">
        <f>IF($A11="","",IF($E11="","",IF(TODAY()&lt;$E11+480,"-",IF($D11="",SUMPRODUCT(('Picked Students (raw)'!$B$2:$B$824=$C11)*('Picked Students (raw)'!$C$2:$C$824&lt;&gt;"")*(('Picked Students (raw)'!$C$2:$C$824-$E11)&lt;480)),SUMPRODUCT(('Picked Students (raw)'!$B$2:$B$824=$C11)*('Picked Students (raw)'!$D$2:$D$824=$D11)*('Picked Students (raw)'!$C$2:$C$824&lt;&gt;"")*(('Picked Students (raw)'!$C$2:$C$824-$E11)&lt;480))))))</f>
        <v/>
      </c>
      <c r="AN11" s="5">
        <f>IF($A11="","",IF(AM11="-","-",IF($G11=0,0,AM11/$G11)))</f>
        <v/>
      </c>
      <c r="AO11" s="3">
        <f>IF($A11="","",IF($E11="","",IF(TODAY()&lt;$E11+510,"-",IF($D11="",SUMPRODUCT(('Picked Students (raw)'!$B$2:$B$824=$C11)*('Picked Students (raw)'!$C$2:$C$824&lt;&gt;"")*(('Picked Students (raw)'!$C$2:$C$824-$E11)&lt;510)),SUMPRODUCT(('Picked Students (raw)'!$B$2:$B$824=$C11)*('Picked Students (raw)'!$D$2:$D$824=$D11)*('Picked Students (raw)'!$C$2:$C$824&lt;&gt;"")*(('Picked Students (raw)'!$C$2:$C$824-$E11)&lt;510))))))</f>
        <v/>
      </c>
      <c r="AP11" s="5">
        <f>IF($A11="","",IF(AO11="-","-",IF($G11=0,0,AO11/$G11)))</f>
        <v/>
      </c>
      <c r="AQ11" s="3">
        <f>IF($A11="","",IF($E11="","",IF(TODAY()&lt;$E11+540,"-",IF($D11="",SUMPRODUCT(('Picked Students (raw)'!$B$2:$B$824=$C11)*('Picked Students (raw)'!$C$2:$C$824&lt;&gt;"")*(('Picked Students (raw)'!$C$2:$C$824-$E11)&lt;540)),SUMPRODUCT(('Picked Students (raw)'!$B$2:$B$824=$C11)*('Picked Students (raw)'!$D$2:$D$824=$D11)*('Picked Students (raw)'!$C$2:$C$824&lt;&gt;"")*(('Picked Students (raw)'!$C$2:$C$824-$E11)&lt;540))))))</f>
        <v/>
      </c>
      <c r="AR11" s="5">
        <f>IF($A11="","",IF(AQ11="-","-",IF($G11=0,0,AQ11/$G11)))</f>
        <v/>
      </c>
      <c r="AS11" s="3">
        <f>IF($A11="","",IF(AQ11="-","-",$H11-AQ11))</f>
        <v/>
      </c>
    </row>
    <row r="12">
      <c r="A12" s="3" t="inlineStr">
        <is>
          <t>Professional Certificate Course In Data Science - December 2023</t>
        </is>
      </c>
      <c r="B12" s="3">
        <f>IF($A12="","",IFERROR(IF(INDEX('Batch Enrollment (Metabase)'!$C$2:$C$47,MATCH($A12,'Batch Enrollment (Metabase)'!$A$2:$A$47,0))="GEM","A",IF(INDEX('Batch Enrollment (Metabase)'!$C$2:$C$47,MATCH($A12,'Batch Enrollment (Metabase)'!$A$2:$A$47,0))="Non-GEM","B","")),""))</f>
        <v/>
      </c>
      <c r="C12" s="3">
        <f>IF($A12="","",IFERROR(INDEX('Batch Enrollment (Metabase)'!$B$2:$B$47,MATCH($A12,'Batch Enrollment (Metabase)'!$A$2:$A$47,0)),""))</f>
        <v/>
      </c>
      <c r="D12" s="3">
        <f>IF($A12="","",IFERROR(INDEX('Batch Enrollment (Metabase)'!$C$2:$C$47,MATCH($A12,'Batch Enrollment (Metabase)'!$A$2:$A$47,0)),""))</f>
        <v/>
      </c>
      <c r="E12" s="4">
        <f>IF($A12="","",IFERROR(INDEX('Batch Enrollment (Metabase)'!$D$2:$D$47,MATCH($A12,'Batch Enrollment (Metabase)'!$A$2:$A$47,0)),""))</f>
        <v/>
      </c>
      <c r="F12" s="3">
        <f>IF($A12="","",IFERROR(INDEX('Batch Enrollment (Metabase)'!$E$2:$E$47,MATCH($A12,'Batch Enrollment (Metabase)'!$A$2:$A$47,0)),""))</f>
        <v/>
      </c>
      <c r="G12" s="3">
        <f>IF($A12="","",IFERROR(INDEX('Batch Enrollment (Metabase)'!$F$2:$F$47,MATCH($A12,'Batch Enrollment (Metabase)'!$A$2:$A$47,0)),""))</f>
        <v/>
      </c>
      <c r="H12" s="3">
        <f>IF($A12="","",IF($D12="",COUNTIF('Picked Students (raw)'!$B$2:$B$824,$C12),COUNTIFS('Picked Students (raw)'!$B$2:$B$824,$C12,'Picked Students (raw)'!$D$2:$D$824,$D12)))</f>
        <v/>
      </c>
      <c r="I12" s="3">
        <f>IF($A12="","",IF($E12="","",IF(TODAY()&lt;$E12+30,"-",IF($D12="",SUMPRODUCT(('Picked Students (raw)'!$B$2:$B$824=$C12)*('Picked Students (raw)'!$C$2:$C$824&lt;&gt;"")*(('Picked Students (raw)'!$C$2:$C$824-$E12)&lt;30)),SUMPRODUCT(('Picked Students (raw)'!$B$2:$B$824=$C12)*('Picked Students (raw)'!$D$2:$D$824=$D12)*('Picked Students (raw)'!$C$2:$C$824&lt;&gt;"")*(('Picked Students (raw)'!$C$2:$C$824-$E12)&lt;30))))))</f>
        <v/>
      </c>
      <c r="J12" s="5">
        <f>IF($A12="","",IF(I12="-","-",IF($G12=0,0,I12/$G12)))</f>
        <v/>
      </c>
      <c r="K12" s="3">
        <f>IF($A12="","",IF($E12="","",IF(TODAY()&lt;$E12+60,"-",IF($D12="",SUMPRODUCT(('Picked Students (raw)'!$B$2:$B$824=$C12)*('Picked Students (raw)'!$C$2:$C$824&lt;&gt;"")*(('Picked Students (raw)'!$C$2:$C$824-$E12)&lt;60)),SUMPRODUCT(('Picked Students (raw)'!$B$2:$B$824=$C12)*('Picked Students (raw)'!$D$2:$D$824=$D12)*('Picked Students (raw)'!$C$2:$C$824&lt;&gt;"")*(('Picked Students (raw)'!$C$2:$C$824-$E12)&lt;60))))))</f>
        <v/>
      </c>
      <c r="L12" s="5">
        <f>IF($A12="","",IF(K12="-","-",IF($G12=0,0,K12/$G12)))</f>
        <v/>
      </c>
      <c r="M12" s="3">
        <f>IF($A12="","",IF($E12="","",IF(TODAY()&lt;$E12+90,"-",IF($D12="",SUMPRODUCT(('Picked Students (raw)'!$B$2:$B$824=$C12)*('Picked Students (raw)'!$C$2:$C$824&lt;&gt;"")*(('Picked Students (raw)'!$C$2:$C$824-$E12)&lt;90)),SUMPRODUCT(('Picked Students (raw)'!$B$2:$B$824=$C12)*('Picked Students (raw)'!$D$2:$D$824=$D12)*('Picked Students (raw)'!$C$2:$C$824&lt;&gt;"")*(('Picked Students (raw)'!$C$2:$C$824-$E12)&lt;90))))))</f>
        <v/>
      </c>
      <c r="N12" s="5">
        <f>IF($A12="","",IF(M12="-","-",IF($G12=0,0,M12/$G12)))</f>
        <v/>
      </c>
      <c r="O12" s="3">
        <f>IF($A12="","",IF($E12="","",IF(TODAY()&lt;$E12+120,"-",IF($D12="",SUMPRODUCT(('Picked Students (raw)'!$B$2:$B$824=$C12)*('Picked Students (raw)'!$C$2:$C$824&lt;&gt;"")*(('Picked Students (raw)'!$C$2:$C$824-$E12)&lt;120)),SUMPRODUCT(('Picked Students (raw)'!$B$2:$B$824=$C12)*('Picked Students (raw)'!$D$2:$D$824=$D12)*('Picked Students (raw)'!$C$2:$C$824&lt;&gt;"")*(('Picked Students (raw)'!$C$2:$C$824-$E12)&lt;120))))))</f>
        <v/>
      </c>
      <c r="P12" s="5">
        <f>IF($A12="","",IF(O12="-","-",IF($G12=0,0,O12/$G12)))</f>
        <v/>
      </c>
      <c r="Q12" s="3">
        <f>IF($A12="","",IF($E12="","",IF(TODAY()&lt;$E12+150,"-",IF($D12="",SUMPRODUCT(('Picked Students (raw)'!$B$2:$B$824=$C12)*('Picked Students (raw)'!$C$2:$C$824&lt;&gt;"")*(('Picked Students (raw)'!$C$2:$C$824-$E12)&lt;150)),SUMPRODUCT(('Picked Students (raw)'!$B$2:$B$824=$C12)*('Picked Students (raw)'!$D$2:$D$824=$D12)*('Picked Students (raw)'!$C$2:$C$824&lt;&gt;"")*(('Picked Students (raw)'!$C$2:$C$824-$E12)&lt;150))))))</f>
        <v/>
      </c>
      <c r="R12" s="5">
        <f>IF($A12="","",IF(Q12="-","-",IF($G12=0,0,Q12/$G12)))</f>
        <v/>
      </c>
      <c r="S12" s="3">
        <f>IF($A12="","",IF($E12="","",IF(TODAY()&lt;$E12+180,"-",IF($D12="",SUMPRODUCT(('Picked Students (raw)'!$B$2:$B$824=$C12)*('Picked Students (raw)'!$C$2:$C$824&lt;&gt;"")*(('Picked Students (raw)'!$C$2:$C$824-$E12)&lt;180)),SUMPRODUCT(('Picked Students (raw)'!$B$2:$B$824=$C12)*('Picked Students (raw)'!$D$2:$D$824=$D12)*('Picked Students (raw)'!$C$2:$C$824&lt;&gt;"")*(('Picked Students (raw)'!$C$2:$C$824-$E12)&lt;180))))))</f>
        <v/>
      </c>
      <c r="T12" s="5">
        <f>IF($A12="","",IF(S12="-","-",IF($G12=0,0,S12/$G12)))</f>
        <v/>
      </c>
      <c r="U12" s="3">
        <f>IF($A12="","",IF($E12="","",IF(TODAY()&lt;$E12+210,"-",IF($D12="",SUMPRODUCT(('Picked Students (raw)'!$B$2:$B$824=$C12)*('Picked Students (raw)'!$C$2:$C$824&lt;&gt;"")*(('Picked Students (raw)'!$C$2:$C$824-$E12)&lt;210)),SUMPRODUCT(('Picked Students (raw)'!$B$2:$B$824=$C12)*('Picked Students (raw)'!$D$2:$D$824=$D12)*('Picked Students (raw)'!$C$2:$C$824&lt;&gt;"")*(('Picked Students (raw)'!$C$2:$C$824-$E12)&lt;210))))))</f>
        <v/>
      </c>
      <c r="V12" s="5">
        <f>IF($A12="","",IF(U12="-","-",IF($G12=0,0,U12/$G12)))</f>
        <v/>
      </c>
      <c r="W12" s="3">
        <f>IF($A12="","",IF($E12="","",IF(TODAY()&lt;$E12+240,"-",IF($D12="",SUMPRODUCT(('Picked Students (raw)'!$B$2:$B$824=$C12)*('Picked Students (raw)'!$C$2:$C$824&lt;&gt;"")*(('Picked Students (raw)'!$C$2:$C$824-$E12)&lt;240)),SUMPRODUCT(('Picked Students (raw)'!$B$2:$B$824=$C12)*('Picked Students (raw)'!$D$2:$D$824=$D12)*('Picked Students (raw)'!$C$2:$C$824&lt;&gt;"")*(('Picked Students (raw)'!$C$2:$C$824-$E12)&lt;240))))))</f>
        <v/>
      </c>
      <c r="X12" s="5">
        <f>IF($A12="","",IF(W12="-","-",IF($G12=0,0,W12/$G12)))</f>
        <v/>
      </c>
      <c r="Y12" s="3">
        <f>IF($A12="","",IF($E12="","",IF(TODAY()&lt;$E12+270,"-",IF($D12="",SUMPRODUCT(('Picked Students (raw)'!$B$2:$B$824=$C12)*('Picked Students (raw)'!$C$2:$C$824&lt;&gt;"")*(('Picked Students (raw)'!$C$2:$C$824-$E12)&lt;270)),SUMPRODUCT(('Picked Students (raw)'!$B$2:$B$824=$C12)*('Picked Students (raw)'!$D$2:$D$824=$D12)*('Picked Students (raw)'!$C$2:$C$824&lt;&gt;"")*(('Picked Students (raw)'!$C$2:$C$824-$E12)&lt;270))))))</f>
        <v/>
      </c>
      <c r="Z12" s="5">
        <f>IF($A12="","",IF(Y12="-","-",IF($G12=0,0,Y12/$G12)))</f>
        <v/>
      </c>
      <c r="AA12" s="3">
        <f>IF($A12="","",IF($E12="","",IF(TODAY()&lt;$E12+300,"-",IF($D12="",SUMPRODUCT(('Picked Students (raw)'!$B$2:$B$824=$C12)*('Picked Students (raw)'!$C$2:$C$824&lt;&gt;"")*(('Picked Students (raw)'!$C$2:$C$824-$E12)&lt;300)),SUMPRODUCT(('Picked Students (raw)'!$B$2:$B$824=$C12)*('Picked Students (raw)'!$D$2:$D$824=$D12)*('Picked Students (raw)'!$C$2:$C$824&lt;&gt;"")*(('Picked Students (raw)'!$C$2:$C$824-$E12)&lt;300))))))</f>
        <v/>
      </c>
      <c r="AB12" s="5">
        <f>IF($A12="","",IF(AA12="-","-",IF($G12=0,0,AA12/$G12)))</f>
        <v/>
      </c>
      <c r="AC12" s="3">
        <f>IF($A12="","",IF($E12="","",IF(TODAY()&lt;$E12+330,"-",IF($D12="",SUMPRODUCT(('Picked Students (raw)'!$B$2:$B$824=$C12)*('Picked Students (raw)'!$C$2:$C$824&lt;&gt;"")*(('Picked Students (raw)'!$C$2:$C$824-$E12)&lt;330)),SUMPRODUCT(('Picked Students (raw)'!$B$2:$B$824=$C12)*('Picked Students (raw)'!$D$2:$D$824=$D12)*('Picked Students (raw)'!$C$2:$C$824&lt;&gt;"")*(('Picked Students (raw)'!$C$2:$C$824-$E12)&lt;330))))))</f>
        <v/>
      </c>
      <c r="AD12" s="5">
        <f>IF($A12="","",IF(AC12="-","-",IF($G12=0,0,AC12/$G12)))</f>
        <v/>
      </c>
      <c r="AE12" s="3">
        <f>IF($A12="","",IF($E12="","",IF(TODAY()&lt;$E12+360,"-",IF($D12="",SUMPRODUCT(('Picked Students (raw)'!$B$2:$B$824=$C12)*('Picked Students (raw)'!$C$2:$C$824&lt;&gt;"")*(('Picked Students (raw)'!$C$2:$C$824-$E12)&lt;360)),SUMPRODUCT(('Picked Students (raw)'!$B$2:$B$824=$C12)*('Picked Students (raw)'!$D$2:$D$824=$D12)*('Picked Students (raw)'!$C$2:$C$824&lt;&gt;"")*(('Picked Students (raw)'!$C$2:$C$824-$E12)&lt;360))))))</f>
        <v/>
      </c>
      <c r="AF12" s="5">
        <f>IF($A12="","",IF(AE12="-","-",IF($G12=0,0,AE12/$G12)))</f>
        <v/>
      </c>
      <c r="AG12" s="3">
        <f>IF($A12="","",IF($E12="","",IF(TODAY()&lt;$E12+390,"-",IF($D12="",SUMPRODUCT(('Picked Students (raw)'!$B$2:$B$824=$C12)*('Picked Students (raw)'!$C$2:$C$824&lt;&gt;"")*(('Picked Students (raw)'!$C$2:$C$824-$E12)&lt;390)),SUMPRODUCT(('Picked Students (raw)'!$B$2:$B$824=$C12)*('Picked Students (raw)'!$D$2:$D$824=$D12)*('Picked Students (raw)'!$C$2:$C$824&lt;&gt;"")*(('Picked Students (raw)'!$C$2:$C$824-$E12)&lt;390))))))</f>
        <v/>
      </c>
      <c r="AH12" s="5">
        <f>IF($A12="","",IF(AG12="-","-",IF($G12=0,0,AG12/$G12)))</f>
        <v/>
      </c>
      <c r="AI12" s="3">
        <f>IF($A12="","",IF($E12="","",IF(TODAY()&lt;$E12+420,"-",IF($D12="",SUMPRODUCT(('Picked Students (raw)'!$B$2:$B$824=$C12)*('Picked Students (raw)'!$C$2:$C$824&lt;&gt;"")*(('Picked Students (raw)'!$C$2:$C$824-$E12)&lt;420)),SUMPRODUCT(('Picked Students (raw)'!$B$2:$B$824=$C12)*('Picked Students (raw)'!$D$2:$D$824=$D12)*('Picked Students (raw)'!$C$2:$C$824&lt;&gt;"")*(('Picked Students (raw)'!$C$2:$C$824-$E12)&lt;420))))))</f>
        <v/>
      </c>
      <c r="AJ12" s="5">
        <f>IF($A12="","",IF(AI12="-","-",IF($G12=0,0,AI12/$G12)))</f>
        <v/>
      </c>
      <c r="AK12" s="3">
        <f>IF($A12="","",IF($E12="","",IF(TODAY()&lt;$E12+450,"-",IF($D12="",SUMPRODUCT(('Picked Students (raw)'!$B$2:$B$824=$C12)*('Picked Students (raw)'!$C$2:$C$824&lt;&gt;"")*(('Picked Students (raw)'!$C$2:$C$824-$E12)&lt;450)),SUMPRODUCT(('Picked Students (raw)'!$B$2:$B$824=$C12)*('Picked Students (raw)'!$D$2:$D$824=$D12)*('Picked Students (raw)'!$C$2:$C$824&lt;&gt;"")*(('Picked Students (raw)'!$C$2:$C$824-$E12)&lt;450))))))</f>
        <v/>
      </c>
      <c r="AL12" s="5">
        <f>IF($A12="","",IF(AK12="-","-",IF($G12=0,0,AK12/$G12)))</f>
        <v/>
      </c>
      <c r="AM12" s="3">
        <f>IF($A12="","",IF($E12="","",IF(TODAY()&lt;$E12+480,"-",IF($D12="",SUMPRODUCT(('Picked Students (raw)'!$B$2:$B$824=$C12)*('Picked Students (raw)'!$C$2:$C$824&lt;&gt;"")*(('Picked Students (raw)'!$C$2:$C$824-$E12)&lt;480)),SUMPRODUCT(('Picked Students (raw)'!$B$2:$B$824=$C12)*('Picked Students (raw)'!$D$2:$D$824=$D12)*('Picked Students (raw)'!$C$2:$C$824&lt;&gt;"")*(('Picked Students (raw)'!$C$2:$C$824-$E12)&lt;480))))))</f>
        <v/>
      </c>
      <c r="AN12" s="5">
        <f>IF($A12="","",IF(AM12="-","-",IF($G12=0,0,AM12/$G12)))</f>
        <v/>
      </c>
      <c r="AO12" s="3">
        <f>IF($A12="","",IF($E12="","",IF(TODAY()&lt;$E12+510,"-",IF($D12="",SUMPRODUCT(('Picked Students (raw)'!$B$2:$B$824=$C12)*('Picked Students (raw)'!$C$2:$C$824&lt;&gt;"")*(('Picked Students (raw)'!$C$2:$C$824-$E12)&lt;510)),SUMPRODUCT(('Picked Students (raw)'!$B$2:$B$824=$C12)*('Picked Students (raw)'!$D$2:$D$824=$D12)*('Picked Students (raw)'!$C$2:$C$824&lt;&gt;"")*(('Picked Students (raw)'!$C$2:$C$824-$E12)&lt;510))))))</f>
        <v/>
      </c>
      <c r="AP12" s="5">
        <f>IF($A12="","",IF(AO12="-","-",IF($G12=0,0,AO12/$G12)))</f>
        <v/>
      </c>
      <c r="AQ12" s="3">
        <f>IF($A12="","",IF($E12="","",IF(TODAY()&lt;$E12+540,"-",IF($D12="",SUMPRODUCT(('Picked Students (raw)'!$B$2:$B$824=$C12)*('Picked Students (raw)'!$C$2:$C$824&lt;&gt;"")*(('Picked Students (raw)'!$C$2:$C$824-$E12)&lt;540)),SUMPRODUCT(('Picked Students (raw)'!$B$2:$B$824=$C12)*('Picked Students (raw)'!$D$2:$D$824=$D12)*('Picked Students (raw)'!$C$2:$C$824&lt;&gt;"")*(('Picked Students (raw)'!$C$2:$C$824-$E12)&lt;540))))))</f>
        <v/>
      </c>
      <c r="AR12" s="5">
        <f>IF($A12="","",IF(AQ12="-","-",IF($G12=0,0,AQ12/$G12)))</f>
        <v/>
      </c>
      <c r="AS12" s="3">
        <f>IF($A12="","",IF(AQ12="-","-",$H12-AQ12))</f>
        <v/>
      </c>
    </row>
    <row r="13">
      <c r="A13" s="3" t="inlineStr">
        <is>
          <t>Professional Certificate Course In Data Science - January 2024</t>
        </is>
      </c>
      <c r="B13" s="3">
        <f>IF($A13="","",IFERROR(IF(INDEX('Batch Enrollment (Metabase)'!$C$2:$C$47,MATCH($A13,'Batch Enrollment (Metabase)'!$A$2:$A$47,0))="GEM","A",IF(INDEX('Batch Enrollment (Metabase)'!$C$2:$C$47,MATCH($A13,'Batch Enrollment (Metabase)'!$A$2:$A$47,0))="Non-GEM","B","")),""))</f>
        <v/>
      </c>
      <c r="C13" s="3">
        <f>IF($A13="","",IFERROR(INDEX('Batch Enrollment (Metabase)'!$B$2:$B$47,MATCH($A13,'Batch Enrollment (Metabase)'!$A$2:$A$47,0)),""))</f>
        <v/>
      </c>
      <c r="D13" s="3">
        <f>IF($A13="","",IFERROR(INDEX('Batch Enrollment (Metabase)'!$C$2:$C$47,MATCH($A13,'Batch Enrollment (Metabase)'!$A$2:$A$47,0)),""))</f>
        <v/>
      </c>
      <c r="E13" s="4">
        <f>IF($A13="","",IFERROR(INDEX('Batch Enrollment (Metabase)'!$D$2:$D$47,MATCH($A13,'Batch Enrollment (Metabase)'!$A$2:$A$47,0)),""))</f>
        <v/>
      </c>
      <c r="F13" s="3">
        <f>IF($A13="","",IFERROR(INDEX('Batch Enrollment (Metabase)'!$E$2:$E$47,MATCH($A13,'Batch Enrollment (Metabase)'!$A$2:$A$47,0)),""))</f>
        <v/>
      </c>
      <c r="G13" s="3">
        <f>IF($A13="","",IFERROR(INDEX('Batch Enrollment (Metabase)'!$F$2:$F$47,MATCH($A13,'Batch Enrollment (Metabase)'!$A$2:$A$47,0)),""))</f>
        <v/>
      </c>
      <c r="H13" s="3">
        <f>IF($A13="","",IF($D13="",COUNTIF('Picked Students (raw)'!$B$2:$B$824,$C13),COUNTIFS('Picked Students (raw)'!$B$2:$B$824,$C13,'Picked Students (raw)'!$D$2:$D$824,$D13)))</f>
        <v/>
      </c>
      <c r="I13" s="3">
        <f>IF($A13="","",IF($E13="","",IF(TODAY()&lt;$E13+30,"-",IF($D13="",SUMPRODUCT(('Picked Students (raw)'!$B$2:$B$824=$C13)*('Picked Students (raw)'!$C$2:$C$824&lt;&gt;"")*(('Picked Students (raw)'!$C$2:$C$824-$E13)&lt;30)),SUMPRODUCT(('Picked Students (raw)'!$B$2:$B$824=$C13)*('Picked Students (raw)'!$D$2:$D$824=$D13)*('Picked Students (raw)'!$C$2:$C$824&lt;&gt;"")*(('Picked Students (raw)'!$C$2:$C$824-$E13)&lt;30))))))</f>
        <v/>
      </c>
      <c r="J13" s="5">
        <f>IF($A13="","",IF(I13="-","-",IF($G13=0,0,I13/$G13)))</f>
        <v/>
      </c>
      <c r="K13" s="3">
        <f>IF($A13="","",IF($E13="","",IF(TODAY()&lt;$E13+60,"-",IF($D13="",SUMPRODUCT(('Picked Students (raw)'!$B$2:$B$824=$C13)*('Picked Students (raw)'!$C$2:$C$824&lt;&gt;"")*(('Picked Students (raw)'!$C$2:$C$824-$E13)&lt;60)),SUMPRODUCT(('Picked Students (raw)'!$B$2:$B$824=$C13)*('Picked Students (raw)'!$D$2:$D$824=$D13)*('Picked Students (raw)'!$C$2:$C$824&lt;&gt;"")*(('Picked Students (raw)'!$C$2:$C$824-$E13)&lt;60))))))</f>
        <v/>
      </c>
      <c r="L13" s="5">
        <f>IF($A13="","",IF(K13="-","-",IF($G13=0,0,K13/$G13)))</f>
        <v/>
      </c>
      <c r="M13" s="3">
        <f>IF($A13="","",IF($E13="","",IF(TODAY()&lt;$E13+90,"-",IF($D13="",SUMPRODUCT(('Picked Students (raw)'!$B$2:$B$824=$C13)*('Picked Students (raw)'!$C$2:$C$824&lt;&gt;"")*(('Picked Students (raw)'!$C$2:$C$824-$E13)&lt;90)),SUMPRODUCT(('Picked Students (raw)'!$B$2:$B$824=$C13)*('Picked Students (raw)'!$D$2:$D$824=$D13)*('Picked Students (raw)'!$C$2:$C$824&lt;&gt;"")*(('Picked Students (raw)'!$C$2:$C$824-$E13)&lt;90))))))</f>
        <v/>
      </c>
      <c r="N13" s="5">
        <f>IF($A13="","",IF(M13="-","-",IF($G13=0,0,M13/$G13)))</f>
        <v/>
      </c>
      <c r="O13" s="3">
        <f>IF($A13="","",IF($E13="","",IF(TODAY()&lt;$E13+120,"-",IF($D13="",SUMPRODUCT(('Picked Students (raw)'!$B$2:$B$824=$C13)*('Picked Students (raw)'!$C$2:$C$824&lt;&gt;"")*(('Picked Students (raw)'!$C$2:$C$824-$E13)&lt;120)),SUMPRODUCT(('Picked Students (raw)'!$B$2:$B$824=$C13)*('Picked Students (raw)'!$D$2:$D$824=$D13)*('Picked Students (raw)'!$C$2:$C$824&lt;&gt;"")*(('Picked Students (raw)'!$C$2:$C$824-$E13)&lt;120))))))</f>
        <v/>
      </c>
      <c r="P13" s="5">
        <f>IF($A13="","",IF(O13="-","-",IF($G13=0,0,O13/$G13)))</f>
        <v/>
      </c>
      <c r="Q13" s="3">
        <f>IF($A13="","",IF($E13="","",IF(TODAY()&lt;$E13+150,"-",IF($D13="",SUMPRODUCT(('Picked Students (raw)'!$B$2:$B$824=$C13)*('Picked Students (raw)'!$C$2:$C$824&lt;&gt;"")*(('Picked Students (raw)'!$C$2:$C$824-$E13)&lt;150)),SUMPRODUCT(('Picked Students (raw)'!$B$2:$B$824=$C13)*('Picked Students (raw)'!$D$2:$D$824=$D13)*('Picked Students (raw)'!$C$2:$C$824&lt;&gt;"")*(('Picked Students (raw)'!$C$2:$C$824-$E13)&lt;150))))))</f>
        <v/>
      </c>
      <c r="R13" s="5">
        <f>IF($A13="","",IF(Q13="-","-",IF($G13=0,0,Q13/$G13)))</f>
        <v/>
      </c>
      <c r="S13" s="3">
        <f>IF($A13="","",IF($E13="","",IF(TODAY()&lt;$E13+180,"-",IF($D13="",SUMPRODUCT(('Picked Students (raw)'!$B$2:$B$824=$C13)*('Picked Students (raw)'!$C$2:$C$824&lt;&gt;"")*(('Picked Students (raw)'!$C$2:$C$824-$E13)&lt;180)),SUMPRODUCT(('Picked Students (raw)'!$B$2:$B$824=$C13)*('Picked Students (raw)'!$D$2:$D$824=$D13)*('Picked Students (raw)'!$C$2:$C$824&lt;&gt;"")*(('Picked Students (raw)'!$C$2:$C$824-$E13)&lt;180))))))</f>
        <v/>
      </c>
      <c r="T13" s="5">
        <f>IF($A13="","",IF(S13="-","-",IF($G13=0,0,S13/$G13)))</f>
        <v/>
      </c>
      <c r="U13" s="3">
        <f>IF($A13="","",IF($E13="","",IF(TODAY()&lt;$E13+210,"-",IF($D13="",SUMPRODUCT(('Picked Students (raw)'!$B$2:$B$824=$C13)*('Picked Students (raw)'!$C$2:$C$824&lt;&gt;"")*(('Picked Students (raw)'!$C$2:$C$824-$E13)&lt;210)),SUMPRODUCT(('Picked Students (raw)'!$B$2:$B$824=$C13)*('Picked Students (raw)'!$D$2:$D$824=$D13)*('Picked Students (raw)'!$C$2:$C$824&lt;&gt;"")*(('Picked Students (raw)'!$C$2:$C$824-$E13)&lt;210))))))</f>
        <v/>
      </c>
      <c r="V13" s="5">
        <f>IF($A13="","",IF(U13="-","-",IF($G13=0,0,U13/$G13)))</f>
        <v/>
      </c>
      <c r="W13" s="3">
        <f>IF($A13="","",IF($E13="","",IF(TODAY()&lt;$E13+240,"-",IF($D13="",SUMPRODUCT(('Picked Students (raw)'!$B$2:$B$824=$C13)*('Picked Students (raw)'!$C$2:$C$824&lt;&gt;"")*(('Picked Students (raw)'!$C$2:$C$824-$E13)&lt;240)),SUMPRODUCT(('Picked Students (raw)'!$B$2:$B$824=$C13)*('Picked Students (raw)'!$D$2:$D$824=$D13)*('Picked Students (raw)'!$C$2:$C$824&lt;&gt;"")*(('Picked Students (raw)'!$C$2:$C$824-$E13)&lt;240))))))</f>
        <v/>
      </c>
      <c r="X13" s="5">
        <f>IF($A13="","",IF(W13="-","-",IF($G13=0,0,W13/$G13)))</f>
        <v/>
      </c>
      <c r="Y13" s="3">
        <f>IF($A13="","",IF($E13="","",IF(TODAY()&lt;$E13+270,"-",IF($D13="",SUMPRODUCT(('Picked Students (raw)'!$B$2:$B$824=$C13)*('Picked Students (raw)'!$C$2:$C$824&lt;&gt;"")*(('Picked Students (raw)'!$C$2:$C$824-$E13)&lt;270)),SUMPRODUCT(('Picked Students (raw)'!$B$2:$B$824=$C13)*('Picked Students (raw)'!$D$2:$D$824=$D13)*('Picked Students (raw)'!$C$2:$C$824&lt;&gt;"")*(('Picked Students (raw)'!$C$2:$C$824-$E13)&lt;270))))))</f>
        <v/>
      </c>
      <c r="Z13" s="5">
        <f>IF($A13="","",IF(Y13="-","-",IF($G13=0,0,Y13/$G13)))</f>
        <v/>
      </c>
      <c r="AA13" s="3">
        <f>IF($A13="","",IF($E13="","",IF(TODAY()&lt;$E13+300,"-",IF($D13="",SUMPRODUCT(('Picked Students (raw)'!$B$2:$B$824=$C13)*('Picked Students (raw)'!$C$2:$C$824&lt;&gt;"")*(('Picked Students (raw)'!$C$2:$C$824-$E13)&lt;300)),SUMPRODUCT(('Picked Students (raw)'!$B$2:$B$824=$C13)*('Picked Students (raw)'!$D$2:$D$824=$D13)*('Picked Students (raw)'!$C$2:$C$824&lt;&gt;"")*(('Picked Students (raw)'!$C$2:$C$824-$E13)&lt;300))))))</f>
        <v/>
      </c>
      <c r="AB13" s="5">
        <f>IF($A13="","",IF(AA13="-","-",IF($G13=0,0,AA13/$G13)))</f>
        <v/>
      </c>
      <c r="AC13" s="3">
        <f>IF($A13="","",IF($E13="","",IF(TODAY()&lt;$E13+330,"-",IF($D13="",SUMPRODUCT(('Picked Students (raw)'!$B$2:$B$824=$C13)*('Picked Students (raw)'!$C$2:$C$824&lt;&gt;"")*(('Picked Students (raw)'!$C$2:$C$824-$E13)&lt;330)),SUMPRODUCT(('Picked Students (raw)'!$B$2:$B$824=$C13)*('Picked Students (raw)'!$D$2:$D$824=$D13)*('Picked Students (raw)'!$C$2:$C$824&lt;&gt;"")*(('Picked Students (raw)'!$C$2:$C$824-$E13)&lt;330))))))</f>
        <v/>
      </c>
      <c r="AD13" s="5">
        <f>IF($A13="","",IF(AC13="-","-",IF($G13=0,0,AC13/$G13)))</f>
        <v/>
      </c>
      <c r="AE13" s="3">
        <f>IF($A13="","",IF($E13="","",IF(TODAY()&lt;$E13+360,"-",IF($D13="",SUMPRODUCT(('Picked Students (raw)'!$B$2:$B$824=$C13)*('Picked Students (raw)'!$C$2:$C$824&lt;&gt;"")*(('Picked Students (raw)'!$C$2:$C$824-$E13)&lt;360)),SUMPRODUCT(('Picked Students (raw)'!$B$2:$B$824=$C13)*('Picked Students (raw)'!$D$2:$D$824=$D13)*('Picked Students (raw)'!$C$2:$C$824&lt;&gt;"")*(('Picked Students (raw)'!$C$2:$C$824-$E13)&lt;360))))))</f>
        <v/>
      </c>
      <c r="AF13" s="5">
        <f>IF($A13="","",IF(AE13="-","-",IF($G13=0,0,AE13/$G13)))</f>
        <v/>
      </c>
      <c r="AG13" s="3">
        <f>IF($A13="","",IF($E13="","",IF(TODAY()&lt;$E13+390,"-",IF($D13="",SUMPRODUCT(('Picked Students (raw)'!$B$2:$B$824=$C13)*('Picked Students (raw)'!$C$2:$C$824&lt;&gt;"")*(('Picked Students (raw)'!$C$2:$C$824-$E13)&lt;390)),SUMPRODUCT(('Picked Students (raw)'!$B$2:$B$824=$C13)*('Picked Students (raw)'!$D$2:$D$824=$D13)*('Picked Students (raw)'!$C$2:$C$824&lt;&gt;"")*(('Picked Students (raw)'!$C$2:$C$824-$E13)&lt;390))))))</f>
        <v/>
      </c>
      <c r="AH13" s="5">
        <f>IF($A13="","",IF(AG13="-","-",IF($G13=0,0,AG13/$G13)))</f>
        <v/>
      </c>
      <c r="AI13" s="3">
        <f>IF($A13="","",IF($E13="","",IF(TODAY()&lt;$E13+420,"-",IF($D13="",SUMPRODUCT(('Picked Students (raw)'!$B$2:$B$824=$C13)*('Picked Students (raw)'!$C$2:$C$824&lt;&gt;"")*(('Picked Students (raw)'!$C$2:$C$824-$E13)&lt;420)),SUMPRODUCT(('Picked Students (raw)'!$B$2:$B$824=$C13)*('Picked Students (raw)'!$D$2:$D$824=$D13)*('Picked Students (raw)'!$C$2:$C$824&lt;&gt;"")*(('Picked Students (raw)'!$C$2:$C$824-$E13)&lt;420))))))</f>
        <v/>
      </c>
      <c r="AJ13" s="5">
        <f>IF($A13="","",IF(AI13="-","-",IF($G13=0,0,AI13/$G13)))</f>
        <v/>
      </c>
      <c r="AK13" s="3">
        <f>IF($A13="","",IF($E13="","",IF(TODAY()&lt;$E13+450,"-",IF($D13="",SUMPRODUCT(('Picked Students (raw)'!$B$2:$B$824=$C13)*('Picked Students (raw)'!$C$2:$C$824&lt;&gt;"")*(('Picked Students (raw)'!$C$2:$C$824-$E13)&lt;450)),SUMPRODUCT(('Picked Students (raw)'!$B$2:$B$824=$C13)*('Picked Students (raw)'!$D$2:$D$824=$D13)*('Picked Students (raw)'!$C$2:$C$824&lt;&gt;"")*(('Picked Students (raw)'!$C$2:$C$824-$E13)&lt;450))))))</f>
        <v/>
      </c>
      <c r="AL13" s="5">
        <f>IF($A13="","",IF(AK13="-","-",IF($G13=0,0,AK13/$G13)))</f>
        <v/>
      </c>
      <c r="AM13" s="3">
        <f>IF($A13="","",IF($E13="","",IF(TODAY()&lt;$E13+480,"-",IF($D13="",SUMPRODUCT(('Picked Students (raw)'!$B$2:$B$824=$C13)*('Picked Students (raw)'!$C$2:$C$824&lt;&gt;"")*(('Picked Students (raw)'!$C$2:$C$824-$E13)&lt;480)),SUMPRODUCT(('Picked Students (raw)'!$B$2:$B$824=$C13)*('Picked Students (raw)'!$D$2:$D$824=$D13)*('Picked Students (raw)'!$C$2:$C$824&lt;&gt;"")*(('Picked Students (raw)'!$C$2:$C$824-$E13)&lt;480))))))</f>
        <v/>
      </c>
      <c r="AN13" s="5">
        <f>IF($A13="","",IF(AM13="-","-",IF($G13=0,0,AM13/$G13)))</f>
        <v/>
      </c>
      <c r="AO13" s="3">
        <f>IF($A13="","",IF($E13="","",IF(TODAY()&lt;$E13+510,"-",IF($D13="",SUMPRODUCT(('Picked Students (raw)'!$B$2:$B$824=$C13)*('Picked Students (raw)'!$C$2:$C$824&lt;&gt;"")*(('Picked Students (raw)'!$C$2:$C$824-$E13)&lt;510)),SUMPRODUCT(('Picked Students (raw)'!$B$2:$B$824=$C13)*('Picked Students (raw)'!$D$2:$D$824=$D13)*('Picked Students (raw)'!$C$2:$C$824&lt;&gt;"")*(('Picked Students (raw)'!$C$2:$C$824-$E13)&lt;510))))))</f>
        <v/>
      </c>
      <c r="AP13" s="5">
        <f>IF($A13="","",IF(AO13="-","-",IF($G13=0,0,AO13/$G13)))</f>
        <v/>
      </c>
      <c r="AQ13" s="3">
        <f>IF($A13="","",IF($E13="","",IF(TODAY()&lt;$E13+540,"-",IF($D13="",SUMPRODUCT(('Picked Students (raw)'!$B$2:$B$824=$C13)*('Picked Students (raw)'!$C$2:$C$824&lt;&gt;"")*(('Picked Students (raw)'!$C$2:$C$824-$E13)&lt;540)),SUMPRODUCT(('Picked Students (raw)'!$B$2:$B$824=$C13)*('Picked Students (raw)'!$D$2:$D$824=$D13)*('Picked Students (raw)'!$C$2:$C$824&lt;&gt;"")*(('Picked Students (raw)'!$C$2:$C$824-$E13)&lt;540))))))</f>
        <v/>
      </c>
      <c r="AR13" s="5">
        <f>IF($A13="","",IF(AQ13="-","-",IF($G13=0,0,AQ13/$G13)))</f>
        <v/>
      </c>
      <c r="AS13" s="3">
        <f>IF($A13="","",IF(AQ13="-","-",$H13-AQ13))</f>
        <v/>
      </c>
    </row>
    <row r="14">
      <c r="A14" s="3" t="inlineStr">
        <is>
          <t>Professional Certificate Course In Data Science - February 2024</t>
        </is>
      </c>
      <c r="B14" s="3">
        <f>IF($A14="","",IFERROR(IF(INDEX('Batch Enrollment (Metabase)'!$C$2:$C$47,MATCH($A14,'Batch Enrollment (Metabase)'!$A$2:$A$47,0))="GEM","A",IF(INDEX('Batch Enrollment (Metabase)'!$C$2:$C$47,MATCH($A14,'Batch Enrollment (Metabase)'!$A$2:$A$47,0))="Non-GEM","B","")),""))</f>
        <v/>
      </c>
      <c r="C14" s="3">
        <f>IF($A14="","",IFERROR(INDEX('Batch Enrollment (Metabase)'!$B$2:$B$47,MATCH($A14,'Batch Enrollment (Metabase)'!$A$2:$A$47,0)),""))</f>
        <v/>
      </c>
      <c r="D14" s="3">
        <f>IF($A14="","",IFERROR(INDEX('Batch Enrollment (Metabase)'!$C$2:$C$47,MATCH($A14,'Batch Enrollment (Metabase)'!$A$2:$A$47,0)),""))</f>
        <v/>
      </c>
      <c r="E14" s="4">
        <f>IF($A14="","",IFERROR(INDEX('Batch Enrollment (Metabase)'!$D$2:$D$47,MATCH($A14,'Batch Enrollment (Metabase)'!$A$2:$A$47,0)),""))</f>
        <v/>
      </c>
      <c r="F14" s="3">
        <f>IF($A14="","",IFERROR(INDEX('Batch Enrollment (Metabase)'!$E$2:$E$47,MATCH($A14,'Batch Enrollment (Metabase)'!$A$2:$A$47,0)),""))</f>
        <v/>
      </c>
      <c r="G14" s="3">
        <f>IF($A14="","",IFERROR(INDEX('Batch Enrollment (Metabase)'!$F$2:$F$47,MATCH($A14,'Batch Enrollment (Metabase)'!$A$2:$A$47,0)),""))</f>
        <v/>
      </c>
      <c r="H14" s="3">
        <f>IF($A14="","",IF($D14="",COUNTIF('Picked Students (raw)'!$B$2:$B$824,$C14),COUNTIFS('Picked Students (raw)'!$B$2:$B$824,$C14,'Picked Students (raw)'!$D$2:$D$824,$D14)))</f>
        <v/>
      </c>
      <c r="I14" s="3">
        <f>IF($A14="","",IF($E14="","",IF(TODAY()&lt;$E14+30,"-",IF($D14="",SUMPRODUCT(('Picked Students (raw)'!$B$2:$B$824=$C14)*('Picked Students (raw)'!$C$2:$C$824&lt;&gt;"")*(('Picked Students (raw)'!$C$2:$C$824-$E14)&lt;30)),SUMPRODUCT(('Picked Students (raw)'!$B$2:$B$824=$C14)*('Picked Students (raw)'!$D$2:$D$824=$D14)*('Picked Students (raw)'!$C$2:$C$824&lt;&gt;"")*(('Picked Students (raw)'!$C$2:$C$824-$E14)&lt;30))))))</f>
        <v/>
      </c>
      <c r="J14" s="5">
        <f>IF($A14="","",IF(I14="-","-",IF($G14=0,0,I14/$G14)))</f>
        <v/>
      </c>
      <c r="K14" s="3">
        <f>IF($A14="","",IF($E14="","",IF(TODAY()&lt;$E14+60,"-",IF($D14="",SUMPRODUCT(('Picked Students (raw)'!$B$2:$B$824=$C14)*('Picked Students (raw)'!$C$2:$C$824&lt;&gt;"")*(('Picked Students (raw)'!$C$2:$C$824-$E14)&lt;60)),SUMPRODUCT(('Picked Students (raw)'!$B$2:$B$824=$C14)*('Picked Students (raw)'!$D$2:$D$824=$D14)*('Picked Students (raw)'!$C$2:$C$824&lt;&gt;"")*(('Picked Students (raw)'!$C$2:$C$824-$E14)&lt;60))))))</f>
        <v/>
      </c>
      <c r="L14" s="5">
        <f>IF($A14="","",IF(K14="-","-",IF($G14=0,0,K14/$G14)))</f>
        <v/>
      </c>
      <c r="M14" s="3">
        <f>IF($A14="","",IF($E14="","",IF(TODAY()&lt;$E14+90,"-",IF($D14="",SUMPRODUCT(('Picked Students (raw)'!$B$2:$B$824=$C14)*('Picked Students (raw)'!$C$2:$C$824&lt;&gt;"")*(('Picked Students (raw)'!$C$2:$C$824-$E14)&lt;90)),SUMPRODUCT(('Picked Students (raw)'!$B$2:$B$824=$C14)*('Picked Students (raw)'!$D$2:$D$824=$D14)*('Picked Students (raw)'!$C$2:$C$824&lt;&gt;"")*(('Picked Students (raw)'!$C$2:$C$824-$E14)&lt;90))))))</f>
        <v/>
      </c>
      <c r="N14" s="5">
        <f>IF($A14="","",IF(M14="-","-",IF($G14=0,0,M14/$G14)))</f>
        <v/>
      </c>
      <c r="O14" s="3">
        <f>IF($A14="","",IF($E14="","",IF(TODAY()&lt;$E14+120,"-",IF($D14="",SUMPRODUCT(('Picked Students (raw)'!$B$2:$B$824=$C14)*('Picked Students (raw)'!$C$2:$C$824&lt;&gt;"")*(('Picked Students (raw)'!$C$2:$C$824-$E14)&lt;120)),SUMPRODUCT(('Picked Students (raw)'!$B$2:$B$824=$C14)*('Picked Students (raw)'!$D$2:$D$824=$D14)*('Picked Students (raw)'!$C$2:$C$824&lt;&gt;"")*(('Picked Students (raw)'!$C$2:$C$824-$E14)&lt;120))))))</f>
        <v/>
      </c>
      <c r="P14" s="5">
        <f>IF($A14="","",IF(O14="-","-",IF($G14=0,0,O14/$G14)))</f>
        <v/>
      </c>
      <c r="Q14" s="3">
        <f>IF($A14="","",IF($E14="","",IF(TODAY()&lt;$E14+150,"-",IF($D14="",SUMPRODUCT(('Picked Students (raw)'!$B$2:$B$824=$C14)*('Picked Students (raw)'!$C$2:$C$824&lt;&gt;"")*(('Picked Students (raw)'!$C$2:$C$824-$E14)&lt;150)),SUMPRODUCT(('Picked Students (raw)'!$B$2:$B$824=$C14)*('Picked Students (raw)'!$D$2:$D$824=$D14)*('Picked Students (raw)'!$C$2:$C$824&lt;&gt;"")*(('Picked Students (raw)'!$C$2:$C$824-$E14)&lt;150))))))</f>
        <v/>
      </c>
      <c r="R14" s="5">
        <f>IF($A14="","",IF(Q14="-","-",IF($G14=0,0,Q14/$G14)))</f>
        <v/>
      </c>
      <c r="S14" s="3">
        <f>IF($A14="","",IF($E14="","",IF(TODAY()&lt;$E14+180,"-",IF($D14="",SUMPRODUCT(('Picked Students (raw)'!$B$2:$B$824=$C14)*('Picked Students (raw)'!$C$2:$C$824&lt;&gt;"")*(('Picked Students (raw)'!$C$2:$C$824-$E14)&lt;180)),SUMPRODUCT(('Picked Students (raw)'!$B$2:$B$824=$C14)*('Picked Students (raw)'!$D$2:$D$824=$D14)*('Picked Students (raw)'!$C$2:$C$824&lt;&gt;"")*(('Picked Students (raw)'!$C$2:$C$824-$E14)&lt;180))))))</f>
        <v/>
      </c>
      <c r="T14" s="5">
        <f>IF($A14="","",IF(S14="-","-",IF($G14=0,0,S14/$G14)))</f>
        <v/>
      </c>
      <c r="U14" s="3">
        <f>IF($A14="","",IF($E14="","",IF(TODAY()&lt;$E14+210,"-",IF($D14="",SUMPRODUCT(('Picked Students (raw)'!$B$2:$B$824=$C14)*('Picked Students (raw)'!$C$2:$C$824&lt;&gt;"")*(('Picked Students (raw)'!$C$2:$C$824-$E14)&lt;210)),SUMPRODUCT(('Picked Students (raw)'!$B$2:$B$824=$C14)*('Picked Students (raw)'!$D$2:$D$824=$D14)*('Picked Students (raw)'!$C$2:$C$824&lt;&gt;"")*(('Picked Students (raw)'!$C$2:$C$824-$E14)&lt;210))))))</f>
        <v/>
      </c>
      <c r="V14" s="5">
        <f>IF($A14="","",IF(U14="-","-",IF($G14=0,0,U14/$G14)))</f>
        <v/>
      </c>
      <c r="W14" s="3">
        <f>IF($A14="","",IF($E14="","",IF(TODAY()&lt;$E14+240,"-",IF($D14="",SUMPRODUCT(('Picked Students (raw)'!$B$2:$B$824=$C14)*('Picked Students (raw)'!$C$2:$C$824&lt;&gt;"")*(('Picked Students (raw)'!$C$2:$C$824-$E14)&lt;240)),SUMPRODUCT(('Picked Students (raw)'!$B$2:$B$824=$C14)*('Picked Students (raw)'!$D$2:$D$824=$D14)*('Picked Students (raw)'!$C$2:$C$824&lt;&gt;"")*(('Picked Students (raw)'!$C$2:$C$824-$E14)&lt;240))))))</f>
        <v/>
      </c>
      <c r="X14" s="5">
        <f>IF($A14="","",IF(W14="-","-",IF($G14=0,0,W14/$G14)))</f>
        <v/>
      </c>
      <c r="Y14" s="3">
        <f>IF($A14="","",IF($E14="","",IF(TODAY()&lt;$E14+270,"-",IF($D14="",SUMPRODUCT(('Picked Students (raw)'!$B$2:$B$824=$C14)*('Picked Students (raw)'!$C$2:$C$824&lt;&gt;"")*(('Picked Students (raw)'!$C$2:$C$824-$E14)&lt;270)),SUMPRODUCT(('Picked Students (raw)'!$B$2:$B$824=$C14)*('Picked Students (raw)'!$D$2:$D$824=$D14)*('Picked Students (raw)'!$C$2:$C$824&lt;&gt;"")*(('Picked Students (raw)'!$C$2:$C$824-$E14)&lt;270))))))</f>
        <v/>
      </c>
      <c r="Z14" s="5">
        <f>IF($A14="","",IF(Y14="-","-",IF($G14=0,0,Y14/$G14)))</f>
        <v/>
      </c>
      <c r="AA14" s="3">
        <f>IF($A14="","",IF($E14="","",IF(TODAY()&lt;$E14+300,"-",IF($D14="",SUMPRODUCT(('Picked Students (raw)'!$B$2:$B$824=$C14)*('Picked Students (raw)'!$C$2:$C$824&lt;&gt;"")*(('Picked Students (raw)'!$C$2:$C$824-$E14)&lt;300)),SUMPRODUCT(('Picked Students (raw)'!$B$2:$B$824=$C14)*('Picked Students (raw)'!$D$2:$D$824=$D14)*('Picked Students (raw)'!$C$2:$C$824&lt;&gt;"")*(('Picked Students (raw)'!$C$2:$C$824-$E14)&lt;300))))))</f>
        <v/>
      </c>
      <c r="AB14" s="5">
        <f>IF($A14="","",IF(AA14="-","-",IF($G14=0,0,AA14/$G14)))</f>
        <v/>
      </c>
      <c r="AC14" s="3">
        <f>IF($A14="","",IF($E14="","",IF(TODAY()&lt;$E14+330,"-",IF($D14="",SUMPRODUCT(('Picked Students (raw)'!$B$2:$B$824=$C14)*('Picked Students (raw)'!$C$2:$C$824&lt;&gt;"")*(('Picked Students (raw)'!$C$2:$C$824-$E14)&lt;330)),SUMPRODUCT(('Picked Students (raw)'!$B$2:$B$824=$C14)*('Picked Students (raw)'!$D$2:$D$824=$D14)*('Picked Students (raw)'!$C$2:$C$824&lt;&gt;"")*(('Picked Students (raw)'!$C$2:$C$824-$E14)&lt;330))))))</f>
        <v/>
      </c>
      <c r="AD14" s="5">
        <f>IF($A14="","",IF(AC14="-","-",IF($G14=0,0,AC14/$G14)))</f>
        <v/>
      </c>
      <c r="AE14" s="3">
        <f>IF($A14="","",IF($E14="","",IF(TODAY()&lt;$E14+360,"-",IF($D14="",SUMPRODUCT(('Picked Students (raw)'!$B$2:$B$824=$C14)*('Picked Students (raw)'!$C$2:$C$824&lt;&gt;"")*(('Picked Students (raw)'!$C$2:$C$824-$E14)&lt;360)),SUMPRODUCT(('Picked Students (raw)'!$B$2:$B$824=$C14)*('Picked Students (raw)'!$D$2:$D$824=$D14)*('Picked Students (raw)'!$C$2:$C$824&lt;&gt;"")*(('Picked Students (raw)'!$C$2:$C$824-$E14)&lt;360))))))</f>
        <v/>
      </c>
      <c r="AF14" s="5">
        <f>IF($A14="","",IF(AE14="-","-",IF($G14=0,0,AE14/$G14)))</f>
        <v/>
      </c>
      <c r="AG14" s="3">
        <f>IF($A14="","",IF($E14="","",IF(TODAY()&lt;$E14+390,"-",IF($D14="",SUMPRODUCT(('Picked Students (raw)'!$B$2:$B$824=$C14)*('Picked Students (raw)'!$C$2:$C$824&lt;&gt;"")*(('Picked Students (raw)'!$C$2:$C$824-$E14)&lt;390)),SUMPRODUCT(('Picked Students (raw)'!$B$2:$B$824=$C14)*('Picked Students (raw)'!$D$2:$D$824=$D14)*('Picked Students (raw)'!$C$2:$C$824&lt;&gt;"")*(('Picked Students (raw)'!$C$2:$C$824-$E14)&lt;390))))))</f>
        <v/>
      </c>
      <c r="AH14" s="5">
        <f>IF($A14="","",IF(AG14="-","-",IF($G14=0,0,AG14/$G14)))</f>
        <v/>
      </c>
      <c r="AI14" s="3">
        <f>IF($A14="","",IF($E14="","",IF(TODAY()&lt;$E14+420,"-",IF($D14="",SUMPRODUCT(('Picked Students (raw)'!$B$2:$B$824=$C14)*('Picked Students (raw)'!$C$2:$C$824&lt;&gt;"")*(('Picked Students (raw)'!$C$2:$C$824-$E14)&lt;420)),SUMPRODUCT(('Picked Students (raw)'!$B$2:$B$824=$C14)*('Picked Students (raw)'!$D$2:$D$824=$D14)*('Picked Students (raw)'!$C$2:$C$824&lt;&gt;"")*(('Picked Students (raw)'!$C$2:$C$824-$E14)&lt;420))))))</f>
        <v/>
      </c>
      <c r="AJ14" s="5">
        <f>IF($A14="","",IF(AI14="-","-",IF($G14=0,0,AI14/$G14)))</f>
        <v/>
      </c>
      <c r="AK14" s="3">
        <f>IF($A14="","",IF($E14="","",IF(TODAY()&lt;$E14+450,"-",IF($D14="",SUMPRODUCT(('Picked Students (raw)'!$B$2:$B$824=$C14)*('Picked Students (raw)'!$C$2:$C$824&lt;&gt;"")*(('Picked Students (raw)'!$C$2:$C$824-$E14)&lt;450)),SUMPRODUCT(('Picked Students (raw)'!$B$2:$B$824=$C14)*('Picked Students (raw)'!$D$2:$D$824=$D14)*('Picked Students (raw)'!$C$2:$C$824&lt;&gt;"")*(('Picked Students (raw)'!$C$2:$C$824-$E14)&lt;450))))))</f>
        <v/>
      </c>
      <c r="AL14" s="5">
        <f>IF($A14="","",IF(AK14="-","-",IF($G14=0,0,AK14/$G14)))</f>
        <v/>
      </c>
      <c r="AM14" s="3">
        <f>IF($A14="","",IF($E14="","",IF(TODAY()&lt;$E14+480,"-",IF($D14="",SUMPRODUCT(('Picked Students (raw)'!$B$2:$B$824=$C14)*('Picked Students (raw)'!$C$2:$C$824&lt;&gt;"")*(('Picked Students (raw)'!$C$2:$C$824-$E14)&lt;480)),SUMPRODUCT(('Picked Students (raw)'!$B$2:$B$824=$C14)*('Picked Students (raw)'!$D$2:$D$824=$D14)*('Picked Students (raw)'!$C$2:$C$824&lt;&gt;"")*(('Picked Students (raw)'!$C$2:$C$824-$E14)&lt;480))))))</f>
        <v/>
      </c>
      <c r="AN14" s="5">
        <f>IF($A14="","",IF(AM14="-","-",IF($G14=0,0,AM14/$G14)))</f>
        <v/>
      </c>
      <c r="AO14" s="3">
        <f>IF($A14="","",IF($E14="","",IF(TODAY()&lt;$E14+510,"-",IF($D14="",SUMPRODUCT(('Picked Students (raw)'!$B$2:$B$824=$C14)*('Picked Students (raw)'!$C$2:$C$824&lt;&gt;"")*(('Picked Students (raw)'!$C$2:$C$824-$E14)&lt;510)),SUMPRODUCT(('Picked Students (raw)'!$B$2:$B$824=$C14)*('Picked Students (raw)'!$D$2:$D$824=$D14)*('Picked Students (raw)'!$C$2:$C$824&lt;&gt;"")*(('Picked Students (raw)'!$C$2:$C$824-$E14)&lt;510))))))</f>
        <v/>
      </c>
      <c r="AP14" s="5">
        <f>IF($A14="","",IF(AO14="-","-",IF($G14=0,0,AO14/$G14)))</f>
        <v/>
      </c>
      <c r="AQ14" s="3">
        <f>IF($A14="","",IF($E14="","",IF(TODAY()&lt;$E14+540,"-",IF($D14="",SUMPRODUCT(('Picked Students (raw)'!$B$2:$B$824=$C14)*('Picked Students (raw)'!$C$2:$C$824&lt;&gt;"")*(('Picked Students (raw)'!$C$2:$C$824-$E14)&lt;540)),SUMPRODUCT(('Picked Students (raw)'!$B$2:$B$824=$C14)*('Picked Students (raw)'!$D$2:$D$824=$D14)*('Picked Students (raw)'!$C$2:$C$824&lt;&gt;"")*(('Picked Students (raw)'!$C$2:$C$824-$E14)&lt;540))))))</f>
        <v/>
      </c>
      <c r="AR14" s="5">
        <f>IF($A14="","",IF(AQ14="-","-",IF($G14=0,0,AQ14/$G14)))</f>
        <v/>
      </c>
      <c r="AS14" s="3">
        <f>IF($A14="","",IF(AQ14="-","-",$H14-AQ14))</f>
        <v/>
      </c>
    </row>
    <row r="15">
      <c r="A15" s="3" t="inlineStr">
        <is>
          <t>Professional Certificate Course In Data Science - March 2024</t>
        </is>
      </c>
      <c r="B15" s="3">
        <f>IF($A15="","",IFERROR(IF(INDEX('Batch Enrollment (Metabase)'!$C$2:$C$47,MATCH($A15,'Batch Enrollment (Metabase)'!$A$2:$A$47,0))="GEM","A",IF(INDEX('Batch Enrollment (Metabase)'!$C$2:$C$47,MATCH($A15,'Batch Enrollment (Metabase)'!$A$2:$A$47,0))="Non-GEM","B","")),""))</f>
        <v/>
      </c>
      <c r="C15" s="3">
        <f>IF($A15="","",IFERROR(INDEX('Batch Enrollment (Metabase)'!$B$2:$B$47,MATCH($A15,'Batch Enrollment (Metabase)'!$A$2:$A$47,0)),""))</f>
        <v/>
      </c>
      <c r="D15" s="3">
        <f>IF($A15="","",IFERROR(INDEX('Batch Enrollment (Metabase)'!$C$2:$C$47,MATCH($A15,'Batch Enrollment (Metabase)'!$A$2:$A$47,0)),""))</f>
        <v/>
      </c>
      <c r="E15" s="4">
        <f>IF($A15="","",IFERROR(INDEX('Batch Enrollment (Metabase)'!$D$2:$D$47,MATCH($A15,'Batch Enrollment (Metabase)'!$A$2:$A$47,0)),""))</f>
        <v/>
      </c>
      <c r="F15" s="3">
        <f>IF($A15="","",IFERROR(INDEX('Batch Enrollment (Metabase)'!$E$2:$E$47,MATCH($A15,'Batch Enrollment (Metabase)'!$A$2:$A$47,0)),""))</f>
        <v/>
      </c>
      <c r="G15" s="3">
        <f>IF($A15="","",IFERROR(INDEX('Batch Enrollment (Metabase)'!$F$2:$F$47,MATCH($A15,'Batch Enrollment (Metabase)'!$A$2:$A$47,0)),""))</f>
        <v/>
      </c>
      <c r="H15" s="3">
        <f>IF($A15="","",IF($D15="",COUNTIF('Picked Students (raw)'!$B$2:$B$824,$C15),COUNTIFS('Picked Students (raw)'!$B$2:$B$824,$C15,'Picked Students (raw)'!$D$2:$D$824,$D15)))</f>
        <v/>
      </c>
      <c r="I15" s="3">
        <f>IF($A15="","",IF($E15="","",IF(TODAY()&lt;$E15+30,"-",IF($D15="",SUMPRODUCT(('Picked Students (raw)'!$B$2:$B$824=$C15)*('Picked Students (raw)'!$C$2:$C$824&lt;&gt;"")*(('Picked Students (raw)'!$C$2:$C$824-$E15)&lt;30)),SUMPRODUCT(('Picked Students (raw)'!$B$2:$B$824=$C15)*('Picked Students (raw)'!$D$2:$D$824=$D15)*('Picked Students (raw)'!$C$2:$C$824&lt;&gt;"")*(('Picked Students (raw)'!$C$2:$C$824-$E15)&lt;30))))))</f>
        <v/>
      </c>
      <c r="J15" s="5">
        <f>IF($A15="","",IF(I15="-","-",IF($G15=0,0,I15/$G15)))</f>
        <v/>
      </c>
      <c r="K15" s="3">
        <f>IF($A15="","",IF($E15="","",IF(TODAY()&lt;$E15+60,"-",IF($D15="",SUMPRODUCT(('Picked Students (raw)'!$B$2:$B$824=$C15)*('Picked Students (raw)'!$C$2:$C$824&lt;&gt;"")*(('Picked Students (raw)'!$C$2:$C$824-$E15)&lt;60)),SUMPRODUCT(('Picked Students (raw)'!$B$2:$B$824=$C15)*('Picked Students (raw)'!$D$2:$D$824=$D15)*('Picked Students (raw)'!$C$2:$C$824&lt;&gt;"")*(('Picked Students (raw)'!$C$2:$C$824-$E15)&lt;60))))))</f>
        <v/>
      </c>
      <c r="L15" s="5">
        <f>IF($A15="","",IF(K15="-","-",IF($G15=0,0,K15/$G15)))</f>
        <v/>
      </c>
      <c r="M15" s="3">
        <f>IF($A15="","",IF($E15="","",IF(TODAY()&lt;$E15+90,"-",IF($D15="",SUMPRODUCT(('Picked Students (raw)'!$B$2:$B$824=$C15)*('Picked Students (raw)'!$C$2:$C$824&lt;&gt;"")*(('Picked Students (raw)'!$C$2:$C$824-$E15)&lt;90)),SUMPRODUCT(('Picked Students (raw)'!$B$2:$B$824=$C15)*('Picked Students (raw)'!$D$2:$D$824=$D15)*('Picked Students (raw)'!$C$2:$C$824&lt;&gt;"")*(('Picked Students (raw)'!$C$2:$C$824-$E15)&lt;90))))))</f>
        <v/>
      </c>
      <c r="N15" s="5">
        <f>IF($A15="","",IF(M15="-","-",IF($G15=0,0,M15/$G15)))</f>
        <v/>
      </c>
      <c r="O15" s="3">
        <f>IF($A15="","",IF($E15="","",IF(TODAY()&lt;$E15+120,"-",IF($D15="",SUMPRODUCT(('Picked Students (raw)'!$B$2:$B$824=$C15)*('Picked Students (raw)'!$C$2:$C$824&lt;&gt;"")*(('Picked Students (raw)'!$C$2:$C$824-$E15)&lt;120)),SUMPRODUCT(('Picked Students (raw)'!$B$2:$B$824=$C15)*('Picked Students (raw)'!$D$2:$D$824=$D15)*('Picked Students (raw)'!$C$2:$C$824&lt;&gt;"")*(('Picked Students (raw)'!$C$2:$C$824-$E15)&lt;120))))))</f>
        <v/>
      </c>
      <c r="P15" s="5">
        <f>IF($A15="","",IF(O15="-","-",IF($G15=0,0,O15/$G15)))</f>
        <v/>
      </c>
      <c r="Q15" s="3">
        <f>IF($A15="","",IF($E15="","",IF(TODAY()&lt;$E15+150,"-",IF($D15="",SUMPRODUCT(('Picked Students (raw)'!$B$2:$B$824=$C15)*('Picked Students (raw)'!$C$2:$C$824&lt;&gt;"")*(('Picked Students (raw)'!$C$2:$C$824-$E15)&lt;150)),SUMPRODUCT(('Picked Students (raw)'!$B$2:$B$824=$C15)*('Picked Students (raw)'!$D$2:$D$824=$D15)*('Picked Students (raw)'!$C$2:$C$824&lt;&gt;"")*(('Picked Students (raw)'!$C$2:$C$824-$E15)&lt;150))))))</f>
        <v/>
      </c>
      <c r="R15" s="5">
        <f>IF($A15="","",IF(Q15="-","-",IF($G15=0,0,Q15/$G15)))</f>
        <v/>
      </c>
      <c r="S15" s="3">
        <f>IF($A15="","",IF($E15="","",IF(TODAY()&lt;$E15+180,"-",IF($D15="",SUMPRODUCT(('Picked Students (raw)'!$B$2:$B$824=$C15)*('Picked Students (raw)'!$C$2:$C$824&lt;&gt;"")*(('Picked Students (raw)'!$C$2:$C$824-$E15)&lt;180)),SUMPRODUCT(('Picked Students (raw)'!$B$2:$B$824=$C15)*('Picked Students (raw)'!$D$2:$D$824=$D15)*('Picked Students (raw)'!$C$2:$C$824&lt;&gt;"")*(('Picked Students (raw)'!$C$2:$C$824-$E15)&lt;180))))))</f>
        <v/>
      </c>
      <c r="T15" s="5">
        <f>IF($A15="","",IF(S15="-","-",IF($G15=0,0,S15/$G15)))</f>
        <v/>
      </c>
      <c r="U15" s="3">
        <f>IF($A15="","",IF($E15="","",IF(TODAY()&lt;$E15+210,"-",IF($D15="",SUMPRODUCT(('Picked Students (raw)'!$B$2:$B$824=$C15)*('Picked Students (raw)'!$C$2:$C$824&lt;&gt;"")*(('Picked Students (raw)'!$C$2:$C$824-$E15)&lt;210)),SUMPRODUCT(('Picked Students (raw)'!$B$2:$B$824=$C15)*('Picked Students (raw)'!$D$2:$D$824=$D15)*('Picked Students (raw)'!$C$2:$C$824&lt;&gt;"")*(('Picked Students (raw)'!$C$2:$C$824-$E15)&lt;210))))))</f>
        <v/>
      </c>
      <c r="V15" s="5">
        <f>IF($A15="","",IF(U15="-","-",IF($G15=0,0,U15/$G15)))</f>
        <v/>
      </c>
      <c r="W15" s="3">
        <f>IF($A15="","",IF($E15="","",IF(TODAY()&lt;$E15+240,"-",IF($D15="",SUMPRODUCT(('Picked Students (raw)'!$B$2:$B$824=$C15)*('Picked Students (raw)'!$C$2:$C$824&lt;&gt;"")*(('Picked Students (raw)'!$C$2:$C$824-$E15)&lt;240)),SUMPRODUCT(('Picked Students (raw)'!$B$2:$B$824=$C15)*('Picked Students (raw)'!$D$2:$D$824=$D15)*('Picked Students (raw)'!$C$2:$C$824&lt;&gt;"")*(('Picked Students (raw)'!$C$2:$C$824-$E15)&lt;240))))))</f>
        <v/>
      </c>
      <c r="X15" s="5">
        <f>IF($A15="","",IF(W15="-","-",IF($G15=0,0,W15/$G15)))</f>
        <v/>
      </c>
      <c r="Y15" s="3">
        <f>IF($A15="","",IF($E15="","",IF(TODAY()&lt;$E15+270,"-",IF($D15="",SUMPRODUCT(('Picked Students (raw)'!$B$2:$B$824=$C15)*('Picked Students (raw)'!$C$2:$C$824&lt;&gt;"")*(('Picked Students (raw)'!$C$2:$C$824-$E15)&lt;270)),SUMPRODUCT(('Picked Students (raw)'!$B$2:$B$824=$C15)*('Picked Students (raw)'!$D$2:$D$824=$D15)*('Picked Students (raw)'!$C$2:$C$824&lt;&gt;"")*(('Picked Students (raw)'!$C$2:$C$824-$E15)&lt;270))))))</f>
        <v/>
      </c>
      <c r="Z15" s="5">
        <f>IF($A15="","",IF(Y15="-","-",IF($G15=0,0,Y15/$G15)))</f>
        <v/>
      </c>
      <c r="AA15" s="3">
        <f>IF($A15="","",IF($E15="","",IF(TODAY()&lt;$E15+300,"-",IF($D15="",SUMPRODUCT(('Picked Students (raw)'!$B$2:$B$824=$C15)*('Picked Students (raw)'!$C$2:$C$824&lt;&gt;"")*(('Picked Students (raw)'!$C$2:$C$824-$E15)&lt;300)),SUMPRODUCT(('Picked Students (raw)'!$B$2:$B$824=$C15)*('Picked Students (raw)'!$D$2:$D$824=$D15)*('Picked Students (raw)'!$C$2:$C$824&lt;&gt;"")*(('Picked Students (raw)'!$C$2:$C$824-$E15)&lt;300))))))</f>
        <v/>
      </c>
      <c r="AB15" s="5">
        <f>IF($A15="","",IF(AA15="-","-",IF($G15=0,0,AA15/$G15)))</f>
        <v/>
      </c>
      <c r="AC15" s="3">
        <f>IF($A15="","",IF($E15="","",IF(TODAY()&lt;$E15+330,"-",IF($D15="",SUMPRODUCT(('Picked Students (raw)'!$B$2:$B$824=$C15)*('Picked Students (raw)'!$C$2:$C$824&lt;&gt;"")*(('Picked Students (raw)'!$C$2:$C$824-$E15)&lt;330)),SUMPRODUCT(('Picked Students (raw)'!$B$2:$B$824=$C15)*('Picked Students (raw)'!$D$2:$D$824=$D15)*('Picked Students (raw)'!$C$2:$C$824&lt;&gt;"")*(('Picked Students (raw)'!$C$2:$C$824-$E15)&lt;330))))))</f>
        <v/>
      </c>
      <c r="AD15" s="5">
        <f>IF($A15="","",IF(AC15="-","-",IF($G15=0,0,AC15/$G15)))</f>
        <v/>
      </c>
      <c r="AE15" s="3">
        <f>IF($A15="","",IF($E15="","",IF(TODAY()&lt;$E15+360,"-",IF($D15="",SUMPRODUCT(('Picked Students (raw)'!$B$2:$B$824=$C15)*('Picked Students (raw)'!$C$2:$C$824&lt;&gt;"")*(('Picked Students (raw)'!$C$2:$C$824-$E15)&lt;360)),SUMPRODUCT(('Picked Students (raw)'!$B$2:$B$824=$C15)*('Picked Students (raw)'!$D$2:$D$824=$D15)*('Picked Students (raw)'!$C$2:$C$824&lt;&gt;"")*(('Picked Students (raw)'!$C$2:$C$824-$E15)&lt;360))))))</f>
        <v/>
      </c>
      <c r="AF15" s="5">
        <f>IF($A15="","",IF(AE15="-","-",IF($G15=0,0,AE15/$G15)))</f>
        <v/>
      </c>
      <c r="AG15" s="3">
        <f>IF($A15="","",IF($E15="","",IF(TODAY()&lt;$E15+390,"-",IF($D15="",SUMPRODUCT(('Picked Students (raw)'!$B$2:$B$824=$C15)*('Picked Students (raw)'!$C$2:$C$824&lt;&gt;"")*(('Picked Students (raw)'!$C$2:$C$824-$E15)&lt;390)),SUMPRODUCT(('Picked Students (raw)'!$B$2:$B$824=$C15)*('Picked Students (raw)'!$D$2:$D$824=$D15)*('Picked Students (raw)'!$C$2:$C$824&lt;&gt;"")*(('Picked Students (raw)'!$C$2:$C$824-$E15)&lt;390))))))</f>
        <v/>
      </c>
      <c r="AH15" s="5">
        <f>IF($A15="","",IF(AG15="-","-",IF($G15=0,0,AG15/$G15)))</f>
        <v/>
      </c>
      <c r="AI15" s="3">
        <f>IF($A15="","",IF($E15="","",IF(TODAY()&lt;$E15+420,"-",IF($D15="",SUMPRODUCT(('Picked Students (raw)'!$B$2:$B$824=$C15)*('Picked Students (raw)'!$C$2:$C$824&lt;&gt;"")*(('Picked Students (raw)'!$C$2:$C$824-$E15)&lt;420)),SUMPRODUCT(('Picked Students (raw)'!$B$2:$B$824=$C15)*('Picked Students (raw)'!$D$2:$D$824=$D15)*('Picked Students (raw)'!$C$2:$C$824&lt;&gt;"")*(('Picked Students (raw)'!$C$2:$C$824-$E15)&lt;420))))))</f>
        <v/>
      </c>
      <c r="AJ15" s="5">
        <f>IF($A15="","",IF(AI15="-","-",IF($G15=0,0,AI15/$G15)))</f>
        <v/>
      </c>
      <c r="AK15" s="3">
        <f>IF($A15="","",IF($E15="","",IF(TODAY()&lt;$E15+450,"-",IF($D15="",SUMPRODUCT(('Picked Students (raw)'!$B$2:$B$824=$C15)*('Picked Students (raw)'!$C$2:$C$824&lt;&gt;"")*(('Picked Students (raw)'!$C$2:$C$824-$E15)&lt;450)),SUMPRODUCT(('Picked Students (raw)'!$B$2:$B$824=$C15)*('Picked Students (raw)'!$D$2:$D$824=$D15)*('Picked Students (raw)'!$C$2:$C$824&lt;&gt;"")*(('Picked Students (raw)'!$C$2:$C$824-$E15)&lt;450))))))</f>
        <v/>
      </c>
      <c r="AL15" s="5">
        <f>IF($A15="","",IF(AK15="-","-",IF($G15=0,0,AK15/$G15)))</f>
        <v/>
      </c>
      <c r="AM15" s="3">
        <f>IF($A15="","",IF($E15="","",IF(TODAY()&lt;$E15+480,"-",IF($D15="",SUMPRODUCT(('Picked Students (raw)'!$B$2:$B$824=$C15)*('Picked Students (raw)'!$C$2:$C$824&lt;&gt;"")*(('Picked Students (raw)'!$C$2:$C$824-$E15)&lt;480)),SUMPRODUCT(('Picked Students (raw)'!$B$2:$B$824=$C15)*('Picked Students (raw)'!$D$2:$D$824=$D15)*('Picked Students (raw)'!$C$2:$C$824&lt;&gt;"")*(('Picked Students (raw)'!$C$2:$C$824-$E15)&lt;480))))))</f>
        <v/>
      </c>
      <c r="AN15" s="5">
        <f>IF($A15="","",IF(AM15="-","-",IF($G15=0,0,AM15/$G15)))</f>
        <v/>
      </c>
      <c r="AO15" s="3">
        <f>IF($A15="","",IF($E15="","",IF(TODAY()&lt;$E15+510,"-",IF($D15="",SUMPRODUCT(('Picked Students (raw)'!$B$2:$B$824=$C15)*('Picked Students (raw)'!$C$2:$C$824&lt;&gt;"")*(('Picked Students (raw)'!$C$2:$C$824-$E15)&lt;510)),SUMPRODUCT(('Picked Students (raw)'!$B$2:$B$824=$C15)*('Picked Students (raw)'!$D$2:$D$824=$D15)*('Picked Students (raw)'!$C$2:$C$824&lt;&gt;"")*(('Picked Students (raw)'!$C$2:$C$824-$E15)&lt;510))))))</f>
        <v/>
      </c>
      <c r="AP15" s="5">
        <f>IF($A15="","",IF(AO15="-","-",IF($G15=0,0,AO15/$G15)))</f>
        <v/>
      </c>
      <c r="AQ15" s="3">
        <f>IF($A15="","",IF($E15="","",IF(TODAY()&lt;$E15+540,"-",IF($D15="",SUMPRODUCT(('Picked Students (raw)'!$B$2:$B$824=$C15)*('Picked Students (raw)'!$C$2:$C$824&lt;&gt;"")*(('Picked Students (raw)'!$C$2:$C$824-$E15)&lt;540)),SUMPRODUCT(('Picked Students (raw)'!$B$2:$B$824=$C15)*('Picked Students (raw)'!$D$2:$D$824=$D15)*('Picked Students (raw)'!$C$2:$C$824&lt;&gt;"")*(('Picked Students (raw)'!$C$2:$C$824-$E15)&lt;540))))))</f>
        <v/>
      </c>
      <c r="AR15" s="5">
        <f>IF($A15="","",IF(AQ15="-","-",IF($G15=0,0,AQ15/$G15)))</f>
        <v/>
      </c>
      <c r="AS15" s="3">
        <f>IF($A15="","",IF(AQ15="-","-",$H15-AQ15))</f>
        <v/>
      </c>
    </row>
    <row r="16">
      <c r="A16" s="3" t="inlineStr">
        <is>
          <t>Professional Certificate Course In Data Science - April 2024</t>
        </is>
      </c>
      <c r="B16" s="3">
        <f>IF($A16="","",IFERROR(IF(INDEX('Batch Enrollment (Metabase)'!$C$2:$C$47,MATCH($A16,'Batch Enrollment (Metabase)'!$A$2:$A$47,0))="GEM","A",IF(INDEX('Batch Enrollment (Metabase)'!$C$2:$C$47,MATCH($A16,'Batch Enrollment (Metabase)'!$A$2:$A$47,0))="Non-GEM","B","")),""))</f>
        <v/>
      </c>
      <c r="C16" s="3">
        <f>IF($A16="","",IFERROR(INDEX('Batch Enrollment (Metabase)'!$B$2:$B$47,MATCH($A16,'Batch Enrollment (Metabase)'!$A$2:$A$47,0)),""))</f>
        <v/>
      </c>
      <c r="D16" s="3">
        <f>IF($A16="","",IFERROR(INDEX('Batch Enrollment (Metabase)'!$C$2:$C$47,MATCH($A16,'Batch Enrollment (Metabase)'!$A$2:$A$47,0)),""))</f>
        <v/>
      </c>
      <c r="E16" s="4">
        <f>IF($A16="","",IFERROR(INDEX('Batch Enrollment (Metabase)'!$D$2:$D$47,MATCH($A16,'Batch Enrollment (Metabase)'!$A$2:$A$47,0)),""))</f>
        <v/>
      </c>
      <c r="F16" s="3">
        <f>IF($A16="","",IFERROR(INDEX('Batch Enrollment (Metabase)'!$E$2:$E$47,MATCH($A16,'Batch Enrollment (Metabase)'!$A$2:$A$47,0)),""))</f>
        <v/>
      </c>
      <c r="G16" s="3">
        <f>IF($A16="","",IFERROR(INDEX('Batch Enrollment (Metabase)'!$F$2:$F$47,MATCH($A16,'Batch Enrollment (Metabase)'!$A$2:$A$47,0)),""))</f>
        <v/>
      </c>
      <c r="H16" s="3">
        <f>IF($A16="","",IF($D16="",COUNTIF('Picked Students (raw)'!$B$2:$B$824,$C16),COUNTIFS('Picked Students (raw)'!$B$2:$B$824,$C16,'Picked Students (raw)'!$D$2:$D$824,$D16)))</f>
        <v/>
      </c>
      <c r="I16" s="3">
        <f>IF($A16="","",IF($E16="","",IF(TODAY()&lt;$E16+30,"-",IF($D16="",SUMPRODUCT(('Picked Students (raw)'!$B$2:$B$824=$C16)*('Picked Students (raw)'!$C$2:$C$824&lt;&gt;"")*(('Picked Students (raw)'!$C$2:$C$824-$E16)&lt;30)),SUMPRODUCT(('Picked Students (raw)'!$B$2:$B$824=$C16)*('Picked Students (raw)'!$D$2:$D$824=$D16)*('Picked Students (raw)'!$C$2:$C$824&lt;&gt;"")*(('Picked Students (raw)'!$C$2:$C$824-$E16)&lt;30))))))</f>
        <v/>
      </c>
      <c r="J16" s="5">
        <f>IF($A16="","",IF(I16="-","-",IF($G16=0,0,I16/$G16)))</f>
        <v/>
      </c>
      <c r="K16" s="3">
        <f>IF($A16="","",IF($E16="","",IF(TODAY()&lt;$E16+60,"-",IF($D16="",SUMPRODUCT(('Picked Students (raw)'!$B$2:$B$824=$C16)*('Picked Students (raw)'!$C$2:$C$824&lt;&gt;"")*(('Picked Students (raw)'!$C$2:$C$824-$E16)&lt;60)),SUMPRODUCT(('Picked Students (raw)'!$B$2:$B$824=$C16)*('Picked Students (raw)'!$D$2:$D$824=$D16)*('Picked Students (raw)'!$C$2:$C$824&lt;&gt;"")*(('Picked Students (raw)'!$C$2:$C$824-$E16)&lt;60))))))</f>
        <v/>
      </c>
      <c r="L16" s="5">
        <f>IF($A16="","",IF(K16="-","-",IF($G16=0,0,K16/$G16)))</f>
        <v/>
      </c>
      <c r="M16" s="3">
        <f>IF($A16="","",IF($E16="","",IF(TODAY()&lt;$E16+90,"-",IF($D16="",SUMPRODUCT(('Picked Students (raw)'!$B$2:$B$824=$C16)*('Picked Students (raw)'!$C$2:$C$824&lt;&gt;"")*(('Picked Students (raw)'!$C$2:$C$824-$E16)&lt;90)),SUMPRODUCT(('Picked Students (raw)'!$B$2:$B$824=$C16)*('Picked Students (raw)'!$D$2:$D$824=$D16)*('Picked Students (raw)'!$C$2:$C$824&lt;&gt;"")*(('Picked Students (raw)'!$C$2:$C$824-$E16)&lt;90))))))</f>
        <v/>
      </c>
      <c r="N16" s="5">
        <f>IF($A16="","",IF(M16="-","-",IF($G16=0,0,M16/$G16)))</f>
        <v/>
      </c>
      <c r="O16" s="3">
        <f>IF($A16="","",IF($E16="","",IF(TODAY()&lt;$E16+120,"-",IF($D16="",SUMPRODUCT(('Picked Students (raw)'!$B$2:$B$824=$C16)*('Picked Students (raw)'!$C$2:$C$824&lt;&gt;"")*(('Picked Students (raw)'!$C$2:$C$824-$E16)&lt;120)),SUMPRODUCT(('Picked Students (raw)'!$B$2:$B$824=$C16)*('Picked Students (raw)'!$D$2:$D$824=$D16)*('Picked Students (raw)'!$C$2:$C$824&lt;&gt;"")*(('Picked Students (raw)'!$C$2:$C$824-$E16)&lt;120))))))</f>
        <v/>
      </c>
      <c r="P16" s="5">
        <f>IF($A16="","",IF(O16="-","-",IF($G16=0,0,O16/$G16)))</f>
        <v/>
      </c>
      <c r="Q16" s="3">
        <f>IF($A16="","",IF($E16="","",IF(TODAY()&lt;$E16+150,"-",IF($D16="",SUMPRODUCT(('Picked Students (raw)'!$B$2:$B$824=$C16)*('Picked Students (raw)'!$C$2:$C$824&lt;&gt;"")*(('Picked Students (raw)'!$C$2:$C$824-$E16)&lt;150)),SUMPRODUCT(('Picked Students (raw)'!$B$2:$B$824=$C16)*('Picked Students (raw)'!$D$2:$D$824=$D16)*('Picked Students (raw)'!$C$2:$C$824&lt;&gt;"")*(('Picked Students (raw)'!$C$2:$C$824-$E16)&lt;150))))))</f>
        <v/>
      </c>
      <c r="R16" s="5">
        <f>IF($A16="","",IF(Q16="-","-",IF($G16=0,0,Q16/$G16)))</f>
        <v/>
      </c>
      <c r="S16" s="3">
        <f>IF($A16="","",IF($E16="","",IF(TODAY()&lt;$E16+180,"-",IF($D16="",SUMPRODUCT(('Picked Students (raw)'!$B$2:$B$824=$C16)*('Picked Students (raw)'!$C$2:$C$824&lt;&gt;"")*(('Picked Students (raw)'!$C$2:$C$824-$E16)&lt;180)),SUMPRODUCT(('Picked Students (raw)'!$B$2:$B$824=$C16)*('Picked Students (raw)'!$D$2:$D$824=$D16)*('Picked Students (raw)'!$C$2:$C$824&lt;&gt;"")*(('Picked Students (raw)'!$C$2:$C$824-$E16)&lt;180))))))</f>
        <v/>
      </c>
      <c r="T16" s="5">
        <f>IF($A16="","",IF(S16="-","-",IF($G16=0,0,S16/$G16)))</f>
        <v/>
      </c>
      <c r="U16" s="3">
        <f>IF($A16="","",IF($E16="","",IF(TODAY()&lt;$E16+210,"-",IF($D16="",SUMPRODUCT(('Picked Students (raw)'!$B$2:$B$824=$C16)*('Picked Students (raw)'!$C$2:$C$824&lt;&gt;"")*(('Picked Students (raw)'!$C$2:$C$824-$E16)&lt;210)),SUMPRODUCT(('Picked Students (raw)'!$B$2:$B$824=$C16)*('Picked Students (raw)'!$D$2:$D$824=$D16)*('Picked Students (raw)'!$C$2:$C$824&lt;&gt;"")*(('Picked Students (raw)'!$C$2:$C$824-$E16)&lt;210))))))</f>
        <v/>
      </c>
      <c r="V16" s="5">
        <f>IF($A16="","",IF(U16="-","-",IF($G16=0,0,U16/$G16)))</f>
        <v/>
      </c>
      <c r="W16" s="3">
        <f>IF($A16="","",IF($E16="","",IF(TODAY()&lt;$E16+240,"-",IF($D16="",SUMPRODUCT(('Picked Students (raw)'!$B$2:$B$824=$C16)*('Picked Students (raw)'!$C$2:$C$824&lt;&gt;"")*(('Picked Students (raw)'!$C$2:$C$824-$E16)&lt;240)),SUMPRODUCT(('Picked Students (raw)'!$B$2:$B$824=$C16)*('Picked Students (raw)'!$D$2:$D$824=$D16)*('Picked Students (raw)'!$C$2:$C$824&lt;&gt;"")*(('Picked Students (raw)'!$C$2:$C$824-$E16)&lt;240))))))</f>
        <v/>
      </c>
      <c r="X16" s="5">
        <f>IF($A16="","",IF(W16="-","-",IF($G16=0,0,W16/$G16)))</f>
        <v/>
      </c>
      <c r="Y16" s="3">
        <f>IF($A16="","",IF($E16="","",IF(TODAY()&lt;$E16+270,"-",IF($D16="",SUMPRODUCT(('Picked Students (raw)'!$B$2:$B$824=$C16)*('Picked Students (raw)'!$C$2:$C$824&lt;&gt;"")*(('Picked Students (raw)'!$C$2:$C$824-$E16)&lt;270)),SUMPRODUCT(('Picked Students (raw)'!$B$2:$B$824=$C16)*('Picked Students (raw)'!$D$2:$D$824=$D16)*('Picked Students (raw)'!$C$2:$C$824&lt;&gt;"")*(('Picked Students (raw)'!$C$2:$C$824-$E16)&lt;270))))))</f>
        <v/>
      </c>
      <c r="Z16" s="5">
        <f>IF($A16="","",IF(Y16="-","-",IF($G16=0,0,Y16/$G16)))</f>
        <v/>
      </c>
      <c r="AA16" s="3">
        <f>IF($A16="","",IF($E16="","",IF(TODAY()&lt;$E16+300,"-",IF($D16="",SUMPRODUCT(('Picked Students (raw)'!$B$2:$B$824=$C16)*('Picked Students (raw)'!$C$2:$C$824&lt;&gt;"")*(('Picked Students (raw)'!$C$2:$C$824-$E16)&lt;300)),SUMPRODUCT(('Picked Students (raw)'!$B$2:$B$824=$C16)*('Picked Students (raw)'!$D$2:$D$824=$D16)*('Picked Students (raw)'!$C$2:$C$824&lt;&gt;"")*(('Picked Students (raw)'!$C$2:$C$824-$E16)&lt;300))))))</f>
        <v/>
      </c>
      <c r="AB16" s="5">
        <f>IF($A16="","",IF(AA16="-","-",IF($G16=0,0,AA16/$G16)))</f>
        <v/>
      </c>
      <c r="AC16" s="3">
        <f>IF($A16="","",IF($E16="","",IF(TODAY()&lt;$E16+330,"-",IF($D16="",SUMPRODUCT(('Picked Students (raw)'!$B$2:$B$824=$C16)*('Picked Students (raw)'!$C$2:$C$824&lt;&gt;"")*(('Picked Students (raw)'!$C$2:$C$824-$E16)&lt;330)),SUMPRODUCT(('Picked Students (raw)'!$B$2:$B$824=$C16)*('Picked Students (raw)'!$D$2:$D$824=$D16)*('Picked Students (raw)'!$C$2:$C$824&lt;&gt;"")*(('Picked Students (raw)'!$C$2:$C$824-$E16)&lt;330))))))</f>
        <v/>
      </c>
      <c r="AD16" s="5">
        <f>IF($A16="","",IF(AC16="-","-",IF($G16=0,0,AC16/$G16)))</f>
        <v/>
      </c>
      <c r="AE16" s="3">
        <f>IF($A16="","",IF($E16="","",IF(TODAY()&lt;$E16+360,"-",IF($D16="",SUMPRODUCT(('Picked Students (raw)'!$B$2:$B$824=$C16)*('Picked Students (raw)'!$C$2:$C$824&lt;&gt;"")*(('Picked Students (raw)'!$C$2:$C$824-$E16)&lt;360)),SUMPRODUCT(('Picked Students (raw)'!$B$2:$B$824=$C16)*('Picked Students (raw)'!$D$2:$D$824=$D16)*('Picked Students (raw)'!$C$2:$C$824&lt;&gt;"")*(('Picked Students (raw)'!$C$2:$C$824-$E16)&lt;360))))))</f>
        <v/>
      </c>
      <c r="AF16" s="5">
        <f>IF($A16="","",IF(AE16="-","-",IF($G16=0,0,AE16/$G16)))</f>
        <v/>
      </c>
      <c r="AG16" s="3">
        <f>IF($A16="","",IF($E16="","",IF(TODAY()&lt;$E16+390,"-",IF($D16="",SUMPRODUCT(('Picked Students (raw)'!$B$2:$B$824=$C16)*('Picked Students (raw)'!$C$2:$C$824&lt;&gt;"")*(('Picked Students (raw)'!$C$2:$C$824-$E16)&lt;390)),SUMPRODUCT(('Picked Students (raw)'!$B$2:$B$824=$C16)*('Picked Students (raw)'!$D$2:$D$824=$D16)*('Picked Students (raw)'!$C$2:$C$824&lt;&gt;"")*(('Picked Students (raw)'!$C$2:$C$824-$E16)&lt;390))))))</f>
        <v/>
      </c>
      <c r="AH16" s="5">
        <f>IF($A16="","",IF(AG16="-","-",IF($G16=0,0,AG16/$G16)))</f>
        <v/>
      </c>
      <c r="AI16" s="3">
        <f>IF($A16="","",IF($E16="","",IF(TODAY()&lt;$E16+420,"-",IF($D16="",SUMPRODUCT(('Picked Students (raw)'!$B$2:$B$824=$C16)*('Picked Students (raw)'!$C$2:$C$824&lt;&gt;"")*(('Picked Students (raw)'!$C$2:$C$824-$E16)&lt;420)),SUMPRODUCT(('Picked Students (raw)'!$B$2:$B$824=$C16)*('Picked Students (raw)'!$D$2:$D$824=$D16)*('Picked Students (raw)'!$C$2:$C$824&lt;&gt;"")*(('Picked Students (raw)'!$C$2:$C$824-$E16)&lt;420))))))</f>
        <v/>
      </c>
      <c r="AJ16" s="5">
        <f>IF($A16="","",IF(AI16="-","-",IF($G16=0,0,AI16/$G16)))</f>
        <v/>
      </c>
      <c r="AK16" s="3">
        <f>IF($A16="","",IF($E16="","",IF(TODAY()&lt;$E16+450,"-",IF($D16="",SUMPRODUCT(('Picked Students (raw)'!$B$2:$B$824=$C16)*('Picked Students (raw)'!$C$2:$C$824&lt;&gt;"")*(('Picked Students (raw)'!$C$2:$C$824-$E16)&lt;450)),SUMPRODUCT(('Picked Students (raw)'!$B$2:$B$824=$C16)*('Picked Students (raw)'!$D$2:$D$824=$D16)*('Picked Students (raw)'!$C$2:$C$824&lt;&gt;"")*(('Picked Students (raw)'!$C$2:$C$824-$E16)&lt;450))))))</f>
        <v/>
      </c>
      <c r="AL16" s="5">
        <f>IF($A16="","",IF(AK16="-","-",IF($G16=0,0,AK16/$G16)))</f>
        <v/>
      </c>
      <c r="AM16" s="3">
        <f>IF($A16="","",IF($E16="","",IF(TODAY()&lt;$E16+480,"-",IF($D16="",SUMPRODUCT(('Picked Students (raw)'!$B$2:$B$824=$C16)*('Picked Students (raw)'!$C$2:$C$824&lt;&gt;"")*(('Picked Students (raw)'!$C$2:$C$824-$E16)&lt;480)),SUMPRODUCT(('Picked Students (raw)'!$B$2:$B$824=$C16)*('Picked Students (raw)'!$D$2:$D$824=$D16)*('Picked Students (raw)'!$C$2:$C$824&lt;&gt;"")*(('Picked Students (raw)'!$C$2:$C$824-$E16)&lt;480))))))</f>
        <v/>
      </c>
      <c r="AN16" s="5">
        <f>IF($A16="","",IF(AM16="-","-",IF($G16=0,0,AM16/$G16)))</f>
        <v/>
      </c>
      <c r="AO16" s="3">
        <f>IF($A16="","",IF($E16="","",IF(TODAY()&lt;$E16+510,"-",IF($D16="",SUMPRODUCT(('Picked Students (raw)'!$B$2:$B$824=$C16)*('Picked Students (raw)'!$C$2:$C$824&lt;&gt;"")*(('Picked Students (raw)'!$C$2:$C$824-$E16)&lt;510)),SUMPRODUCT(('Picked Students (raw)'!$B$2:$B$824=$C16)*('Picked Students (raw)'!$D$2:$D$824=$D16)*('Picked Students (raw)'!$C$2:$C$824&lt;&gt;"")*(('Picked Students (raw)'!$C$2:$C$824-$E16)&lt;510))))))</f>
        <v/>
      </c>
      <c r="AP16" s="5">
        <f>IF($A16="","",IF(AO16="-","-",IF($G16=0,0,AO16/$G16)))</f>
        <v/>
      </c>
      <c r="AQ16" s="3">
        <f>IF($A16="","",IF($E16="","",IF(TODAY()&lt;$E16+540,"-",IF($D16="",SUMPRODUCT(('Picked Students (raw)'!$B$2:$B$824=$C16)*('Picked Students (raw)'!$C$2:$C$824&lt;&gt;"")*(('Picked Students (raw)'!$C$2:$C$824-$E16)&lt;540)),SUMPRODUCT(('Picked Students (raw)'!$B$2:$B$824=$C16)*('Picked Students (raw)'!$D$2:$D$824=$D16)*('Picked Students (raw)'!$C$2:$C$824&lt;&gt;"")*(('Picked Students (raw)'!$C$2:$C$824-$E16)&lt;540))))))</f>
        <v/>
      </c>
      <c r="AR16" s="5">
        <f>IF($A16="","",IF(AQ16="-","-",IF($G16=0,0,AQ16/$G16)))</f>
        <v/>
      </c>
      <c r="AS16" s="3">
        <f>IF($A16="","",IF(AQ16="-","-",$H16-AQ16))</f>
        <v/>
      </c>
    </row>
    <row r="17">
      <c r="A17" s="3" t="inlineStr">
        <is>
          <t>Professional Certificate Course In Data Science - May 2024</t>
        </is>
      </c>
      <c r="B17" s="3">
        <f>IF($A17="","",IFERROR(IF(INDEX('Batch Enrollment (Metabase)'!$C$2:$C$47,MATCH($A17,'Batch Enrollment (Metabase)'!$A$2:$A$47,0))="GEM","A",IF(INDEX('Batch Enrollment (Metabase)'!$C$2:$C$47,MATCH($A17,'Batch Enrollment (Metabase)'!$A$2:$A$47,0))="Non-GEM","B","")),""))</f>
        <v/>
      </c>
      <c r="C17" s="3">
        <f>IF($A17="","",IFERROR(INDEX('Batch Enrollment (Metabase)'!$B$2:$B$47,MATCH($A17,'Batch Enrollment (Metabase)'!$A$2:$A$47,0)),""))</f>
        <v/>
      </c>
      <c r="D17" s="3">
        <f>IF($A17="","",IFERROR(INDEX('Batch Enrollment (Metabase)'!$C$2:$C$47,MATCH($A17,'Batch Enrollment (Metabase)'!$A$2:$A$47,0)),""))</f>
        <v/>
      </c>
      <c r="E17" s="4">
        <f>IF($A17="","",IFERROR(INDEX('Batch Enrollment (Metabase)'!$D$2:$D$47,MATCH($A17,'Batch Enrollment (Metabase)'!$A$2:$A$47,0)),""))</f>
        <v/>
      </c>
      <c r="F17" s="3">
        <f>IF($A17="","",IFERROR(INDEX('Batch Enrollment (Metabase)'!$E$2:$E$47,MATCH($A17,'Batch Enrollment (Metabase)'!$A$2:$A$47,0)),""))</f>
        <v/>
      </c>
      <c r="G17" s="3">
        <f>IF($A17="","",IFERROR(INDEX('Batch Enrollment (Metabase)'!$F$2:$F$47,MATCH($A17,'Batch Enrollment (Metabase)'!$A$2:$A$47,0)),""))</f>
        <v/>
      </c>
      <c r="H17" s="3">
        <f>IF($A17="","",IF($D17="",COUNTIF('Picked Students (raw)'!$B$2:$B$824,$C17),COUNTIFS('Picked Students (raw)'!$B$2:$B$824,$C17,'Picked Students (raw)'!$D$2:$D$824,$D17)))</f>
        <v/>
      </c>
      <c r="I17" s="3">
        <f>IF($A17="","",IF($E17="","",IF(TODAY()&lt;$E17+30,"-",IF($D17="",SUMPRODUCT(('Picked Students (raw)'!$B$2:$B$824=$C17)*('Picked Students (raw)'!$C$2:$C$824&lt;&gt;"")*(('Picked Students (raw)'!$C$2:$C$824-$E17)&lt;30)),SUMPRODUCT(('Picked Students (raw)'!$B$2:$B$824=$C17)*('Picked Students (raw)'!$D$2:$D$824=$D17)*('Picked Students (raw)'!$C$2:$C$824&lt;&gt;"")*(('Picked Students (raw)'!$C$2:$C$824-$E17)&lt;30))))))</f>
        <v/>
      </c>
      <c r="J17" s="5">
        <f>IF($A17="","",IF(I17="-","-",IF($G17=0,0,I17/$G17)))</f>
        <v/>
      </c>
      <c r="K17" s="3">
        <f>IF($A17="","",IF($E17="","",IF(TODAY()&lt;$E17+60,"-",IF($D17="",SUMPRODUCT(('Picked Students (raw)'!$B$2:$B$824=$C17)*('Picked Students (raw)'!$C$2:$C$824&lt;&gt;"")*(('Picked Students (raw)'!$C$2:$C$824-$E17)&lt;60)),SUMPRODUCT(('Picked Students (raw)'!$B$2:$B$824=$C17)*('Picked Students (raw)'!$D$2:$D$824=$D17)*('Picked Students (raw)'!$C$2:$C$824&lt;&gt;"")*(('Picked Students (raw)'!$C$2:$C$824-$E17)&lt;60))))))</f>
        <v/>
      </c>
      <c r="L17" s="5">
        <f>IF($A17="","",IF(K17="-","-",IF($G17=0,0,K17/$G17)))</f>
        <v/>
      </c>
      <c r="M17" s="3">
        <f>IF($A17="","",IF($E17="","",IF(TODAY()&lt;$E17+90,"-",IF($D17="",SUMPRODUCT(('Picked Students (raw)'!$B$2:$B$824=$C17)*('Picked Students (raw)'!$C$2:$C$824&lt;&gt;"")*(('Picked Students (raw)'!$C$2:$C$824-$E17)&lt;90)),SUMPRODUCT(('Picked Students (raw)'!$B$2:$B$824=$C17)*('Picked Students (raw)'!$D$2:$D$824=$D17)*('Picked Students (raw)'!$C$2:$C$824&lt;&gt;"")*(('Picked Students (raw)'!$C$2:$C$824-$E17)&lt;90))))))</f>
        <v/>
      </c>
      <c r="N17" s="5">
        <f>IF($A17="","",IF(M17="-","-",IF($G17=0,0,M17/$G17)))</f>
        <v/>
      </c>
      <c r="O17" s="3">
        <f>IF($A17="","",IF($E17="","",IF(TODAY()&lt;$E17+120,"-",IF($D17="",SUMPRODUCT(('Picked Students (raw)'!$B$2:$B$824=$C17)*('Picked Students (raw)'!$C$2:$C$824&lt;&gt;"")*(('Picked Students (raw)'!$C$2:$C$824-$E17)&lt;120)),SUMPRODUCT(('Picked Students (raw)'!$B$2:$B$824=$C17)*('Picked Students (raw)'!$D$2:$D$824=$D17)*('Picked Students (raw)'!$C$2:$C$824&lt;&gt;"")*(('Picked Students (raw)'!$C$2:$C$824-$E17)&lt;120))))))</f>
        <v/>
      </c>
      <c r="P17" s="5">
        <f>IF($A17="","",IF(O17="-","-",IF($G17=0,0,O17/$G17)))</f>
        <v/>
      </c>
      <c r="Q17" s="3">
        <f>IF($A17="","",IF($E17="","",IF(TODAY()&lt;$E17+150,"-",IF($D17="",SUMPRODUCT(('Picked Students (raw)'!$B$2:$B$824=$C17)*('Picked Students (raw)'!$C$2:$C$824&lt;&gt;"")*(('Picked Students (raw)'!$C$2:$C$824-$E17)&lt;150)),SUMPRODUCT(('Picked Students (raw)'!$B$2:$B$824=$C17)*('Picked Students (raw)'!$D$2:$D$824=$D17)*('Picked Students (raw)'!$C$2:$C$824&lt;&gt;"")*(('Picked Students (raw)'!$C$2:$C$824-$E17)&lt;150))))))</f>
        <v/>
      </c>
      <c r="R17" s="5">
        <f>IF($A17="","",IF(Q17="-","-",IF($G17=0,0,Q17/$G17)))</f>
        <v/>
      </c>
      <c r="S17" s="3">
        <f>IF($A17="","",IF($E17="","",IF(TODAY()&lt;$E17+180,"-",IF($D17="",SUMPRODUCT(('Picked Students (raw)'!$B$2:$B$824=$C17)*('Picked Students (raw)'!$C$2:$C$824&lt;&gt;"")*(('Picked Students (raw)'!$C$2:$C$824-$E17)&lt;180)),SUMPRODUCT(('Picked Students (raw)'!$B$2:$B$824=$C17)*('Picked Students (raw)'!$D$2:$D$824=$D17)*('Picked Students (raw)'!$C$2:$C$824&lt;&gt;"")*(('Picked Students (raw)'!$C$2:$C$824-$E17)&lt;180))))))</f>
        <v/>
      </c>
      <c r="T17" s="5">
        <f>IF($A17="","",IF(S17="-","-",IF($G17=0,0,S17/$G17)))</f>
        <v/>
      </c>
      <c r="U17" s="3">
        <f>IF($A17="","",IF($E17="","",IF(TODAY()&lt;$E17+210,"-",IF($D17="",SUMPRODUCT(('Picked Students (raw)'!$B$2:$B$824=$C17)*('Picked Students (raw)'!$C$2:$C$824&lt;&gt;"")*(('Picked Students (raw)'!$C$2:$C$824-$E17)&lt;210)),SUMPRODUCT(('Picked Students (raw)'!$B$2:$B$824=$C17)*('Picked Students (raw)'!$D$2:$D$824=$D17)*('Picked Students (raw)'!$C$2:$C$824&lt;&gt;"")*(('Picked Students (raw)'!$C$2:$C$824-$E17)&lt;210))))))</f>
        <v/>
      </c>
      <c r="V17" s="5">
        <f>IF($A17="","",IF(U17="-","-",IF($G17=0,0,U17/$G17)))</f>
        <v/>
      </c>
      <c r="W17" s="3">
        <f>IF($A17="","",IF($E17="","",IF(TODAY()&lt;$E17+240,"-",IF($D17="",SUMPRODUCT(('Picked Students (raw)'!$B$2:$B$824=$C17)*('Picked Students (raw)'!$C$2:$C$824&lt;&gt;"")*(('Picked Students (raw)'!$C$2:$C$824-$E17)&lt;240)),SUMPRODUCT(('Picked Students (raw)'!$B$2:$B$824=$C17)*('Picked Students (raw)'!$D$2:$D$824=$D17)*('Picked Students (raw)'!$C$2:$C$824&lt;&gt;"")*(('Picked Students (raw)'!$C$2:$C$824-$E17)&lt;240))))))</f>
        <v/>
      </c>
      <c r="X17" s="5">
        <f>IF($A17="","",IF(W17="-","-",IF($G17=0,0,W17/$G17)))</f>
        <v/>
      </c>
      <c r="Y17" s="3">
        <f>IF($A17="","",IF($E17="","",IF(TODAY()&lt;$E17+270,"-",IF($D17="",SUMPRODUCT(('Picked Students (raw)'!$B$2:$B$824=$C17)*('Picked Students (raw)'!$C$2:$C$824&lt;&gt;"")*(('Picked Students (raw)'!$C$2:$C$824-$E17)&lt;270)),SUMPRODUCT(('Picked Students (raw)'!$B$2:$B$824=$C17)*('Picked Students (raw)'!$D$2:$D$824=$D17)*('Picked Students (raw)'!$C$2:$C$824&lt;&gt;"")*(('Picked Students (raw)'!$C$2:$C$824-$E17)&lt;270))))))</f>
        <v/>
      </c>
      <c r="Z17" s="5">
        <f>IF($A17="","",IF(Y17="-","-",IF($G17=0,0,Y17/$G17)))</f>
        <v/>
      </c>
      <c r="AA17" s="3">
        <f>IF($A17="","",IF($E17="","",IF(TODAY()&lt;$E17+300,"-",IF($D17="",SUMPRODUCT(('Picked Students (raw)'!$B$2:$B$824=$C17)*('Picked Students (raw)'!$C$2:$C$824&lt;&gt;"")*(('Picked Students (raw)'!$C$2:$C$824-$E17)&lt;300)),SUMPRODUCT(('Picked Students (raw)'!$B$2:$B$824=$C17)*('Picked Students (raw)'!$D$2:$D$824=$D17)*('Picked Students (raw)'!$C$2:$C$824&lt;&gt;"")*(('Picked Students (raw)'!$C$2:$C$824-$E17)&lt;300))))))</f>
        <v/>
      </c>
      <c r="AB17" s="5">
        <f>IF($A17="","",IF(AA17="-","-",IF($G17=0,0,AA17/$G17)))</f>
        <v/>
      </c>
      <c r="AC17" s="3">
        <f>IF($A17="","",IF($E17="","",IF(TODAY()&lt;$E17+330,"-",IF($D17="",SUMPRODUCT(('Picked Students (raw)'!$B$2:$B$824=$C17)*('Picked Students (raw)'!$C$2:$C$824&lt;&gt;"")*(('Picked Students (raw)'!$C$2:$C$824-$E17)&lt;330)),SUMPRODUCT(('Picked Students (raw)'!$B$2:$B$824=$C17)*('Picked Students (raw)'!$D$2:$D$824=$D17)*('Picked Students (raw)'!$C$2:$C$824&lt;&gt;"")*(('Picked Students (raw)'!$C$2:$C$824-$E17)&lt;330))))))</f>
        <v/>
      </c>
      <c r="AD17" s="5">
        <f>IF($A17="","",IF(AC17="-","-",IF($G17=0,0,AC17/$G17)))</f>
        <v/>
      </c>
      <c r="AE17" s="3">
        <f>IF($A17="","",IF($E17="","",IF(TODAY()&lt;$E17+360,"-",IF($D17="",SUMPRODUCT(('Picked Students (raw)'!$B$2:$B$824=$C17)*('Picked Students (raw)'!$C$2:$C$824&lt;&gt;"")*(('Picked Students (raw)'!$C$2:$C$824-$E17)&lt;360)),SUMPRODUCT(('Picked Students (raw)'!$B$2:$B$824=$C17)*('Picked Students (raw)'!$D$2:$D$824=$D17)*('Picked Students (raw)'!$C$2:$C$824&lt;&gt;"")*(('Picked Students (raw)'!$C$2:$C$824-$E17)&lt;360))))))</f>
        <v/>
      </c>
      <c r="AF17" s="5">
        <f>IF($A17="","",IF(AE17="-","-",IF($G17=0,0,AE17/$G17)))</f>
        <v/>
      </c>
      <c r="AG17" s="3">
        <f>IF($A17="","",IF($E17="","",IF(TODAY()&lt;$E17+390,"-",IF($D17="",SUMPRODUCT(('Picked Students (raw)'!$B$2:$B$824=$C17)*('Picked Students (raw)'!$C$2:$C$824&lt;&gt;"")*(('Picked Students (raw)'!$C$2:$C$824-$E17)&lt;390)),SUMPRODUCT(('Picked Students (raw)'!$B$2:$B$824=$C17)*('Picked Students (raw)'!$D$2:$D$824=$D17)*('Picked Students (raw)'!$C$2:$C$824&lt;&gt;"")*(('Picked Students (raw)'!$C$2:$C$824-$E17)&lt;390))))))</f>
        <v/>
      </c>
      <c r="AH17" s="5">
        <f>IF($A17="","",IF(AG17="-","-",IF($G17=0,0,AG17/$G17)))</f>
        <v/>
      </c>
      <c r="AI17" s="3">
        <f>IF($A17="","",IF($E17="","",IF(TODAY()&lt;$E17+420,"-",IF($D17="",SUMPRODUCT(('Picked Students (raw)'!$B$2:$B$824=$C17)*('Picked Students (raw)'!$C$2:$C$824&lt;&gt;"")*(('Picked Students (raw)'!$C$2:$C$824-$E17)&lt;420)),SUMPRODUCT(('Picked Students (raw)'!$B$2:$B$824=$C17)*('Picked Students (raw)'!$D$2:$D$824=$D17)*('Picked Students (raw)'!$C$2:$C$824&lt;&gt;"")*(('Picked Students (raw)'!$C$2:$C$824-$E17)&lt;420))))))</f>
        <v/>
      </c>
      <c r="AJ17" s="5">
        <f>IF($A17="","",IF(AI17="-","-",IF($G17=0,0,AI17/$G17)))</f>
        <v/>
      </c>
      <c r="AK17" s="3">
        <f>IF($A17="","",IF($E17="","",IF(TODAY()&lt;$E17+450,"-",IF($D17="",SUMPRODUCT(('Picked Students (raw)'!$B$2:$B$824=$C17)*('Picked Students (raw)'!$C$2:$C$824&lt;&gt;"")*(('Picked Students (raw)'!$C$2:$C$824-$E17)&lt;450)),SUMPRODUCT(('Picked Students (raw)'!$B$2:$B$824=$C17)*('Picked Students (raw)'!$D$2:$D$824=$D17)*('Picked Students (raw)'!$C$2:$C$824&lt;&gt;"")*(('Picked Students (raw)'!$C$2:$C$824-$E17)&lt;450))))))</f>
        <v/>
      </c>
      <c r="AL17" s="5">
        <f>IF($A17="","",IF(AK17="-","-",IF($G17=0,0,AK17/$G17)))</f>
        <v/>
      </c>
      <c r="AM17" s="3">
        <f>IF($A17="","",IF($E17="","",IF(TODAY()&lt;$E17+480,"-",IF($D17="",SUMPRODUCT(('Picked Students (raw)'!$B$2:$B$824=$C17)*('Picked Students (raw)'!$C$2:$C$824&lt;&gt;"")*(('Picked Students (raw)'!$C$2:$C$824-$E17)&lt;480)),SUMPRODUCT(('Picked Students (raw)'!$B$2:$B$824=$C17)*('Picked Students (raw)'!$D$2:$D$824=$D17)*('Picked Students (raw)'!$C$2:$C$824&lt;&gt;"")*(('Picked Students (raw)'!$C$2:$C$824-$E17)&lt;480))))))</f>
        <v/>
      </c>
      <c r="AN17" s="5">
        <f>IF($A17="","",IF(AM17="-","-",IF($G17=0,0,AM17/$G17)))</f>
        <v/>
      </c>
      <c r="AO17" s="3">
        <f>IF($A17="","",IF($E17="","",IF(TODAY()&lt;$E17+510,"-",IF($D17="",SUMPRODUCT(('Picked Students (raw)'!$B$2:$B$824=$C17)*('Picked Students (raw)'!$C$2:$C$824&lt;&gt;"")*(('Picked Students (raw)'!$C$2:$C$824-$E17)&lt;510)),SUMPRODUCT(('Picked Students (raw)'!$B$2:$B$824=$C17)*('Picked Students (raw)'!$D$2:$D$824=$D17)*('Picked Students (raw)'!$C$2:$C$824&lt;&gt;"")*(('Picked Students (raw)'!$C$2:$C$824-$E17)&lt;510))))))</f>
        <v/>
      </c>
      <c r="AP17" s="5">
        <f>IF($A17="","",IF(AO17="-","-",IF($G17=0,0,AO17/$G17)))</f>
        <v/>
      </c>
      <c r="AQ17" s="3">
        <f>IF($A17="","",IF($E17="","",IF(TODAY()&lt;$E17+540,"-",IF($D17="",SUMPRODUCT(('Picked Students (raw)'!$B$2:$B$824=$C17)*('Picked Students (raw)'!$C$2:$C$824&lt;&gt;"")*(('Picked Students (raw)'!$C$2:$C$824-$E17)&lt;540)),SUMPRODUCT(('Picked Students (raw)'!$B$2:$B$824=$C17)*('Picked Students (raw)'!$D$2:$D$824=$D17)*('Picked Students (raw)'!$C$2:$C$824&lt;&gt;"")*(('Picked Students (raw)'!$C$2:$C$824-$E17)&lt;540))))))</f>
        <v/>
      </c>
      <c r="AR17" s="5">
        <f>IF($A17="","",IF(AQ17="-","-",IF($G17=0,0,AQ17/$G17)))</f>
        <v/>
      </c>
      <c r="AS17" s="3">
        <f>IF($A17="","",IF(AQ17="-","-",$H17-AQ17))</f>
        <v/>
      </c>
    </row>
    <row r="18">
      <c r="A18" s="3" t="inlineStr">
        <is>
          <t>Professional Certificate Course In Data Science - June 2024</t>
        </is>
      </c>
      <c r="B18" s="3">
        <f>IF($A18="","",IFERROR(IF(INDEX('Batch Enrollment (Metabase)'!$C$2:$C$47,MATCH($A18,'Batch Enrollment (Metabase)'!$A$2:$A$47,0))="GEM","A",IF(INDEX('Batch Enrollment (Metabase)'!$C$2:$C$47,MATCH($A18,'Batch Enrollment (Metabase)'!$A$2:$A$47,0))="Non-GEM","B","")),""))</f>
        <v/>
      </c>
      <c r="C18" s="3">
        <f>IF($A18="","",IFERROR(INDEX('Batch Enrollment (Metabase)'!$B$2:$B$47,MATCH($A18,'Batch Enrollment (Metabase)'!$A$2:$A$47,0)),""))</f>
        <v/>
      </c>
      <c r="D18" s="3">
        <f>IF($A18="","",IFERROR(INDEX('Batch Enrollment (Metabase)'!$C$2:$C$47,MATCH($A18,'Batch Enrollment (Metabase)'!$A$2:$A$47,0)),""))</f>
        <v/>
      </c>
      <c r="E18" s="4">
        <f>IF($A18="","",IFERROR(INDEX('Batch Enrollment (Metabase)'!$D$2:$D$47,MATCH($A18,'Batch Enrollment (Metabase)'!$A$2:$A$47,0)),""))</f>
        <v/>
      </c>
      <c r="F18" s="3">
        <f>IF($A18="","",IFERROR(INDEX('Batch Enrollment (Metabase)'!$E$2:$E$47,MATCH($A18,'Batch Enrollment (Metabase)'!$A$2:$A$47,0)),""))</f>
        <v/>
      </c>
      <c r="G18" s="3">
        <f>IF($A18="","",IFERROR(INDEX('Batch Enrollment (Metabase)'!$F$2:$F$47,MATCH($A18,'Batch Enrollment (Metabase)'!$A$2:$A$47,0)),""))</f>
        <v/>
      </c>
      <c r="H18" s="3">
        <f>IF($A18="","",IF($D18="",COUNTIF('Picked Students (raw)'!$B$2:$B$824,$C18),COUNTIFS('Picked Students (raw)'!$B$2:$B$824,$C18,'Picked Students (raw)'!$D$2:$D$824,$D18)))</f>
        <v/>
      </c>
      <c r="I18" s="3">
        <f>IF($A18="","",IF($E18="","",IF(TODAY()&lt;$E18+30,"-",IF($D18="",SUMPRODUCT(('Picked Students (raw)'!$B$2:$B$824=$C18)*('Picked Students (raw)'!$C$2:$C$824&lt;&gt;"")*(('Picked Students (raw)'!$C$2:$C$824-$E18)&lt;30)),SUMPRODUCT(('Picked Students (raw)'!$B$2:$B$824=$C18)*('Picked Students (raw)'!$D$2:$D$824=$D18)*('Picked Students (raw)'!$C$2:$C$824&lt;&gt;"")*(('Picked Students (raw)'!$C$2:$C$824-$E18)&lt;30))))))</f>
        <v/>
      </c>
      <c r="J18" s="5">
        <f>IF($A18="","",IF(I18="-","-",IF($G18=0,0,I18/$G18)))</f>
        <v/>
      </c>
      <c r="K18" s="3">
        <f>IF($A18="","",IF($E18="","",IF(TODAY()&lt;$E18+60,"-",IF($D18="",SUMPRODUCT(('Picked Students (raw)'!$B$2:$B$824=$C18)*('Picked Students (raw)'!$C$2:$C$824&lt;&gt;"")*(('Picked Students (raw)'!$C$2:$C$824-$E18)&lt;60)),SUMPRODUCT(('Picked Students (raw)'!$B$2:$B$824=$C18)*('Picked Students (raw)'!$D$2:$D$824=$D18)*('Picked Students (raw)'!$C$2:$C$824&lt;&gt;"")*(('Picked Students (raw)'!$C$2:$C$824-$E18)&lt;60))))))</f>
        <v/>
      </c>
      <c r="L18" s="5">
        <f>IF($A18="","",IF(K18="-","-",IF($G18=0,0,K18/$G18)))</f>
        <v/>
      </c>
      <c r="M18" s="3">
        <f>IF($A18="","",IF($E18="","",IF(TODAY()&lt;$E18+90,"-",IF($D18="",SUMPRODUCT(('Picked Students (raw)'!$B$2:$B$824=$C18)*('Picked Students (raw)'!$C$2:$C$824&lt;&gt;"")*(('Picked Students (raw)'!$C$2:$C$824-$E18)&lt;90)),SUMPRODUCT(('Picked Students (raw)'!$B$2:$B$824=$C18)*('Picked Students (raw)'!$D$2:$D$824=$D18)*('Picked Students (raw)'!$C$2:$C$824&lt;&gt;"")*(('Picked Students (raw)'!$C$2:$C$824-$E18)&lt;90))))))</f>
        <v/>
      </c>
      <c r="N18" s="5">
        <f>IF($A18="","",IF(M18="-","-",IF($G18=0,0,M18/$G18)))</f>
        <v/>
      </c>
      <c r="O18" s="3">
        <f>IF($A18="","",IF($E18="","",IF(TODAY()&lt;$E18+120,"-",IF($D18="",SUMPRODUCT(('Picked Students (raw)'!$B$2:$B$824=$C18)*('Picked Students (raw)'!$C$2:$C$824&lt;&gt;"")*(('Picked Students (raw)'!$C$2:$C$824-$E18)&lt;120)),SUMPRODUCT(('Picked Students (raw)'!$B$2:$B$824=$C18)*('Picked Students (raw)'!$D$2:$D$824=$D18)*('Picked Students (raw)'!$C$2:$C$824&lt;&gt;"")*(('Picked Students (raw)'!$C$2:$C$824-$E18)&lt;120))))))</f>
        <v/>
      </c>
      <c r="P18" s="5">
        <f>IF($A18="","",IF(O18="-","-",IF($G18=0,0,O18/$G18)))</f>
        <v/>
      </c>
      <c r="Q18" s="3">
        <f>IF($A18="","",IF($E18="","",IF(TODAY()&lt;$E18+150,"-",IF($D18="",SUMPRODUCT(('Picked Students (raw)'!$B$2:$B$824=$C18)*('Picked Students (raw)'!$C$2:$C$824&lt;&gt;"")*(('Picked Students (raw)'!$C$2:$C$824-$E18)&lt;150)),SUMPRODUCT(('Picked Students (raw)'!$B$2:$B$824=$C18)*('Picked Students (raw)'!$D$2:$D$824=$D18)*('Picked Students (raw)'!$C$2:$C$824&lt;&gt;"")*(('Picked Students (raw)'!$C$2:$C$824-$E18)&lt;150))))))</f>
        <v/>
      </c>
      <c r="R18" s="5">
        <f>IF($A18="","",IF(Q18="-","-",IF($G18=0,0,Q18/$G18)))</f>
        <v/>
      </c>
      <c r="S18" s="3">
        <f>IF($A18="","",IF($E18="","",IF(TODAY()&lt;$E18+180,"-",IF($D18="",SUMPRODUCT(('Picked Students (raw)'!$B$2:$B$824=$C18)*('Picked Students (raw)'!$C$2:$C$824&lt;&gt;"")*(('Picked Students (raw)'!$C$2:$C$824-$E18)&lt;180)),SUMPRODUCT(('Picked Students (raw)'!$B$2:$B$824=$C18)*('Picked Students (raw)'!$D$2:$D$824=$D18)*('Picked Students (raw)'!$C$2:$C$824&lt;&gt;"")*(('Picked Students (raw)'!$C$2:$C$824-$E18)&lt;180))))))</f>
        <v/>
      </c>
      <c r="T18" s="5">
        <f>IF($A18="","",IF(S18="-","-",IF($G18=0,0,S18/$G18)))</f>
        <v/>
      </c>
      <c r="U18" s="3">
        <f>IF($A18="","",IF($E18="","",IF(TODAY()&lt;$E18+210,"-",IF($D18="",SUMPRODUCT(('Picked Students (raw)'!$B$2:$B$824=$C18)*('Picked Students (raw)'!$C$2:$C$824&lt;&gt;"")*(('Picked Students (raw)'!$C$2:$C$824-$E18)&lt;210)),SUMPRODUCT(('Picked Students (raw)'!$B$2:$B$824=$C18)*('Picked Students (raw)'!$D$2:$D$824=$D18)*('Picked Students (raw)'!$C$2:$C$824&lt;&gt;"")*(('Picked Students (raw)'!$C$2:$C$824-$E18)&lt;210))))))</f>
        <v/>
      </c>
      <c r="V18" s="5">
        <f>IF($A18="","",IF(U18="-","-",IF($G18=0,0,U18/$G18)))</f>
        <v/>
      </c>
      <c r="W18" s="3">
        <f>IF($A18="","",IF($E18="","",IF(TODAY()&lt;$E18+240,"-",IF($D18="",SUMPRODUCT(('Picked Students (raw)'!$B$2:$B$824=$C18)*('Picked Students (raw)'!$C$2:$C$824&lt;&gt;"")*(('Picked Students (raw)'!$C$2:$C$824-$E18)&lt;240)),SUMPRODUCT(('Picked Students (raw)'!$B$2:$B$824=$C18)*('Picked Students (raw)'!$D$2:$D$824=$D18)*('Picked Students (raw)'!$C$2:$C$824&lt;&gt;"")*(('Picked Students (raw)'!$C$2:$C$824-$E18)&lt;240))))))</f>
        <v/>
      </c>
      <c r="X18" s="5">
        <f>IF($A18="","",IF(W18="-","-",IF($G18=0,0,W18/$G18)))</f>
        <v/>
      </c>
      <c r="Y18" s="3">
        <f>IF($A18="","",IF($E18="","",IF(TODAY()&lt;$E18+270,"-",IF($D18="",SUMPRODUCT(('Picked Students (raw)'!$B$2:$B$824=$C18)*('Picked Students (raw)'!$C$2:$C$824&lt;&gt;"")*(('Picked Students (raw)'!$C$2:$C$824-$E18)&lt;270)),SUMPRODUCT(('Picked Students (raw)'!$B$2:$B$824=$C18)*('Picked Students (raw)'!$D$2:$D$824=$D18)*('Picked Students (raw)'!$C$2:$C$824&lt;&gt;"")*(('Picked Students (raw)'!$C$2:$C$824-$E18)&lt;270))))))</f>
        <v/>
      </c>
      <c r="Z18" s="5">
        <f>IF($A18="","",IF(Y18="-","-",IF($G18=0,0,Y18/$G18)))</f>
        <v/>
      </c>
      <c r="AA18" s="3">
        <f>IF($A18="","",IF($E18="","",IF(TODAY()&lt;$E18+300,"-",IF($D18="",SUMPRODUCT(('Picked Students (raw)'!$B$2:$B$824=$C18)*('Picked Students (raw)'!$C$2:$C$824&lt;&gt;"")*(('Picked Students (raw)'!$C$2:$C$824-$E18)&lt;300)),SUMPRODUCT(('Picked Students (raw)'!$B$2:$B$824=$C18)*('Picked Students (raw)'!$D$2:$D$824=$D18)*('Picked Students (raw)'!$C$2:$C$824&lt;&gt;"")*(('Picked Students (raw)'!$C$2:$C$824-$E18)&lt;300))))))</f>
        <v/>
      </c>
      <c r="AB18" s="5">
        <f>IF($A18="","",IF(AA18="-","-",IF($G18=0,0,AA18/$G18)))</f>
        <v/>
      </c>
      <c r="AC18" s="3">
        <f>IF($A18="","",IF($E18="","",IF(TODAY()&lt;$E18+330,"-",IF($D18="",SUMPRODUCT(('Picked Students (raw)'!$B$2:$B$824=$C18)*('Picked Students (raw)'!$C$2:$C$824&lt;&gt;"")*(('Picked Students (raw)'!$C$2:$C$824-$E18)&lt;330)),SUMPRODUCT(('Picked Students (raw)'!$B$2:$B$824=$C18)*('Picked Students (raw)'!$D$2:$D$824=$D18)*('Picked Students (raw)'!$C$2:$C$824&lt;&gt;"")*(('Picked Students (raw)'!$C$2:$C$824-$E18)&lt;330))))))</f>
        <v/>
      </c>
      <c r="AD18" s="5">
        <f>IF($A18="","",IF(AC18="-","-",IF($G18=0,0,AC18/$G18)))</f>
        <v/>
      </c>
      <c r="AE18" s="3">
        <f>IF($A18="","",IF($E18="","",IF(TODAY()&lt;$E18+360,"-",IF($D18="",SUMPRODUCT(('Picked Students (raw)'!$B$2:$B$824=$C18)*('Picked Students (raw)'!$C$2:$C$824&lt;&gt;"")*(('Picked Students (raw)'!$C$2:$C$824-$E18)&lt;360)),SUMPRODUCT(('Picked Students (raw)'!$B$2:$B$824=$C18)*('Picked Students (raw)'!$D$2:$D$824=$D18)*('Picked Students (raw)'!$C$2:$C$824&lt;&gt;"")*(('Picked Students (raw)'!$C$2:$C$824-$E18)&lt;360))))))</f>
        <v/>
      </c>
      <c r="AF18" s="5">
        <f>IF($A18="","",IF(AE18="-","-",IF($G18=0,0,AE18/$G18)))</f>
        <v/>
      </c>
      <c r="AG18" s="3">
        <f>IF($A18="","",IF($E18="","",IF(TODAY()&lt;$E18+390,"-",IF($D18="",SUMPRODUCT(('Picked Students (raw)'!$B$2:$B$824=$C18)*('Picked Students (raw)'!$C$2:$C$824&lt;&gt;"")*(('Picked Students (raw)'!$C$2:$C$824-$E18)&lt;390)),SUMPRODUCT(('Picked Students (raw)'!$B$2:$B$824=$C18)*('Picked Students (raw)'!$D$2:$D$824=$D18)*('Picked Students (raw)'!$C$2:$C$824&lt;&gt;"")*(('Picked Students (raw)'!$C$2:$C$824-$E18)&lt;390))))))</f>
        <v/>
      </c>
      <c r="AH18" s="5">
        <f>IF($A18="","",IF(AG18="-","-",IF($G18=0,0,AG18/$G18)))</f>
        <v/>
      </c>
      <c r="AI18" s="3">
        <f>IF($A18="","",IF($E18="","",IF(TODAY()&lt;$E18+420,"-",IF($D18="",SUMPRODUCT(('Picked Students (raw)'!$B$2:$B$824=$C18)*('Picked Students (raw)'!$C$2:$C$824&lt;&gt;"")*(('Picked Students (raw)'!$C$2:$C$824-$E18)&lt;420)),SUMPRODUCT(('Picked Students (raw)'!$B$2:$B$824=$C18)*('Picked Students (raw)'!$D$2:$D$824=$D18)*('Picked Students (raw)'!$C$2:$C$824&lt;&gt;"")*(('Picked Students (raw)'!$C$2:$C$824-$E18)&lt;420))))))</f>
        <v/>
      </c>
      <c r="AJ18" s="5">
        <f>IF($A18="","",IF(AI18="-","-",IF($G18=0,0,AI18/$G18)))</f>
        <v/>
      </c>
      <c r="AK18" s="3">
        <f>IF($A18="","",IF($E18="","",IF(TODAY()&lt;$E18+450,"-",IF($D18="",SUMPRODUCT(('Picked Students (raw)'!$B$2:$B$824=$C18)*('Picked Students (raw)'!$C$2:$C$824&lt;&gt;"")*(('Picked Students (raw)'!$C$2:$C$824-$E18)&lt;450)),SUMPRODUCT(('Picked Students (raw)'!$B$2:$B$824=$C18)*('Picked Students (raw)'!$D$2:$D$824=$D18)*('Picked Students (raw)'!$C$2:$C$824&lt;&gt;"")*(('Picked Students (raw)'!$C$2:$C$824-$E18)&lt;450))))))</f>
        <v/>
      </c>
      <c r="AL18" s="5">
        <f>IF($A18="","",IF(AK18="-","-",IF($G18=0,0,AK18/$G18)))</f>
        <v/>
      </c>
      <c r="AM18" s="3">
        <f>IF($A18="","",IF($E18="","",IF(TODAY()&lt;$E18+480,"-",IF($D18="",SUMPRODUCT(('Picked Students (raw)'!$B$2:$B$824=$C18)*('Picked Students (raw)'!$C$2:$C$824&lt;&gt;"")*(('Picked Students (raw)'!$C$2:$C$824-$E18)&lt;480)),SUMPRODUCT(('Picked Students (raw)'!$B$2:$B$824=$C18)*('Picked Students (raw)'!$D$2:$D$824=$D18)*('Picked Students (raw)'!$C$2:$C$824&lt;&gt;"")*(('Picked Students (raw)'!$C$2:$C$824-$E18)&lt;480))))))</f>
        <v/>
      </c>
      <c r="AN18" s="5">
        <f>IF($A18="","",IF(AM18="-","-",IF($G18=0,0,AM18/$G18)))</f>
        <v/>
      </c>
      <c r="AO18" s="3">
        <f>IF($A18="","",IF($E18="","",IF(TODAY()&lt;$E18+510,"-",IF($D18="",SUMPRODUCT(('Picked Students (raw)'!$B$2:$B$824=$C18)*('Picked Students (raw)'!$C$2:$C$824&lt;&gt;"")*(('Picked Students (raw)'!$C$2:$C$824-$E18)&lt;510)),SUMPRODUCT(('Picked Students (raw)'!$B$2:$B$824=$C18)*('Picked Students (raw)'!$D$2:$D$824=$D18)*('Picked Students (raw)'!$C$2:$C$824&lt;&gt;"")*(('Picked Students (raw)'!$C$2:$C$824-$E18)&lt;510))))))</f>
        <v/>
      </c>
      <c r="AP18" s="5">
        <f>IF($A18="","",IF(AO18="-","-",IF($G18=0,0,AO18/$G18)))</f>
        <v/>
      </c>
      <c r="AQ18" s="3">
        <f>IF($A18="","",IF($E18="","",IF(TODAY()&lt;$E18+540,"-",IF($D18="",SUMPRODUCT(('Picked Students (raw)'!$B$2:$B$824=$C18)*('Picked Students (raw)'!$C$2:$C$824&lt;&gt;"")*(('Picked Students (raw)'!$C$2:$C$824-$E18)&lt;540)),SUMPRODUCT(('Picked Students (raw)'!$B$2:$B$824=$C18)*('Picked Students (raw)'!$D$2:$D$824=$D18)*('Picked Students (raw)'!$C$2:$C$824&lt;&gt;"")*(('Picked Students (raw)'!$C$2:$C$824-$E18)&lt;540))))))</f>
        <v/>
      </c>
      <c r="AR18" s="5">
        <f>IF($A18="","",IF(AQ18="-","-",IF($G18=0,0,AQ18/$G18)))</f>
        <v/>
      </c>
      <c r="AS18" s="3">
        <f>IF($A18="","",IF(AQ18="-","-",$H18-AQ18))</f>
        <v/>
      </c>
    </row>
    <row r="19">
      <c r="A19" s="3" t="inlineStr">
        <is>
          <t>Professional Certificate Course In Data Science - July 2024</t>
        </is>
      </c>
      <c r="B19" s="3">
        <f>IF($A19="","",IFERROR(IF(INDEX('Batch Enrollment (Metabase)'!$C$2:$C$47,MATCH($A19,'Batch Enrollment (Metabase)'!$A$2:$A$47,0))="GEM","A",IF(INDEX('Batch Enrollment (Metabase)'!$C$2:$C$47,MATCH($A19,'Batch Enrollment (Metabase)'!$A$2:$A$47,0))="Non-GEM","B","")),""))</f>
        <v/>
      </c>
      <c r="C19" s="3">
        <f>IF($A19="","",IFERROR(INDEX('Batch Enrollment (Metabase)'!$B$2:$B$47,MATCH($A19,'Batch Enrollment (Metabase)'!$A$2:$A$47,0)),""))</f>
        <v/>
      </c>
      <c r="D19" s="3">
        <f>IF($A19="","",IFERROR(INDEX('Batch Enrollment (Metabase)'!$C$2:$C$47,MATCH($A19,'Batch Enrollment (Metabase)'!$A$2:$A$47,0)),""))</f>
        <v/>
      </c>
      <c r="E19" s="4">
        <f>IF($A19="","",IFERROR(INDEX('Batch Enrollment (Metabase)'!$D$2:$D$47,MATCH($A19,'Batch Enrollment (Metabase)'!$A$2:$A$47,0)),""))</f>
        <v/>
      </c>
      <c r="F19" s="3">
        <f>IF($A19="","",IFERROR(INDEX('Batch Enrollment (Metabase)'!$E$2:$E$47,MATCH($A19,'Batch Enrollment (Metabase)'!$A$2:$A$47,0)),""))</f>
        <v/>
      </c>
      <c r="G19" s="3">
        <f>IF($A19="","",IFERROR(INDEX('Batch Enrollment (Metabase)'!$F$2:$F$47,MATCH($A19,'Batch Enrollment (Metabase)'!$A$2:$A$47,0)),""))</f>
        <v/>
      </c>
      <c r="H19" s="3">
        <f>IF($A19="","",IF($D19="",COUNTIF('Picked Students (raw)'!$B$2:$B$824,$C19),COUNTIFS('Picked Students (raw)'!$B$2:$B$824,$C19,'Picked Students (raw)'!$D$2:$D$824,$D19)))</f>
        <v/>
      </c>
      <c r="I19" s="3">
        <f>IF($A19="","",IF($E19="","",IF(TODAY()&lt;$E19+30,"-",IF($D19="",SUMPRODUCT(('Picked Students (raw)'!$B$2:$B$824=$C19)*('Picked Students (raw)'!$C$2:$C$824&lt;&gt;"")*(('Picked Students (raw)'!$C$2:$C$824-$E19)&lt;30)),SUMPRODUCT(('Picked Students (raw)'!$B$2:$B$824=$C19)*('Picked Students (raw)'!$D$2:$D$824=$D19)*('Picked Students (raw)'!$C$2:$C$824&lt;&gt;"")*(('Picked Students (raw)'!$C$2:$C$824-$E19)&lt;30))))))</f>
        <v/>
      </c>
      <c r="J19" s="5">
        <f>IF($A19="","",IF(I19="-","-",IF($G19=0,0,I19/$G19)))</f>
        <v/>
      </c>
      <c r="K19" s="3">
        <f>IF($A19="","",IF($E19="","",IF(TODAY()&lt;$E19+60,"-",IF($D19="",SUMPRODUCT(('Picked Students (raw)'!$B$2:$B$824=$C19)*('Picked Students (raw)'!$C$2:$C$824&lt;&gt;"")*(('Picked Students (raw)'!$C$2:$C$824-$E19)&lt;60)),SUMPRODUCT(('Picked Students (raw)'!$B$2:$B$824=$C19)*('Picked Students (raw)'!$D$2:$D$824=$D19)*('Picked Students (raw)'!$C$2:$C$824&lt;&gt;"")*(('Picked Students (raw)'!$C$2:$C$824-$E19)&lt;60))))))</f>
        <v/>
      </c>
      <c r="L19" s="5">
        <f>IF($A19="","",IF(K19="-","-",IF($G19=0,0,K19/$G19)))</f>
        <v/>
      </c>
      <c r="M19" s="3">
        <f>IF($A19="","",IF($E19="","",IF(TODAY()&lt;$E19+90,"-",IF($D19="",SUMPRODUCT(('Picked Students (raw)'!$B$2:$B$824=$C19)*('Picked Students (raw)'!$C$2:$C$824&lt;&gt;"")*(('Picked Students (raw)'!$C$2:$C$824-$E19)&lt;90)),SUMPRODUCT(('Picked Students (raw)'!$B$2:$B$824=$C19)*('Picked Students (raw)'!$D$2:$D$824=$D19)*('Picked Students (raw)'!$C$2:$C$824&lt;&gt;"")*(('Picked Students (raw)'!$C$2:$C$824-$E19)&lt;90))))))</f>
        <v/>
      </c>
      <c r="N19" s="5">
        <f>IF($A19="","",IF(M19="-","-",IF($G19=0,0,M19/$G19)))</f>
        <v/>
      </c>
      <c r="O19" s="3">
        <f>IF($A19="","",IF($E19="","",IF(TODAY()&lt;$E19+120,"-",IF($D19="",SUMPRODUCT(('Picked Students (raw)'!$B$2:$B$824=$C19)*('Picked Students (raw)'!$C$2:$C$824&lt;&gt;"")*(('Picked Students (raw)'!$C$2:$C$824-$E19)&lt;120)),SUMPRODUCT(('Picked Students (raw)'!$B$2:$B$824=$C19)*('Picked Students (raw)'!$D$2:$D$824=$D19)*('Picked Students (raw)'!$C$2:$C$824&lt;&gt;"")*(('Picked Students (raw)'!$C$2:$C$824-$E19)&lt;120))))))</f>
        <v/>
      </c>
      <c r="P19" s="5">
        <f>IF($A19="","",IF(O19="-","-",IF($G19=0,0,O19/$G19)))</f>
        <v/>
      </c>
      <c r="Q19" s="3">
        <f>IF($A19="","",IF($E19="","",IF(TODAY()&lt;$E19+150,"-",IF($D19="",SUMPRODUCT(('Picked Students (raw)'!$B$2:$B$824=$C19)*('Picked Students (raw)'!$C$2:$C$824&lt;&gt;"")*(('Picked Students (raw)'!$C$2:$C$824-$E19)&lt;150)),SUMPRODUCT(('Picked Students (raw)'!$B$2:$B$824=$C19)*('Picked Students (raw)'!$D$2:$D$824=$D19)*('Picked Students (raw)'!$C$2:$C$824&lt;&gt;"")*(('Picked Students (raw)'!$C$2:$C$824-$E19)&lt;150))))))</f>
        <v/>
      </c>
      <c r="R19" s="5">
        <f>IF($A19="","",IF(Q19="-","-",IF($G19=0,0,Q19/$G19)))</f>
        <v/>
      </c>
      <c r="S19" s="3">
        <f>IF($A19="","",IF($E19="","",IF(TODAY()&lt;$E19+180,"-",IF($D19="",SUMPRODUCT(('Picked Students (raw)'!$B$2:$B$824=$C19)*('Picked Students (raw)'!$C$2:$C$824&lt;&gt;"")*(('Picked Students (raw)'!$C$2:$C$824-$E19)&lt;180)),SUMPRODUCT(('Picked Students (raw)'!$B$2:$B$824=$C19)*('Picked Students (raw)'!$D$2:$D$824=$D19)*('Picked Students (raw)'!$C$2:$C$824&lt;&gt;"")*(('Picked Students (raw)'!$C$2:$C$824-$E19)&lt;180))))))</f>
        <v/>
      </c>
      <c r="T19" s="5">
        <f>IF($A19="","",IF(S19="-","-",IF($G19=0,0,S19/$G19)))</f>
        <v/>
      </c>
      <c r="U19" s="3">
        <f>IF($A19="","",IF($E19="","",IF(TODAY()&lt;$E19+210,"-",IF($D19="",SUMPRODUCT(('Picked Students (raw)'!$B$2:$B$824=$C19)*('Picked Students (raw)'!$C$2:$C$824&lt;&gt;"")*(('Picked Students (raw)'!$C$2:$C$824-$E19)&lt;210)),SUMPRODUCT(('Picked Students (raw)'!$B$2:$B$824=$C19)*('Picked Students (raw)'!$D$2:$D$824=$D19)*('Picked Students (raw)'!$C$2:$C$824&lt;&gt;"")*(('Picked Students (raw)'!$C$2:$C$824-$E19)&lt;210))))))</f>
        <v/>
      </c>
      <c r="V19" s="5">
        <f>IF($A19="","",IF(U19="-","-",IF($G19=0,0,U19/$G19)))</f>
        <v/>
      </c>
      <c r="W19" s="3">
        <f>IF($A19="","",IF($E19="","",IF(TODAY()&lt;$E19+240,"-",IF($D19="",SUMPRODUCT(('Picked Students (raw)'!$B$2:$B$824=$C19)*('Picked Students (raw)'!$C$2:$C$824&lt;&gt;"")*(('Picked Students (raw)'!$C$2:$C$824-$E19)&lt;240)),SUMPRODUCT(('Picked Students (raw)'!$B$2:$B$824=$C19)*('Picked Students (raw)'!$D$2:$D$824=$D19)*('Picked Students (raw)'!$C$2:$C$824&lt;&gt;"")*(('Picked Students (raw)'!$C$2:$C$824-$E19)&lt;240))))))</f>
        <v/>
      </c>
      <c r="X19" s="5">
        <f>IF($A19="","",IF(W19="-","-",IF($G19=0,0,W19/$G19)))</f>
        <v/>
      </c>
      <c r="Y19" s="3">
        <f>IF($A19="","",IF($E19="","",IF(TODAY()&lt;$E19+270,"-",IF($D19="",SUMPRODUCT(('Picked Students (raw)'!$B$2:$B$824=$C19)*('Picked Students (raw)'!$C$2:$C$824&lt;&gt;"")*(('Picked Students (raw)'!$C$2:$C$824-$E19)&lt;270)),SUMPRODUCT(('Picked Students (raw)'!$B$2:$B$824=$C19)*('Picked Students (raw)'!$D$2:$D$824=$D19)*('Picked Students (raw)'!$C$2:$C$824&lt;&gt;"")*(('Picked Students (raw)'!$C$2:$C$824-$E19)&lt;270))))))</f>
        <v/>
      </c>
      <c r="Z19" s="5">
        <f>IF($A19="","",IF(Y19="-","-",IF($G19=0,0,Y19/$G19)))</f>
        <v/>
      </c>
      <c r="AA19" s="3">
        <f>IF($A19="","",IF($E19="","",IF(TODAY()&lt;$E19+300,"-",IF($D19="",SUMPRODUCT(('Picked Students (raw)'!$B$2:$B$824=$C19)*('Picked Students (raw)'!$C$2:$C$824&lt;&gt;"")*(('Picked Students (raw)'!$C$2:$C$824-$E19)&lt;300)),SUMPRODUCT(('Picked Students (raw)'!$B$2:$B$824=$C19)*('Picked Students (raw)'!$D$2:$D$824=$D19)*('Picked Students (raw)'!$C$2:$C$824&lt;&gt;"")*(('Picked Students (raw)'!$C$2:$C$824-$E19)&lt;300))))))</f>
        <v/>
      </c>
      <c r="AB19" s="5">
        <f>IF($A19="","",IF(AA19="-","-",IF($G19=0,0,AA19/$G19)))</f>
        <v/>
      </c>
      <c r="AC19" s="3">
        <f>IF($A19="","",IF($E19="","",IF(TODAY()&lt;$E19+330,"-",IF($D19="",SUMPRODUCT(('Picked Students (raw)'!$B$2:$B$824=$C19)*('Picked Students (raw)'!$C$2:$C$824&lt;&gt;"")*(('Picked Students (raw)'!$C$2:$C$824-$E19)&lt;330)),SUMPRODUCT(('Picked Students (raw)'!$B$2:$B$824=$C19)*('Picked Students (raw)'!$D$2:$D$824=$D19)*('Picked Students (raw)'!$C$2:$C$824&lt;&gt;"")*(('Picked Students (raw)'!$C$2:$C$824-$E19)&lt;330))))))</f>
        <v/>
      </c>
      <c r="AD19" s="5">
        <f>IF($A19="","",IF(AC19="-","-",IF($G19=0,0,AC19/$G19)))</f>
        <v/>
      </c>
      <c r="AE19" s="3">
        <f>IF($A19="","",IF($E19="","",IF(TODAY()&lt;$E19+360,"-",IF($D19="",SUMPRODUCT(('Picked Students (raw)'!$B$2:$B$824=$C19)*('Picked Students (raw)'!$C$2:$C$824&lt;&gt;"")*(('Picked Students (raw)'!$C$2:$C$824-$E19)&lt;360)),SUMPRODUCT(('Picked Students (raw)'!$B$2:$B$824=$C19)*('Picked Students (raw)'!$D$2:$D$824=$D19)*('Picked Students (raw)'!$C$2:$C$824&lt;&gt;"")*(('Picked Students (raw)'!$C$2:$C$824-$E19)&lt;360))))))</f>
        <v/>
      </c>
      <c r="AF19" s="5">
        <f>IF($A19="","",IF(AE19="-","-",IF($G19=0,0,AE19/$G19)))</f>
        <v/>
      </c>
      <c r="AG19" s="3">
        <f>IF($A19="","",IF($E19="","",IF(TODAY()&lt;$E19+390,"-",IF($D19="",SUMPRODUCT(('Picked Students (raw)'!$B$2:$B$824=$C19)*('Picked Students (raw)'!$C$2:$C$824&lt;&gt;"")*(('Picked Students (raw)'!$C$2:$C$824-$E19)&lt;390)),SUMPRODUCT(('Picked Students (raw)'!$B$2:$B$824=$C19)*('Picked Students (raw)'!$D$2:$D$824=$D19)*('Picked Students (raw)'!$C$2:$C$824&lt;&gt;"")*(('Picked Students (raw)'!$C$2:$C$824-$E19)&lt;390))))))</f>
        <v/>
      </c>
      <c r="AH19" s="5">
        <f>IF($A19="","",IF(AG19="-","-",IF($G19=0,0,AG19/$G19)))</f>
        <v/>
      </c>
      <c r="AI19" s="3">
        <f>IF($A19="","",IF($E19="","",IF(TODAY()&lt;$E19+420,"-",IF($D19="",SUMPRODUCT(('Picked Students (raw)'!$B$2:$B$824=$C19)*('Picked Students (raw)'!$C$2:$C$824&lt;&gt;"")*(('Picked Students (raw)'!$C$2:$C$824-$E19)&lt;420)),SUMPRODUCT(('Picked Students (raw)'!$B$2:$B$824=$C19)*('Picked Students (raw)'!$D$2:$D$824=$D19)*('Picked Students (raw)'!$C$2:$C$824&lt;&gt;"")*(('Picked Students (raw)'!$C$2:$C$824-$E19)&lt;420))))))</f>
        <v/>
      </c>
      <c r="AJ19" s="5">
        <f>IF($A19="","",IF(AI19="-","-",IF($G19=0,0,AI19/$G19)))</f>
        <v/>
      </c>
      <c r="AK19" s="3">
        <f>IF($A19="","",IF($E19="","",IF(TODAY()&lt;$E19+450,"-",IF($D19="",SUMPRODUCT(('Picked Students (raw)'!$B$2:$B$824=$C19)*('Picked Students (raw)'!$C$2:$C$824&lt;&gt;"")*(('Picked Students (raw)'!$C$2:$C$824-$E19)&lt;450)),SUMPRODUCT(('Picked Students (raw)'!$B$2:$B$824=$C19)*('Picked Students (raw)'!$D$2:$D$824=$D19)*('Picked Students (raw)'!$C$2:$C$824&lt;&gt;"")*(('Picked Students (raw)'!$C$2:$C$824-$E19)&lt;450))))))</f>
        <v/>
      </c>
      <c r="AL19" s="5">
        <f>IF($A19="","",IF(AK19="-","-",IF($G19=0,0,AK19/$G19)))</f>
        <v/>
      </c>
      <c r="AM19" s="3">
        <f>IF($A19="","",IF($E19="","",IF(TODAY()&lt;$E19+480,"-",IF($D19="",SUMPRODUCT(('Picked Students (raw)'!$B$2:$B$824=$C19)*('Picked Students (raw)'!$C$2:$C$824&lt;&gt;"")*(('Picked Students (raw)'!$C$2:$C$824-$E19)&lt;480)),SUMPRODUCT(('Picked Students (raw)'!$B$2:$B$824=$C19)*('Picked Students (raw)'!$D$2:$D$824=$D19)*('Picked Students (raw)'!$C$2:$C$824&lt;&gt;"")*(('Picked Students (raw)'!$C$2:$C$824-$E19)&lt;480))))))</f>
        <v/>
      </c>
      <c r="AN19" s="5">
        <f>IF($A19="","",IF(AM19="-","-",IF($G19=0,0,AM19/$G19)))</f>
        <v/>
      </c>
      <c r="AO19" s="3">
        <f>IF($A19="","",IF($E19="","",IF(TODAY()&lt;$E19+510,"-",IF($D19="",SUMPRODUCT(('Picked Students (raw)'!$B$2:$B$824=$C19)*('Picked Students (raw)'!$C$2:$C$824&lt;&gt;"")*(('Picked Students (raw)'!$C$2:$C$824-$E19)&lt;510)),SUMPRODUCT(('Picked Students (raw)'!$B$2:$B$824=$C19)*('Picked Students (raw)'!$D$2:$D$824=$D19)*('Picked Students (raw)'!$C$2:$C$824&lt;&gt;"")*(('Picked Students (raw)'!$C$2:$C$824-$E19)&lt;510))))))</f>
        <v/>
      </c>
      <c r="AP19" s="5">
        <f>IF($A19="","",IF(AO19="-","-",IF($G19=0,0,AO19/$G19)))</f>
        <v/>
      </c>
      <c r="AQ19" s="3">
        <f>IF($A19="","",IF($E19="","",IF(TODAY()&lt;$E19+540,"-",IF($D19="",SUMPRODUCT(('Picked Students (raw)'!$B$2:$B$824=$C19)*('Picked Students (raw)'!$C$2:$C$824&lt;&gt;"")*(('Picked Students (raw)'!$C$2:$C$824-$E19)&lt;540)),SUMPRODUCT(('Picked Students (raw)'!$B$2:$B$824=$C19)*('Picked Students (raw)'!$D$2:$D$824=$D19)*('Picked Students (raw)'!$C$2:$C$824&lt;&gt;"")*(('Picked Students (raw)'!$C$2:$C$824-$E19)&lt;540))))))</f>
        <v/>
      </c>
      <c r="AR19" s="5">
        <f>IF($A19="","",IF(AQ19="-","-",IF($G19=0,0,AQ19/$G19)))</f>
        <v/>
      </c>
      <c r="AS19" s="3">
        <f>IF($A19="","",IF(AQ19="-","-",$H19-AQ19))</f>
        <v/>
      </c>
    </row>
    <row r="20">
      <c r="A20" s="3" t="inlineStr">
        <is>
          <t>Professional Certificate Course In Data Science August 2024 - MC Test</t>
        </is>
      </c>
      <c r="B20" s="3">
        <f>IF($A20="","",IFERROR(IF(INDEX('Batch Enrollment (Metabase)'!$C$2:$C$47,MATCH($A20,'Batch Enrollment (Metabase)'!$A$2:$A$47,0))="GEM","A",IF(INDEX('Batch Enrollment (Metabase)'!$C$2:$C$47,MATCH($A20,'Batch Enrollment (Metabase)'!$A$2:$A$47,0))="Non-GEM","B","")),""))</f>
        <v/>
      </c>
      <c r="C20" s="3">
        <f>IF($A20="","",IFERROR(INDEX('Batch Enrollment (Metabase)'!$B$2:$B$47,MATCH($A20,'Batch Enrollment (Metabase)'!$A$2:$A$47,0)),""))</f>
        <v/>
      </c>
      <c r="D20" s="3">
        <f>IF($A20="","",IFERROR(INDEX('Batch Enrollment (Metabase)'!$C$2:$C$47,MATCH($A20,'Batch Enrollment (Metabase)'!$A$2:$A$47,0)),""))</f>
        <v/>
      </c>
      <c r="E20" s="4">
        <f>IF($A20="","",IFERROR(INDEX('Batch Enrollment (Metabase)'!$D$2:$D$47,MATCH($A20,'Batch Enrollment (Metabase)'!$A$2:$A$47,0)),""))</f>
        <v/>
      </c>
      <c r="F20" s="3">
        <f>IF($A20="","",IFERROR(INDEX('Batch Enrollment (Metabase)'!$E$2:$E$47,MATCH($A20,'Batch Enrollment (Metabase)'!$A$2:$A$47,0)),""))</f>
        <v/>
      </c>
      <c r="G20" s="3">
        <f>IF($A20="","",IFERROR(INDEX('Batch Enrollment (Metabase)'!$F$2:$F$47,MATCH($A20,'Batch Enrollment (Metabase)'!$A$2:$A$47,0)),""))</f>
        <v/>
      </c>
      <c r="H20" s="3">
        <f>IF($A20="","",IF($D20="",COUNTIF('Picked Students (raw)'!$B$2:$B$824,$C20),COUNTIFS('Picked Students (raw)'!$B$2:$B$824,$C20,'Picked Students (raw)'!$D$2:$D$824,$D20)))</f>
        <v/>
      </c>
      <c r="I20" s="3">
        <f>IF($A20="","",IF($E20="","",IF(TODAY()&lt;$E20+30,"-",IF($D20="",SUMPRODUCT(('Picked Students (raw)'!$B$2:$B$824=$C20)*('Picked Students (raw)'!$C$2:$C$824&lt;&gt;"")*(('Picked Students (raw)'!$C$2:$C$824-$E20)&lt;30)),SUMPRODUCT(('Picked Students (raw)'!$B$2:$B$824=$C20)*('Picked Students (raw)'!$D$2:$D$824=$D20)*('Picked Students (raw)'!$C$2:$C$824&lt;&gt;"")*(('Picked Students (raw)'!$C$2:$C$824-$E20)&lt;30))))))</f>
        <v/>
      </c>
      <c r="J20" s="5">
        <f>IF($A20="","",IF(I20="-","-",IF($G20=0,0,I20/$G20)))</f>
        <v/>
      </c>
      <c r="K20" s="3">
        <f>IF($A20="","",IF($E20="","",IF(TODAY()&lt;$E20+60,"-",IF($D20="",SUMPRODUCT(('Picked Students (raw)'!$B$2:$B$824=$C20)*('Picked Students (raw)'!$C$2:$C$824&lt;&gt;"")*(('Picked Students (raw)'!$C$2:$C$824-$E20)&lt;60)),SUMPRODUCT(('Picked Students (raw)'!$B$2:$B$824=$C20)*('Picked Students (raw)'!$D$2:$D$824=$D20)*('Picked Students (raw)'!$C$2:$C$824&lt;&gt;"")*(('Picked Students (raw)'!$C$2:$C$824-$E20)&lt;60))))))</f>
        <v/>
      </c>
      <c r="L20" s="5">
        <f>IF($A20="","",IF(K20="-","-",IF($G20=0,0,K20/$G20)))</f>
        <v/>
      </c>
      <c r="M20" s="3">
        <f>IF($A20="","",IF($E20="","",IF(TODAY()&lt;$E20+90,"-",IF($D20="",SUMPRODUCT(('Picked Students (raw)'!$B$2:$B$824=$C20)*('Picked Students (raw)'!$C$2:$C$824&lt;&gt;"")*(('Picked Students (raw)'!$C$2:$C$824-$E20)&lt;90)),SUMPRODUCT(('Picked Students (raw)'!$B$2:$B$824=$C20)*('Picked Students (raw)'!$D$2:$D$824=$D20)*('Picked Students (raw)'!$C$2:$C$824&lt;&gt;"")*(('Picked Students (raw)'!$C$2:$C$824-$E20)&lt;90))))))</f>
        <v/>
      </c>
      <c r="N20" s="5">
        <f>IF($A20="","",IF(M20="-","-",IF($G20=0,0,M20/$G20)))</f>
        <v/>
      </c>
      <c r="O20" s="3">
        <f>IF($A20="","",IF($E20="","",IF(TODAY()&lt;$E20+120,"-",IF($D20="",SUMPRODUCT(('Picked Students (raw)'!$B$2:$B$824=$C20)*('Picked Students (raw)'!$C$2:$C$824&lt;&gt;"")*(('Picked Students (raw)'!$C$2:$C$824-$E20)&lt;120)),SUMPRODUCT(('Picked Students (raw)'!$B$2:$B$824=$C20)*('Picked Students (raw)'!$D$2:$D$824=$D20)*('Picked Students (raw)'!$C$2:$C$824&lt;&gt;"")*(('Picked Students (raw)'!$C$2:$C$824-$E20)&lt;120))))))</f>
        <v/>
      </c>
      <c r="P20" s="5">
        <f>IF($A20="","",IF(O20="-","-",IF($G20=0,0,O20/$G20)))</f>
        <v/>
      </c>
      <c r="Q20" s="3">
        <f>IF($A20="","",IF($E20="","",IF(TODAY()&lt;$E20+150,"-",IF($D20="",SUMPRODUCT(('Picked Students (raw)'!$B$2:$B$824=$C20)*('Picked Students (raw)'!$C$2:$C$824&lt;&gt;"")*(('Picked Students (raw)'!$C$2:$C$824-$E20)&lt;150)),SUMPRODUCT(('Picked Students (raw)'!$B$2:$B$824=$C20)*('Picked Students (raw)'!$D$2:$D$824=$D20)*('Picked Students (raw)'!$C$2:$C$824&lt;&gt;"")*(('Picked Students (raw)'!$C$2:$C$824-$E20)&lt;150))))))</f>
        <v/>
      </c>
      <c r="R20" s="5">
        <f>IF($A20="","",IF(Q20="-","-",IF($G20=0,0,Q20/$G20)))</f>
        <v/>
      </c>
      <c r="S20" s="3">
        <f>IF($A20="","",IF($E20="","",IF(TODAY()&lt;$E20+180,"-",IF($D20="",SUMPRODUCT(('Picked Students (raw)'!$B$2:$B$824=$C20)*('Picked Students (raw)'!$C$2:$C$824&lt;&gt;"")*(('Picked Students (raw)'!$C$2:$C$824-$E20)&lt;180)),SUMPRODUCT(('Picked Students (raw)'!$B$2:$B$824=$C20)*('Picked Students (raw)'!$D$2:$D$824=$D20)*('Picked Students (raw)'!$C$2:$C$824&lt;&gt;"")*(('Picked Students (raw)'!$C$2:$C$824-$E20)&lt;180))))))</f>
        <v/>
      </c>
      <c r="T20" s="5">
        <f>IF($A20="","",IF(S20="-","-",IF($G20=0,0,S20/$G20)))</f>
        <v/>
      </c>
      <c r="U20" s="3">
        <f>IF($A20="","",IF($E20="","",IF(TODAY()&lt;$E20+210,"-",IF($D20="",SUMPRODUCT(('Picked Students (raw)'!$B$2:$B$824=$C20)*('Picked Students (raw)'!$C$2:$C$824&lt;&gt;"")*(('Picked Students (raw)'!$C$2:$C$824-$E20)&lt;210)),SUMPRODUCT(('Picked Students (raw)'!$B$2:$B$824=$C20)*('Picked Students (raw)'!$D$2:$D$824=$D20)*('Picked Students (raw)'!$C$2:$C$824&lt;&gt;"")*(('Picked Students (raw)'!$C$2:$C$824-$E20)&lt;210))))))</f>
        <v/>
      </c>
      <c r="V20" s="5">
        <f>IF($A20="","",IF(U20="-","-",IF($G20=0,0,U20/$G20)))</f>
        <v/>
      </c>
      <c r="W20" s="3">
        <f>IF($A20="","",IF($E20="","",IF(TODAY()&lt;$E20+240,"-",IF($D20="",SUMPRODUCT(('Picked Students (raw)'!$B$2:$B$824=$C20)*('Picked Students (raw)'!$C$2:$C$824&lt;&gt;"")*(('Picked Students (raw)'!$C$2:$C$824-$E20)&lt;240)),SUMPRODUCT(('Picked Students (raw)'!$B$2:$B$824=$C20)*('Picked Students (raw)'!$D$2:$D$824=$D20)*('Picked Students (raw)'!$C$2:$C$824&lt;&gt;"")*(('Picked Students (raw)'!$C$2:$C$824-$E20)&lt;240))))))</f>
        <v/>
      </c>
      <c r="X20" s="5">
        <f>IF($A20="","",IF(W20="-","-",IF($G20=0,0,W20/$G20)))</f>
        <v/>
      </c>
      <c r="Y20" s="3">
        <f>IF($A20="","",IF($E20="","",IF(TODAY()&lt;$E20+270,"-",IF($D20="",SUMPRODUCT(('Picked Students (raw)'!$B$2:$B$824=$C20)*('Picked Students (raw)'!$C$2:$C$824&lt;&gt;"")*(('Picked Students (raw)'!$C$2:$C$824-$E20)&lt;270)),SUMPRODUCT(('Picked Students (raw)'!$B$2:$B$824=$C20)*('Picked Students (raw)'!$D$2:$D$824=$D20)*('Picked Students (raw)'!$C$2:$C$824&lt;&gt;"")*(('Picked Students (raw)'!$C$2:$C$824-$E20)&lt;270))))))</f>
        <v/>
      </c>
      <c r="Z20" s="5">
        <f>IF($A20="","",IF(Y20="-","-",IF($G20=0,0,Y20/$G20)))</f>
        <v/>
      </c>
      <c r="AA20" s="3">
        <f>IF($A20="","",IF($E20="","",IF(TODAY()&lt;$E20+300,"-",IF($D20="",SUMPRODUCT(('Picked Students (raw)'!$B$2:$B$824=$C20)*('Picked Students (raw)'!$C$2:$C$824&lt;&gt;"")*(('Picked Students (raw)'!$C$2:$C$824-$E20)&lt;300)),SUMPRODUCT(('Picked Students (raw)'!$B$2:$B$824=$C20)*('Picked Students (raw)'!$D$2:$D$824=$D20)*('Picked Students (raw)'!$C$2:$C$824&lt;&gt;"")*(('Picked Students (raw)'!$C$2:$C$824-$E20)&lt;300))))))</f>
        <v/>
      </c>
      <c r="AB20" s="5">
        <f>IF($A20="","",IF(AA20="-","-",IF($G20=0,0,AA20/$G20)))</f>
        <v/>
      </c>
      <c r="AC20" s="3">
        <f>IF($A20="","",IF($E20="","",IF(TODAY()&lt;$E20+330,"-",IF($D20="",SUMPRODUCT(('Picked Students (raw)'!$B$2:$B$824=$C20)*('Picked Students (raw)'!$C$2:$C$824&lt;&gt;"")*(('Picked Students (raw)'!$C$2:$C$824-$E20)&lt;330)),SUMPRODUCT(('Picked Students (raw)'!$B$2:$B$824=$C20)*('Picked Students (raw)'!$D$2:$D$824=$D20)*('Picked Students (raw)'!$C$2:$C$824&lt;&gt;"")*(('Picked Students (raw)'!$C$2:$C$824-$E20)&lt;330))))))</f>
        <v/>
      </c>
      <c r="AD20" s="5">
        <f>IF($A20="","",IF(AC20="-","-",IF($G20=0,0,AC20/$G20)))</f>
        <v/>
      </c>
      <c r="AE20" s="3">
        <f>IF($A20="","",IF($E20="","",IF(TODAY()&lt;$E20+360,"-",IF($D20="",SUMPRODUCT(('Picked Students (raw)'!$B$2:$B$824=$C20)*('Picked Students (raw)'!$C$2:$C$824&lt;&gt;"")*(('Picked Students (raw)'!$C$2:$C$824-$E20)&lt;360)),SUMPRODUCT(('Picked Students (raw)'!$B$2:$B$824=$C20)*('Picked Students (raw)'!$D$2:$D$824=$D20)*('Picked Students (raw)'!$C$2:$C$824&lt;&gt;"")*(('Picked Students (raw)'!$C$2:$C$824-$E20)&lt;360))))))</f>
        <v/>
      </c>
      <c r="AF20" s="5">
        <f>IF($A20="","",IF(AE20="-","-",IF($G20=0,0,AE20/$G20)))</f>
        <v/>
      </c>
      <c r="AG20" s="3">
        <f>IF($A20="","",IF($E20="","",IF(TODAY()&lt;$E20+390,"-",IF($D20="",SUMPRODUCT(('Picked Students (raw)'!$B$2:$B$824=$C20)*('Picked Students (raw)'!$C$2:$C$824&lt;&gt;"")*(('Picked Students (raw)'!$C$2:$C$824-$E20)&lt;390)),SUMPRODUCT(('Picked Students (raw)'!$B$2:$B$824=$C20)*('Picked Students (raw)'!$D$2:$D$824=$D20)*('Picked Students (raw)'!$C$2:$C$824&lt;&gt;"")*(('Picked Students (raw)'!$C$2:$C$824-$E20)&lt;390))))))</f>
        <v/>
      </c>
      <c r="AH20" s="5">
        <f>IF($A20="","",IF(AG20="-","-",IF($G20=0,0,AG20/$G20)))</f>
        <v/>
      </c>
      <c r="AI20" s="3">
        <f>IF($A20="","",IF($E20="","",IF(TODAY()&lt;$E20+420,"-",IF($D20="",SUMPRODUCT(('Picked Students (raw)'!$B$2:$B$824=$C20)*('Picked Students (raw)'!$C$2:$C$824&lt;&gt;"")*(('Picked Students (raw)'!$C$2:$C$824-$E20)&lt;420)),SUMPRODUCT(('Picked Students (raw)'!$B$2:$B$824=$C20)*('Picked Students (raw)'!$D$2:$D$824=$D20)*('Picked Students (raw)'!$C$2:$C$824&lt;&gt;"")*(('Picked Students (raw)'!$C$2:$C$824-$E20)&lt;420))))))</f>
        <v/>
      </c>
      <c r="AJ20" s="5">
        <f>IF($A20="","",IF(AI20="-","-",IF($G20=0,0,AI20/$G20)))</f>
        <v/>
      </c>
      <c r="AK20" s="3">
        <f>IF($A20="","",IF($E20="","",IF(TODAY()&lt;$E20+450,"-",IF($D20="",SUMPRODUCT(('Picked Students (raw)'!$B$2:$B$824=$C20)*('Picked Students (raw)'!$C$2:$C$824&lt;&gt;"")*(('Picked Students (raw)'!$C$2:$C$824-$E20)&lt;450)),SUMPRODUCT(('Picked Students (raw)'!$B$2:$B$824=$C20)*('Picked Students (raw)'!$D$2:$D$824=$D20)*('Picked Students (raw)'!$C$2:$C$824&lt;&gt;"")*(('Picked Students (raw)'!$C$2:$C$824-$E20)&lt;450))))))</f>
        <v/>
      </c>
      <c r="AL20" s="5">
        <f>IF($A20="","",IF(AK20="-","-",IF($G20=0,0,AK20/$G20)))</f>
        <v/>
      </c>
      <c r="AM20" s="3">
        <f>IF($A20="","",IF($E20="","",IF(TODAY()&lt;$E20+480,"-",IF($D20="",SUMPRODUCT(('Picked Students (raw)'!$B$2:$B$824=$C20)*('Picked Students (raw)'!$C$2:$C$824&lt;&gt;"")*(('Picked Students (raw)'!$C$2:$C$824-$E20)&lt;480)),SUMPRODUCT(('Picked Students (raw)'!$B$2:$B$824=$C20)*('Picked Students (raw)'!$D$2:$D$824=$D20)*('Picked Students (raw)'!$C$2:$C$824&lt;&gt;"")*(('Picked Students (raw)'!$C$2:$C$824-$E20)&lt;480))))))</f>
        <v/>
      </c>
      <c r="AN20" s="5">
        <f>IF($A20="","",IF(AM20="-","-",IF($G20=0,0,AM20/$G20)))</f>
        <v/>
      </c>
      <c r="AO20" s="3">
        <f>IF($A20="","",IF($E20="","",IF(TODAY()&lt;$E20+510,"-",IF($D20="",SUMPRODUCT(('Picked Students (raw)'!$B$2:$B$824=$C20)*('Picked Students (raw)'!$C$2:$C$824&lt;&gt;"")*(('Picked Students (raw)'!$C$2:$C$824-$E20)&lt;510)),SUMPRODUCT(('Picked Students (raw)'!$B$2:$B$824=$C20)*('Picked Students (raw)'!$D$2:$D$824=$D20)*('Picked Students (raw)'!$C$2:$C$824&lt;&gt;"")*(('Picked Students (raw)'!$C$2:$C$824-$E20)&lt;510))))))</f>
        <v/>
      </c>
      <c r="AP20" s="5">
        <f>IF($A20="","",IF(AO20="-","-",IF($G20=0,0,AO20/$G20)))</f>
        <v/>
      </c>
      <c r="AQ20" s="3">
        <f>IF($A20="","",IF($E20="","",IF(TODAY()&lt;$E20+540,"-",IF($D20="",SUMPRODUCT(('Picked Students (raw)'!$B$2:$B$824=$C20)*('Picked Students (raw)'!$C$2:$C$824&lt;&gt;"")*(('Picked Students (raw)'!$C$2:$C$824-$E20)&lt;540)),SUMPRODUCT(('Picked Students (raw)'!$B$2:$B$824=$C20)*('Picked Students (raw)'!$D$2:$D$824=$D20)*('Picked Students (raw)'!$C$2:$C$824&lt;&gt;"")*(('Picked Students (raw)'!$C$2:$C$824-$E20)&lt;540))))))</f>
        <v/>
      </c>
      <c r="AR20" s="5">
        <f>IF($A20="","",IF(AQ20="-","-",IF($G20=0,0,AQ20/$G20)))</f>
        <v/>
      </c>
      <c r="AS20" s="3">
        <f>IF($A20="","",IF(AQ20="-","-",$H20-AQ20))</f>
        <v/>
      </c>
    </row>
    <row r="21">
      <c r="A21" s="3" t="inlineStr">
        <is>
          <t>Professional Certificate Course In Data Science - August 2024</t>
        </is>
      </c>
      <c r="B21" s="3">
        <f>IF($A21="","",IFERROR(IF(INDEX('Batch Enrollment (Metabase)'!$C$2:$C$47,MATCH($A21,'Batch Enrollment (Metabase)'!$A$2:$A$47,0))="GEM","A",IF(INDEX('Batch Enrollment (Metabase)'!$C$2:$C$47,MATCH($A21,'Batch Enrollment (Metabase)'!$A$2:$A$47,0))="Non-GEM","B","")),""))</f>
        <v/>
      </c>
      <c r="C21" s="3">
        <f>IF($A21="","",IFERROR(INDEX('Batch Enrollment (Metabase)'!$B$2:$B$47,MATCH($A21,'Batch Enrollment (Metabase)'!$A$2:$A$47,0)),""))</f>
        <v/>
      </c>
      <c r="D21" s="3">
        <f>IF($A21="","",IFERROR(INDEX('Batch Enrollment (Metabase)'!$C$2:$C$47,MATCH($A21,'Batch Enrollment (Metabase)'!$A$2:$A$47,0)),""))</f>
        <v/>
      </c>
      <c r="E21" s="4">
        <f>IF($A21="","",IFERROR(INDEX('Batch Enrollment (Metabase)'!$D$2:$D$47,MATCH($A21,'Batch Enrollment (Metabase)'!$A$2:$A$47,0)),""))</f>
        <v/>
      </c>
      <c r="F21" s="3">
        <f>IF($A21="","",IFERROR(INDEX('Batch Enrollment (Metabase)'!$E$2:$E$47,MATCH($A21,'Batch Enrollment (Metabase)'!$A$2:$A$47,0)),""))</f>
        <v/>
      </c>
      <c r="G21" s="3">
        <f>IF($A21="","",IFERROR(INDEX('Batch Enrollment (Metabase)'!$F$2:$F$47,MATCH($A21,'Batch Enrollment (Metabase)'!$A$2:$A$47,0)),""))</f>
        <v/>
      </c>
      <c r="H21" s="3">
        <f>IF($A21="","",IF($D21="",COUNTIF('Picked Students (raw)'!$B$2:$B$824,$C21),COUNTIFS('Picked Students (raw)'!$B$2:$B$824,$C21,'Picked Students (raw)'!$D$2:$D$824,$D21)))</f>
        <v/>
      </c>
      <c r="I21" s="3">
        <f>IF($A21="","",IF($E21="","",IF(TODAY()&lt;$E21+30,"-",IF($D21="",SUMPRODUCT(('Picked Students (raw)'!$B$2:$B$824=$C21)*('Picked Students (raw)'!$C$2:$C$824&lt;&gt;"")*(('Picked Students (raw)'!$C$2:$C$824-$E21)&lt;30)),SUMPRODUCT(('Picked Students (raw)'!$B$2:$B$824=$C21)*('Picked Students (raw)'!$D$2:$D$824=$D21)*('Picked Students (raw)'!$C$2:$C$824&lt;&gt;"")*(('Picked Students (raw)'!$C$2:$C$824-$E21)&lt;30))))))</f>
        <v/>
      </c>
      <c r="J21" s="5">
        <f>IF($A21="","",IF(I21="-","-",IF($G21=0,0,I21/$G21)))</f>
        <v/>
      </c>
      <c r="K21" s="3">
        <f>IF($A21="","",IF($E21="","",IF(TODAY()&lt;$E21+60,"-",IF($D21="",SUMPRODUCT(('Picked Students (raw)'!$B$2:$B$824=$C21)*('Picked Students (raw)'!$C$2:$C$824&lt;&gt;"")*(('Picked Students (raw)'!$C$2:$C$824-$E21)&lt;60)),SUMPRODUCT(('Picked Students (raw)'!$B$2:$B$824=$C21)*('Picked Students (raw)'!$D$2:$D$824=$D21)*('Picked Students (raw)'!$C$2:$C$824&lt;&gt;"")*(('Picked Students (raw)'!$C$2:$C$824-$E21)&lt;60))))))</f>
        <v/>
      </c>
      <c r="L21" s="5">
        <f>IF($A21="","",IF(K21="-","-",IF($G21=0,0,K21/$G21)))</f>
        <v/>
      </c>
      <c r="M21" s="3">
        <f>IF($A21="","",IF($E21="","",IF(TODAY()&lt;$E21+90,"-",IF($D21="",SUMPRODUCT(('Picked Students (raw)'!$B$2:$B$824=$C21)*('Picked Students (raw)'!$C$2:$C$824&lt;&gt;"")*(('Picked Students (raw)'!$C$2:$C$824-$E21)&lt;90)),SUMPRODUCT(('Picked Students (raw)'!$B$2:$B$824=$C21)*('Picked Students (raw)'!$D$2:$D$824=$D21)*('Picked Students (raw)'!$C$2:$C$824&lt;&gt;"")*(('Picked Students (raw)'!$C$2:$C$824-$E21)&lt;90))))))</f>
        <v/>
      </c>
      <c r="N21" s="5">
        <f>IF($A21="","",IF(M21="-","-",IF($G21=0,0,M21/$G21)))</f>
        <v/>
      </c>
      <c r="O21" s="3">
        <f>IF($A21="","",IF($E21="","",IF(TODAY()&lt;$E21+120,"-",IF($D21="",SUMPRODUCT(('Picked Students (raw)'!$B$2:$B$824=$C21)*('Picked Students (raw)'!$C$2:$C$824&lt;&gt;"")*(('Picked Students (raw)'!$C$2:$C$824-$E21)&lt;120)),SUMPRODUCT(('Picked Students (raw)'!$B$2:$B$824=$C21)*('Picked Students (raw)'!$D$2:$D$824=$D21)*('Picked Students (raw)'!$C$2:$C$824&lt;&gt;"")*(('Picked Students (raw)'!$C$2:$C$824-$E21)&lt;120))))))</f>
        <v/>
      </c>
      <c r="P21" s="5">
        <f>IF($A21="","",IF(O21="-","-",IF($G21=0,0,O21/$G21)))</f>
        <v/>
      </c>
      <c r="Q21" s="3">
        <f>IF($A21="","",IF($E21="","",IF(TODAY()&lt;$E21+150,"-",IF($D21="",SUMPRODUCT(('Picked Students (raw)'!$B$2:$B$824=$C21)*('Picked Students (raw)'!$C$2:$C$824&lt;&gt;"")*(('Picked Students (raw)'!$C$2:$C$824-$E21)&lt;150)),SUMPRODUCT(('Picked Students (raw)'!$B$2:$B$824=$C21)*('Picked Students (raw)'!$D$2:$D$824=$D21)*('Picked Students (raw)'!$C$2:$C$824&lt;&gt;"")*(('Picked Students (raw)'!$C$2:$C$824-$E21)&lt;150))))))</f>
        <v/>
      </c>
      <c r="R21" s="5">
        <f>IF($A21="","",IF(Q21="-","-",IF($G21=0,0,Q21/$G21)))</f>
        <v/>
      </c>
      <c r="S21" s="3">
        <f>IF($A21="","",IF($E21="","",IF(TODAY()&lt;$E21+180,"-",IF($D21="",SUMPRODUCT(('Picked Students (raw)'!$B$2:$B$824=$C21)*('Picked Students (raw)'!$C$2:$C$824&lt;&gt;"")*(('Picked Students (raw)'!$C$2:$C$824-$E21)&lt;180)),SUMPRODUCT(('Picked Students (raw)'!$B$2:$B$824=$C21)*('Picked Students (raw)'!$D$2:$D$824=$D21)*('Picked Students (raw)'!$C$2:$C$824&lt;&gt;"")*(('Picked Students (raw)'!$C$2:$C$824-$E21)&lt;180))))))</f>
        <v/>
      </c>
      <c r="T21" s="5">
        <f>IF($A21="","",IF(S21="-","-",IF($G21=0,0,S21/$G21)))</f>
        <v/>
      </c>
      <c r="U21" s="3">
        <f>IF($A21="","",IF($E21="","",IF(TODAY()&lt;$E21+210,"-",IF($D21="",SUMPRODUCT(('Picked Students (raw)'!$B$2:$B$824=$C21)*('Picked Students (raw)'!$C$2:$C$824&lt;&gt;"")*(('Picked Students (raw)'!$C$2:$C$824-$E21)&lt;210)),SUMPRODUCT(('Picked Students (raw)'!$B$2:$B$824=$C21)*('Picked Students (raw)'!$D$2:$D$824=$D21)*('Picked Students (raw)'!$C$2:$C$824&lt;&gt;"")*(('Picked Students (raw)'!$C$2:$C$824-$E21)&lt;210))))))</f>
        <v/>
      </c>
      <c r="V21" s="5">
        <f>IF($A21="","",IF(U21="-","-",IF($G21=0,0,U21/$G21)))</f>
        <v/>
      </c>
      <c r="W21" s="3">
        <f>IF($A21="","",IF($E21="","",IF(TODAY()&lt;$E21+240,"-",IF($D21="",SUMPRODUCT(('Picked Students (raw)'!$B$2:$B$824=$C21)*('Picked Students (raw)'!$C$2:$C$824&lt;&gt;"")*(('Picked Students (raw)'!$C$2:$C$824-$E21)&lt;240)),SUMPRODUCT(('Picked Students (raw)'!$B$2:$B$824=$C21)*('Picked Students (raw)'!$D$2:$D$824=$D21)*('Picked Students (raw)'!$C$2:$C$824&lt;&gt;"")*(('Picked Students (raw)'!$C$2:$C$824-$E21)&lt;240))))))</f>
        <v/>
      </c>
      <c r="X21" s="5">
        <f>IF($A21="","",IF(W21="-","-",IF($G21=0,0,W21/$G21)))</f>
        <v/>
      </c>
      <c r="Y21" s="3">
        <f>IF($A21="","",IF($E21="","",IF(TODAY()&lt;$E21+270,"-",IF($D21="",SUMPRODUCT(('Picked Students (raw)'!$B$2:$B$824=$C21)*('Picked Students (raw)'!$C$2:$C$824&lt;&gt;"")*(('Picked Students (raw)'!$C$2:$C$824-$E21)&lt;270)),SUMPRODUCT(('Picked Students (raw)'!$B$2:$B$824=$C21)*('Picked Students (raw)'!$D$2:$D$824=$D21)*('Picked Students (raw)'!$C$2:$C$824&lt;&gt;"")*(('Picked Students (raw)'!$C$2:$C$824-$E21)&lt;270))))))</f>
        <v/>
      </c>
      <c r="Z21" s="5">
        <f>IF($A21="","",IF(Y21="-","-",IF($G21=0,0,Y21/$G21)))</f>
        <v/>
      </c>
      <c r="AA21" s="3">
        <f>IF($A21="","",IF($E21="","",IF(TODAY()&lt;$E21+300,"-",IF($D21="",SUMPRODUCT(('Picked Students (raw)'!$B$2:$B$824=$C21)*('Picked Students (raw)'!$C$2:$C$824&lt;&gt;"")*(('Picked Students (raw)'!$C$2:$C$824-$E21)&lt;300)),SUMPRODUCT(('Picked Students (raw)'!$B$2:$B$824=$C21)*('Picked Students (raw)'!$D$2:$D$824=$D21)*('Picked Students (raw)'!$C$2:$C$824&lt;&gt;"")*(('Picked Students (raw)'!$C$2:$C$824-$E21)&lt;300))))))</f>
        <v/>
      </c>
      <c r="AB21" s="5">
        <f>IF($A21="","",IF(AA21="-","-",IF($G21=0,0,AA21/$G21)))</f>
        <v/>
      </c>
      <c r="AC21" s="3">
        <f>IF($A21="","",IF($E21="","",IF(TODAY()&lt;$E21+330,"-",IF($D21="",SUMPRODUCT(('Picked Students (raw)'!$B$2:$B$824=$C21)*('Picked Students (raw)'!$C$2:$C$824&lt;&gt;"")*(('Picked Students (raw)'!$C$2:$C$824-$E21)&lt;330)),SUMPRODUCT(('Picked Students (raw)'!$B$2:$B$824=$C21)*('Picked Students (raw)'!$D$2:$D$824=$D21)*('Picked Students (raw)'!$C$2:$C$824&lt;&gt;"")*(('Picked Students (raw)'!$C$2:$C$824-$E21)&lt;330))))))</f>
        <v/>
      </c>
      <c r="AD21" s="5">
        <f>IF($A21="","",IF(AC21="-","-",IF($G21=0,0,AC21/$G21)))</f>
        <v/>
      </c>
      <c r="AE21" s="3">
        <f>IF($A21="","",IF($E21="","",IF(TODAY()&lt;$E21+360,"-",IF($D21="",SUMPRODUCT(('Picked Students (raw)'!$B$2:$B$824=$C21)*('Picked Students (raw)'!$C$2:$C$824&lt;&gt;"")*(('Picked Students (raw)'!$C$2:$C$824-$E21)&lt;360)),SUMPRODUCT(('Picked Students (raw)'!$B$2:$B$824=$C21)*('Picked Students (raw)'!$D$2:$D$824=$D21)*('Picked Students (raw)'!$C$2:$C$824&lt;&gt;"")*(('Picked Students (raw)'!$C$2:$C$824-$E21)&lt;360))))))</f>
        <v/>
      </c>
      <c r="AF21" s="5">
        <f>IF($A21="","",IF(AE21="-","-",IF($G21=0,0,AE21/$G21)))</f>
        <v/>
      </c>
      <c r="AG21" s="3">
        <f>IF($A21="","",IF($E21="","",IF(TODAY()&lt;$E21+390,"-",IF($D21="",SUMPRODUCT(('Picked Students (raw)'!$B$2:$B$824=$C21)*('Picked Students (raw)'!$C$2:$C$824&lt;&gt;"")*(('Picked Students (raw)'!$C$2:$C$824-$E21)&lt;390)),SUMPRODUCT(('Picked Students (raw)'!$B$2:$B$824=$C21)*('Picked Students (raw)'!$D$2:$D$824=$D21)*('Picked Students (raw)'!$C$2:$C$824&lt;&gt;"")*(('Picked Students (raw)'!$C$2:$C$824-$E21)&lt;390))))))</f>
        <v/>
      </c>
      <c r="AH21" s="5">
        <f>IF($A21="","",IF(AG21="-","-",IF($G21=0,0,AG21/$G21)))</f>
        <v/>
      </c>
      <c r="AI21" s="3">
        <f>IF($A21="","",IF($E21="","",IF(TODAY()&lt;$E21+420,"-",IF($D21="",SUMPRODUCT(('Picked Students (raw)'!$B$2:$B$824=$C21)*('Picked Students (raw)'!$C$2:$C$824&lt;&gt;"")*(('Picked Students (raw)'!$C$2:$C$824-$E21)&lt;420)),SUMPRODUCT(('Picked Students (raw)'!$B$2:$B$824=$C21)*('Picked Students (raw)'!$D$2:$D$824=$D21)*('Picked Students (raw)'!$C$2:$C$824&lt;&gt;"")*(('Picked Students (raw)'!$C$2:$C$824-$E21)&lt;420))))))</f>
        <v/>
      </c>
      <c r="AJ21" s="5">
        <f>IF($A21="","",IF(AI21="-","-",IF($G21=0,0,AI21/$G21)))</f>
        <v/>
      </c>
      <c r="AK21" s="3">
        <f>IF($A21="","",IF($E21="","",IF(TODAY()&lt;$E21+450,"-",IF($D21="",SUMPRODUCT(('Picked Students (raw)'!$B$2:$B$824=$C21)*('Picked Students (raw)'!$C$2:$C$824&lt;&gt;"")*(('Picked Students (raw)'!$C$2:$C$824-$E21)&lt;450)),SUMPRODUCT(('Picked Students (raw)'!$B$2:$B$824=$C21)*('Picked Students (raw)'!$D$2:$D$824=$D21)*('Picked Students (raw)'!$C$2:$C$824&lt;&gt;"")*(('Picked Students (raw)'!$C$2:$C$824-$E21)&lt;450))))))</f>
        <v/>
      </c>
      <c r="AL21" s="5">
        <f>IF($A21="","",IF(AK21="-","-",IF($G21=0,0,AK21/$G21)))</f>
        <v/>
      </c>
      <c r="AM21" s="3">
        <f>IF($A21="","",IF($E21="","",IF(TODAY()&lt;$E21+480,"-",IF($D21="",SUMPRODUCT(('Picked Students (raw)'!$B$2:$B$824=$C21)*('Picked Students (raw)'!$C$2:$C$824&lt;&gt;"")*(('Picked Students (raw)'!$C$2:$C$824-$E21)&lt;480)),SUMPRODUCT(('Picked Students (raw)'!$B$2:$B$824=$C21)*('Picked Students (raw)'!$D$2:$D$824=$D21)*('Picked Students (raw)'!$C$2:$C$824&lt;&gt;"")*(('Picked Students (raw)'!$C$2:$C$824-$E21)&lt;480))))))</f>
        <v/>
      </c>
      <c r="AN21" s="5">
        <f>IF($A21="","",IF(AM21="-","-",IF($G21=0,0,AM21/$G21)))</f>
        <v/>
      </c>
      <c r="AO21" s="3">
        <f>IF($A21="","",IF($E21="","",IF(TODAY()&lt;$E21+510,"-",IF($D21="",SUMPRODUCT(('Picked Students (raw)'!$B$2:$B$824=$C21)*('Picked Students (raw)'!$C$2:$C$824&lt;&gt;"")*(('Picked Students (raw)'!$C$2:$C$824-$E21)&lt;510)),SUMPRODUCT(('Picked Students (raw)'!$B$2:$B$824=$C21)*('Picked Students (raw)'!$D$2:$D$824=$D21)*('Picked Students (raw)'!$C$2:$C$824&lt;&gt;"")*(('Picked Students (raw)'!$C$2:$C$824-$E21)&lt;510))))))</f>
        <v/>
      </c>
      <c r="AP21" s="5">
        <f>IF($A21="","",IF(AO21="-","-",IF($G21=0,0,AO21/$G21)))</f>
        <v/>
      </c>
      <c r="AQ21" s="3">
        <f>IF($A21="","",IF($E21="","",IF(TODAY()&lt;$E21+540,"-",IF($D21="",SUMPRODUCT(('Picked Students (raw)'!$B$2:$B$824=$C21)*('Picked Students (raw)'!$C$2:$C$824&lt;&gt;"")*(('Picked Students (raw)'!$C$2:$C$824-$E21)&lt;540)),SUMPRODUCT(('Picked Students (raw)'!$B$2:$B$824=$C21)*('Picked Students (raw)'!$D$2:$D$824=$D21)*('Picked Students (raw)'!$C$2:$C$824&lt;&gt;"")*(('Picked Students (raw)'!$C$2:$C$824-$E21)&lt;540))))))</f>
        <v/>
      </c>
      <c r="AR21" s="5">
        <f>IF($A21="","",IF(AQ21="-","-",IF($G21=0,0,AQ21/$G21)))</f>
        <v/>
      </c>
      <c r="AS21" s="3">
        <f>IF($A21="","",IF(AQ21="-","-",$H21-AQ21))</f>
        <v/>
      </c>
    </row>
    <row r="22">
      <c r="A22" s="3" t="inlineStr">
        <is>
          <t>Professional Certificate Course In Data Science - September 2024</t>
        </is>
      </c>
      <c r="B22" s="3">
        <f>IF($A22="","",IFERROR(IF(INDEX('Batch Enrollment (Metabase)'!$C$2:$C$47,MATCH($A22,'Batch Enrollment (Metabase)'!$A$2:$A$47,0))="GEM","A",IF(INDEX('Batch Enrollment (Metabase)'!$C$2:$C$47,MATCH($A22,'Batch Enrollment (Metabase)'!$A$2:$A$47,0))="Non-GEM","B","")),""))</f>
        <v/>
      </c>
      <c r="C22" s="3">
        <f>IF($A22="","",IFERROR(INDEX('Batch Enrollment (Metabase)'!$B$2:$B$47,MATCH($A22,'Batch Enrollment (Metabase)'!$A$2:$A$47,0)),""))</f>
        <v/>
      </c>
      <c r="D22" s="3">
        <f>IF($A22="","",IFERROR(INDEX('Batch Enrollment (Metabase)'!$C$2:$C$47,MATCH($A22,'Batch Enrollment (Metabase)'!$A$2:$A$47,0)),""))</f>
        <v/>
      </c>
      <c r="E22" s="4">
        <f>IF($A22="","",IFERROR(INDEX('Batch Enrollment (Metabase)'!$D$2:$D$47,MATCH($A22,'Batch Enrollment (Metabase)'!$A$2:$A$47,0)),""))</f>
        <v/>
      </c>
      <c r="F22" s="3">
        <f>IF($A22="","",IFERROR(INDEX('Batch Enrollment (Metabase)'!$E$2:$E$47,MATCH($A22,'Batch Enrollment (Metabase)'!$A$2:$A$47,0)),""))</f>
        <v/>
      </c>
      <c r="G22" s="3">
        <f>IF($A22="","",IFERROR(INDEX('Batch Enrollment (Metabase)'!$F$2:$F$47,MATCH($A22,'Batch Enrollment (Metabase)'!$A$2:$A$47,0)),""))</f>
        <v/>
      </c>
      <c r="H22" s="3">
        <f>IF($A22="","",IF($D22="",COUNTIF('Picked Students (raw)'!$B$2:$B$824,$C22),COUNTIFS('Picked Students (raw)'!$B$2:$B$824,$C22,'Picked Students (raw)'!$D$2:$D$824,$D22)))</f>
        <v/>
      </c>
      <c r="I22" s="3">
        <f>IF($A22="","",IF($E22="","",IF(TODAY()&lt;$E22+30,"-",IF($D22="",SUMPRODUCT(('Picked Students (raw)'!$B$2:$B$824=$C22)*('Picked Students (raw)'!$C$2:$C$824&lt;&gt;"")*(('Picked Students (raw)'!$C$2:$C$824-$E22)&lt;30)),SUMPRODUCT(('Picked Students (raw)'!$B$2:$B$824=$C22)*('Picked Students (raw)'!$D$2:$D$824=$D22)*('Picked Students (raw)'!$C$2:$C$824&lt;&gt;"")*(('Picked Students (raw)'!$C$2:$C$824-$E22)&lt;30))))))</f>
        <v/>
      </c>
      <c r="J22" s="5">
        <f>IF($A22="","",IF(I22="-","-",IF($G22=0,0,I22/$G22)))</f>
        <v/>
      </c>
      <c r="K22" s="3">
        <f>IF($A22="","",IF($E22="","",IF(TODAY()&lt;$E22+60,"-",IF($D22="",SUMPRODUCT(('Picked Students (raw)'!$B$2:$B$824=$C22)*('Picked Students (raw)'!$C$2:$C$824&lt;&gt;"")*(('Picked Students (raw)'!$C$2:$C$824-$E22)&lt;60)),SUMPRODUCT(('Picked Students (raw)'!$B$2:$B$824=$C22)*('Picked Students (raw)'!$D$2:$D$824=$D22)*('Picked Students (raw)'!$C$2:$C$824&lt;&gt;"")*(('Picked Students (raw)'!$C$2:$C$824-$E22)&lt;60))))))</f>
        <v/>
      </c>
      <c r="L22" s="5">
        <f>IF($A22="","",IF(K22="-","-",IF($G22=0,0,K22/$G22)))</f>
        <v/>
      </c>
      <c r="M22" s="3">
        <f>IF($A22="","",IF($E22="","",IF(TODAY()&lt;$E22+90,"-",IF($D22="",SUMPRODUCT(('Picked Students (raw)'!$B$2:$B$824=$C22)*('Picked Students (raw)'!$C$2:$C$824&lt;&gt;"")*(('Picked Students (raw)'!$C$2:$C$824-$E22)&lt;90)),SUMPRODUCT(('Picked Students (raw)'!$B$2:$B$824=$C22)*('Picked Students (raw)'!$D$2:$D$824=$D22)*('Picked Students (raw)'!$C$2:$C$824&lt;&gt;"")*(('Picked Students (raw)'!$C$2:$C$824-$E22)&lt;90))))))</f>
        <v/>
      </c>
      <c r="N22" s="5">
        <f>IF($A22="","",IF(M22="-","-",IF($G22=0,0,M22/$G22)))</f>
        <v/>
      </c>
      <c r="O22" s="3">
        <f>IF($A22="","",IF($E22="","",IF(TODAY()&lt;$E22+120,"-",IF($D22="",SUMPRODUCT(('Picked Students (raw)'!$B$2:$B$824=$C22)*('Picked Students (raw)'!$C$2:$C$824&lt;&gt;"")*(('Picked Students (raw)'!$C$2:$C$824-$E22)&lt;120)),SUMPRODUCT(('Picked Students (raw)'!$B$2:$B$824=$C22)*('Picked Students (raw)'!$D$2:$D$824=$D22)*('Picked Students (raw)'!$C$2:$C$824&lt;&gt;"")*(('Picked Students (raw)'!$C$2:$C$824-$E22)&lt;120))))))</f>
        <v/>
      </c>
      <c r="P22" s="5">
        <f>IF($A22="","",IF(O22="-","-",IF($G22=0,0,O22/$G22)))</f>
        <v/>
      </c>
      <c r="Q22" s="3">
        <f>IF($A22="","",IF($E22="","",IF(TODAY()&lt;$E22+150,"-",IF($D22="",SUMPRODUCT(('Picked Students (raw)'!$B$2:$B$824=$C22)*('Picked Students (raw)'!$C$2:$C$824&lt;&gt;"")*(('Picked Students (raw)'!$C$2:$C$824-$E22)&lt;150)),SUMPRODUCT(('Picked Students (raw)'!$B$2:$B$824=$C22)*('Picked Students (raw)'!$D$2:$D$824=$D22)*('Picked Students (raw)'!$C$2:$C$824&lt;&gt;"")*(('Picked Students (raw)'!$C$2:$C$824-$E22)&lt;150))))))</f>
        <v/>
      </c>
      <c r="R22" s="5">
        <f>IF($A22="","",IF(Q22="-","-",IF($G22=0,0,Q22/$G22)))</f>
        <v/>
      </c>
      <c r="S22" s="3">
        <f>IF($A22="","",IF($E22="","",IF(TODAY()&lt;$E22+180,"-",IF($D22="",SUMPRODUCT(('Picked Students (raw)'!$B$2:$B$824=$C22)*('Picked Students (raw)'!$C$2:$C$824&lt;&gt;"")*(('Picked Students (raw)'!$C$2:$C$824-$E22)&lt;180)),SUMPRODUCT(('Picked Students (raw)'!$B$2:$B$824=$C22)*('Picked Students (raw)'!$D$2:$D$824=$D22)*('Picked Students (raw)'!$C$2:$C$824&lt;&gt;"")*(('Picked Students (raw)'!$C$2:$C$824-$E22)&lt;180))))))</f>
        <v/>
      </c>
      <c r="T22" s="5">
        <f>IF($A22="","",IF(S22="-","-",IF($G22=0,0,S22/$G22)))</f>
        <v/>
      </c>
      <c r="U22" s="3">
        <f>IF($A22="","",IF($E22="","",IF(TODAY()&lt;$E22+210,"-",IF($D22="",SUMPRODUCT(('Picked Students (raw)'!$B$2:$B$824=$C22)*('Picked Students (raw)'!$C$2:$C$824&lt;&gt;"")*(('Picked Students (raw)'!$C$2:$C$824-$E22)&lt;210)),SUMPRODUCT(('Picked Students (raw)'!$B$2:$B$824=$C22)*('Picked Students (raw)'!$D$2:$D$824=$D22)*('Picked Students (raw)'!$C$2:$C$824&lt;&gt;"")*(('Picked Students (raw)'!$C$2:$C$824-$E22)&lt;210))))))</f>
        <v/>
      </c>
      <c r="V22" s="5">
        <f>IF($A22="","",IF(U22="-","-",IF($G22=0,0,U22/$G22)))</f>
        <v/>
      </c>
      <c r="W22" s="3">
        <f>IF($A22="","",IF($E22="","",IF(TODAY()&lt;$E22+240,"-",IF($D22="",SUMPRODUCT(('Picked Students (raw)'!$B$2:$B$824=$C22)*('Picked Students (raw)'!$C$2:$C$824&lt;&gt;"")*(('Picked Students (raw)'!$C$2:$C$824-$E22)&lt;240)),SUMPRODUCT(('Picked Students (raw)'!$B$2:$B$824=$C22)*('Picked Students (raw)'!$D$2:$D$824=$D22)*('Picked Students (raw)'!$C$2:$C$824&lt;&gt;"")*(('Picked Students (raw)'!$C$2:$C$824-$E22)&lt;240))))))</f>
        <v/>
      </c>
      <c r="X22" s="5">
        <f>IF($A22="","",IF(W22="-","-",IF($G22=0,0,W22/$G22)))</f>
        <v/>
      </c>
      <c r="Y22" s="3">
        <f>IF($A22="","",IF($E22="","",IF(TODAY()&lt;$E22+270,"-",IF($D22="",SUMPRODUCT(('Picked Students (raw)'!$B$2:$B$824=$C22)*('Picked Students (raw)'!$C$2:$C$824&lt;&gt;"")*(('Picked Students (raw)'!$C$2:$C$824-$E22)&lt;270)),SUMPRODUCT(('Picked Students (raw)'!$B$2:$B$824=$C22)*('Picked Students (raw)'!$D$2:$D$824=$D22)*('Picked Students (raw)'!$C$2:$C$824&lt;&gt;"")*(('Picked Students (raw)'!$C$2:$C$824-$E22)&lt;270))))))</f>
        <v/>
      </c>
      <c r="Z22" s="5">
        <f>IF($A22="","",IF(Y22="-","-",IF($G22=0,0,Y22/$G22)))</f>
        <v/>
      </c>
      <c r="AA22" s="3">
        <f>IF($A22="","",IF($E22="","",IF(TODAY()&lt;$E22+300,"-",IF($D22="",SUMPRODUCT(('Picked Students (raw)'!$B$2:$B$824=$C22)*('Picked Students (raw)'!$C$2:$C$824&lt;&gt;"")*(('Picked Students (raw)'!$C$2:$C$824-$E22)&lt;300)),SUMPRODUCT(('Picked Students (raw)'!$B$2:$B$824=$C22)*('Picked Students (raw)'!$D$2:$D$824=$D22)*('Picked Students (raw)'!$C$2:$C$824&lt;&gt;"")*(('Picked Students (raw)'!$C$2:$C$824-$E22)&lt;300))))))</f>
        <v/>
      </c>
      <c r="AB22" s="5">
        <f>IF($A22="","",IF(AA22="-","-",IF($G22=0,0,AA22/$G22)))</f>
        <v/>
      </c>
      <c r="AC22" s="3">
        <f>IF($A22="","",IF($E22="","",IF(TODAY()&lt;$E22+330,"-",IF($D22="",SUMPRODUCT(('Picked Students (raw)'!$B$2:$B$824=$C22)*('Picked Students (raw)'!$C$2:$C$824&lt;&gt;"")*(('Picked Students (raw)'!$C$2:$C$824-$E22)&lt;330)),SUMPRODUCT(('Picked Students (raw)'!$B$2:$B$824=$C22)*('Picked Students (raw)'!$D$2:$D$824=$D22)*('Picked Students (raw)'!$C$2:$C$824&lt;&gt;"")*(('Picked Students (raw)'!$C$2:$C$824-$E22)&lt;330))))))</f>
        <v/>
      </c>
      <c r="AD22" s="5">
        <f>IF($A22="","",IF(AC22="-","-",IF($G22=0,0,AC22/$G22)))</f>
        <v/>
      </c>
      <c r="AE22" s="3">
        <f>IF($A22="","",IF($E22="","",IF(TODAY()&lt;$E22+360,"-",IF($D22="",SUMPRODUCT(('Picked Students (raw)'!$B$2:$B$824=$C22)*('Picked Students (raw)'!$C$2:$C$824&lt;&gt;"")*(('Picked Students (raw)'!$C$2:$C$824-$E22)&lt;360)),SUMPRODUCT(('Picked Students (raw)'!$B$2:$B$824=$C22)*('Picked Students (raw)'!$D$2:$D$824=$D22)*('Picked Students (raw)'!$C$2:$C$824&lt;&gt;"")*(('Picked Students (raw)'!$C$2:$C$824-$E22)&lt;360))))))</f>
        <v/>
      </c>
      <c r="AF22" s="5">
        <f>IF($A22="","",IF(AE22="-","-",IF($G22=0,0,AE22/$G22)))</f>
        <v/>
      </c>
      <c r="AG22" s="3">
        <f>IF($A22="","",IF($E22="","",IF(TODAY()&lt;$E22+390,"-",IF($D22="",SUMPRODUCT(('Picked Students (raw)'!$B$2:$B$824=$C22)*('Picked Students (raw)'!$C$2:$C$824&lt;&gt;"")*(('Picked Students (raw)'!$C$2:$C$824-$E22)&lt;390)),SUMPRODUCT(('Picked Students (raw)'!$B$2:$B$824=$C22)*('Picked Students (raw)'!$D$2:$D$824=$D22)*('Picked Students (raw)'!$C$2:$C$824&lt;&gt;"")*(('Picked Students (raw)'!$C$2:$C$824-$E22)&lt;390))))))</f>
        <v/>
      </c>
      <c r="AH22" s="5">
        <f>IF($A22="","",IF(AG22="-","-",IF($G22=0,0,AG22/$G22)))</f>
        <v/>
      </c>
      <c r="AI22" s="3">
        <f>IF($A22="","",IF($E22="","",IF(TODAY()&lt;$E22+420,"-",IF($D22="",SUMPRODUCT(('Picked Students (raw)'!$B$2:$B$824=$C22)*('Picked Students (raw)'!$C$2:$C$824&lt;&gt;"")*(('Picked Students (raw)'!$C$2:$C$824-$E22)&lt;420)),SUMPRODUCT(('Picked Students (raw)'!$B$2:$B$824=$C22)*('Picked Students (raw)'!$D$2:$D$824=$D22)*('Picked Students (raw)'!$C$2:$C$824&lt;&gt;"")*(('Picked Students (raw)'!$C$2:$C$824-$E22)&lt;420))))))</f>
        <v/>
      </c>
      <c r="AJ22" s="5">
        <f>IF($A22="","",IF(AI22="-","-",IF($G22=0,0,AI22/$G22)))</f>
        <v/>
      </c>
      <c r="AK22" s="3">
        <f>IF($A22="","",IF($E22="","",IF(TODAY()&lt;$E22+450,"-",IF($D22="",SUMPRODUCT(('Picked Students (raw)'!$B$2:$B$824=$C22)*('Picked Students (raw)'!$C$2:$C$824&lt;&gt;"")*(('Picked Students (raw)'!$C$2:$C$824-$E22)&lt;450)),SUMPRODUCT(('Picked Students (raw)'!$B$2:$B$824=$C22)*('Picked Students (raw)'!$D$2:$D$824=$D22)*('Picked Students (raw)'!$C$2:$C$824&lt;&gt;"")*(('Picked Students (raw)'!$C$2:$C$824-$E22)&lt;450))))))</f>
        <v/>
      </c>
      <c r="AL22" s="5">
        <f>IF($A22="","",IF(AK22="-","-",IF($G22=0,0,AK22/$G22)))</f>
        <v/>
      </c>
      <c r="AM22" s="3">
        <f>IF($A22="","",IF($E22="","",IF(TODAY()&lt;$E22+480,"-",IF($D22="",SUMPRODUCT(('Picked Students (raw)'!$B$2:$B$824=$C22)*('Picked Students (raw)'!$C$2:$C$824&lt;&gt;"")*(('Picked Students (raw)'!$C$2:$C$824-$E22)&lt;480)),SUMPRODUCT(('Picked Students (raw)'!$B$2:$B$824=$C22)*('Picked Students (raw)'!$D$2:$D$824=$D22)*('Picked Students (raw)'!$C$2:$C$824&lt;&gt;"")*(('Picked Students (raw)'!$C$2:$C$824-$E22)&lt;480))))))</f>
        <v/>
      </c>
      <c r="AN22" s="5">
        <f>IF($A22="","",IF(AM22="-","-",IF($G22=0,0,AM22/$G22)))</f>
        <v/>
      </c>
      <c r="AO22" s="3">
        <f>IF($A22="","",IF($E22="","",IF(TODAY()&lt;$E22+510,"-",IF($D22="",SUMPRODUCT(('Picked Students (raw)'!$B$2:$B$824=$C22)*('Picked Students (raw)'!$C$2:$C$824&lt;&gt;"")*(('Picked Students (raw)'!$C$2:$C$824-$E22)&lt;510)),SUMPRODUCT(('Picked Students (raw)'!$B$2:$B$824=$C22)*('Picked Students (raw)'!$D$2:$D$824=$D22)*('Picked Students (raw)'!$C$2:$C$824&lt;&gt;"")*(('Picked Students (raw)'!$C$2:$C$824-$E22)&lt;510))))))</f>
        <v/>
      </c>
      <c r="AP22" s="5">
        <f>IF($A22="","",IF(AO22="-","-",IF($G22=0,0,AO22/$G22)))</f>
        <v/>
      </c>
      <c r="AQ22" s="3">
        <f>IF($A22="","",IF($E22="","",IF(TODAY()&lt;$E22+540,"-",IF($D22="",SUMPRODUCT(('Picked Students (raw)'!$B$2:$B$824=$C22)*('Picked Students (raw)'!$C$2:$C$824&lt;&gt;"")*(('Picked Students (raw)'!$C$2:$C$824-$E22)&lt;540)),SUMPRODUCT(('Picked Students (raw)'!$B$2:$B$824=$C22)*('Picked Students (raw)'!$D$2:$D$824=$D22)*('Picked Students (raw)'!$C$2:$C$824&lt;&gt;"")*(('Picked Students (raw)'!$C$2:$C$824-$E22)&lt;540))))))</f>
        <v/>
      </c>
      <c r="AR22" s="5">
        <f>IF($A22="","",IF(AQ22="-","-",IF($G22=0,0,AQ22/$G22)))</f>
        <v/>
      </c>
      <c r="AS22" s="3">
        <f>IF($A22="","",IF(AQ22="-","-",$H22-AQ22))</f>
        <v/>
      </c>
    </row>
    <row r="23">
      <c r="A23" s="3" t="inlineStr">
        <is>
          <t>Professional Certificate Course In Data Science - October 2024</t>
        </is>
      </c>
      <c r="B23" s="3">
        <f>IF($A23="","",IFERROR(IF(INDEX('Batch Enrollment (Metabase)'!$C$2:$C$47,MATCH($A23,'Batch Enrollment (Metabase)'!$A$2:$A$47,0))="GEM","A",IF(INDEX('Batch Enrollment (Metabase)'!$C$2:$C$47,MATCH($A23,'Batch Enrollment (Metabase)'!$A$2:$A$47,0))="Non-GEM","B","")),""))</f>
        <v/>
      </c>
      <c r="C23" s="3">
        <f>IF($A23="","",IFERROR(INDEX('Batch Enrollment (Metabase)'!$B$2:$B$47,MATCH($A23,'Batch Enrollment (Metabase)'!$A$2:$A$47,0)),""))</f>
        <v/>
      </c>
      <c r="D23" s="3">
        <f>IF($A23="","",IFERROR(INDEX('Batch Enrollment (Metabase)'!$C$2:$C$47,MATCH($A23,'Batch Enrollment (Metabase)'!$A$2:$A$47,0)),""))</f>
        <v/>
      </c>
      <c r="E23" s="4">
        <f>IF($A23="","",IFERROR(INDEX('Batch Enrollment (Metabase)'!$D$2:$D$47,MATCH($A23,'Batch Enrollment (Metabase)'!$A$2:$A$47,0)),""))</f>
        <v/>
      </c>
      <c r="F23" s="3">
        <f>IF($A23="","",IFERROR(INDEX('Batch Enrollment (Metabase)'!$E$2:$E$47,MATCH($A23,'Batch Enrollment (Metabase)'!$A$2:$A$47,0)),""))</f>
        <v/>
      </c>
      <c r="G23" s="3">
        <f>IF($A23="","",IFERROR(INDEX('Batch Enrollment (Metabase)'!$F$2:$F$47,MATCH($A23,'Batch Enrollment (Metabase)'!$A$2:$A$47,0)),""))</f>
        <v/>
      </c>
      <c r="H23" s="3">
        <f>IF($A23="","",IF($D23="",COUNTIF('Picked Students (raw)'!$B$2:$B$824,$C23),COUNTIFS('Picked Students (raw)'!$B$2:$B$824,$C23,'Picked Students (raw)'!$D$2:$D$824,$D23)))</f>
        <v/>
      </c>
      <c r="I23" s="3">
        <f>IF($A23="","",IF($E23="","",IF(TODAY()&lt;$E23+30,"-",IF($D23="",SUMPRODUCT(('Picked Students (raw)'!$B$2:$B$824=$C23)*('Picked Students (raw)'!$C$2:$C$824&lt;&gt;"")*(('Picked Students (raw)'!$C$2:$C$824-$E23)&lt;30)),SUMPRODUCT(('Picked Students (raw)'!$B$2:$B$824=$C23)*('Picked Students (raw)'!$D$2:$D$824=$D23)*('Picked Students (raw)'!$C$2:$C$824&lt;&gt;"")*(('Picked Students (raw)'!$C$2:$C$824-$E23)&lt;30))))))</f>
        <v/>
      </c>
      <c r="J23" s="5">
        <f>IF($A23="","",IF(I23="-","-",IF($G23=0,0,I23/$G23)))</f>
        <v/>
      </c>
      <c r="K23" s="3">
        <f>IF($A23="","",IF($E23="","",IF(TODAY()&lt;$E23+60,"-",IF($D23="",SUMPRODUCT(('Picked Students (raw)'!$B$2:$B$824=$C23)*('Picked Students (raw)'!$C$2:$C$824&lt;&gt;"")*(('Picked Students (raw)'!$C$2:$C$824-$E23)&lt;60)),SUMPRODUCT(('Picked Students (raw)'!$B$2:$B$824=$C23)*('Picked Students (raw)'!$D$2:$D$824=$D23)*('Picked Students (raw)'!$C$2:$C$824&lt;&gt;"")*(('Picked Students (raw)'!$C$2:$C$824-$E23)&lt;60))))))</f>
        <v/>
      </c>
      <c r="L23" s="5">
        <f>IF($A23="","",IF(K23="-","-",IF($G23=0,0,K23/$G23)))</f>
        <v/>
      </c>
      <c r="M23" s="3">
        <f>IF($A23="","",IF($E23="","",IF(TODAY()&lt;$E23+90,"-",IF($D23="",SUMPRODUCT(('Picked Students (raw)'!$B$2:$B$824=$C23)*('Picked Students (raw)'!$C$2:$C$824&lt;&gt;"")*(('Picked Students (raw)'!$C$2:$C$824-$E23)&lt;90)),SUMPRODUCT(('Picked Students (raw)'!$B$2:$B$824=$C23)*('Picked Students (raw)'!$D$2:$D$824=$D23)*('Picked Students (raw)'!$C$2:$C$824&lt;&gt;"")*(('Picked Students (raw)'!$C$2:$C$824-$E23)&lt;90))))))</f>
        <v/>
      </c>
      <c r="N23" s="5">
        <f>IF($A23="","",IF(M23="-","-",IF($G23=0,0,M23/$G23)))</f>
        <v/>
      </c>
      <c r="O23" s="3">
        <f>IF($A23="","",IF($E23="","",IF(TODAY()&lt;$E23+120,"-",IF($D23="",SUMPRODUCT(('Picked Students (raw)'!$B$2:$B$824=$C23)*('Picked Students (raw)'!$C$2:$C$824&lt;&gt;"")*(('Picked Students (raw)'!$C$2:$C$824-$E23)&lt;120)),SUMPRODUCT(('Picked Students (raw)'!$B$2:$B$824=$C23)*('Picked Students (raw)'!$D$2:$D$824=$D23)*('Picked Students (raw)'!$C$2:$C$824&lt;&gt;"")*(('Picked Students (raw)'!$C$2:$C$824-$E23)&lt;120))))))</f>
        <v/>
      </c>
      <c r="P23" s="5">
        <f>IF($A23="","",IF(O23="-","-",IF($G23=0,0,O23/$G23)))</f>
        <v/>
      </c>
      <c r="Q23" s="3">
        <f>IF($A23="","",IF($E23="","",IF(TODAY()&lt;$E23+150,"-",IF($D23="",SUMPRODUCT(('Picked Students (raw)'!$B$2:$B$824=$C23)*('Picked Students (raw)'!$C$2:$C$824&lt;&gt;"")*(('Picked Students (raw)'!$C$2:$C$824-$E23)&lt;150)),SUMPRODUCT(('Picked Students (raw)'!$B$2:$B$824=$C23)*('Picked Students (raw)'!$D$2:$D$824=$D23)*('Picked Students (raw)'!$C$2:$C$824&lt;&gt;"")*(('Picked Students (raw)'!$C$2:$C$824-$E23)&lt;150))))))</f>
        <v/>
      </c>
      <c r="R23" s="5">
        <f>IF($A23="","",IF(Q23="-","-",IF($G23=0,0,Q23/$G23)))</f>
        <v/>
      </c>
      <c r="S23" s="3">
        <f>IF($A23="","",IF($E23="","",IF(TODAY()&lt;$E23+180,"-",IF($D23="",SUMPRODUCT(('Picked Students (raw)'!$B$2:$B$824=$C23)*('Picked Students (raw)'!$C$2:$C$824&lt;&gt;"")*(('Picked Students (raw)'!$C$2:$C$824-$E23)&lt;180)),SUMPRODUCT(('Picked Students (raw)'!$B$2:$B$824=$C23)*('Picked Students (raw)'!$D$2:$D$824=$D23)*('Picked Students (raw)'!$C$2:$C$824&lt;&gt;"")*(('Picked Students (raw)'!$C$2:$C$824-$E23)&lt;180))))))</f>
        <v/>
      </c>
      <c r="T23" s="5">
        <f>IF($A23="","",IF(S23="-","-",IF($G23=0,0,S23/$G23)))</f>
        <v/>
      </c>
      <c r="U23" s="3">
        <f>IF($A23="","",IF($E23="","",IF(TODAY()&lt;$E23+210,"-",IF($D23="",SUMPRODUCT(('Picked Students (raw)'!$B$2:$B$824=$C23)*('Picked Students (raw)'!$C$2:$C$824&lt;&gt;"")*(('Picked Students (raw)'!$C$2:$C$824-$E23)&lt;210)),SUMPRODUCT(('Picked Students (raw)'!$B$2:$B$824=$C23)*('Picked Students (raw)'!$D$2:$D$824=$D23)*('Picked Students (raw)'!$C$2:$C$824&lt;&gt;"")*(('Picked Students (raw)'!$C$2:$C$824-$E23)&lt;210))))))</f>
        <v/>
      </c>
      <c r="V23" s="5">
        <f>IF($A23="","",IF(U23="-","-",IF($G23=0,0,U23/$G23)))</f>
        <v/>
      </c>
      <c r="W23" s="3">
        <f>IF($A23="","",IF($E23="","",IF(TODAY()&lt;$E23+240,"-",IF($D23="",SUMPRODUCT(('Picked Students (raw)'!$B$2:$B$824=$C23)*('Picked Students (raw)'!$C$2:$C$824&lt;&gt;"")*(('Picked Students (raw)'!$C$2:$C$824-$E23)&lt;240)),SUMPRODUCT(('Picked Students (raw)'!$B$2:$B$824=$C23)*('Picked Students (raw)'!$D$2:$D$824=$D23)*('Picked Students (raw)'!$C$2:$C$824&lt;&gt;"")*(('Picked Students (raw)'!$C$2:$C$824-$E23)&lt;240))))))</f>
        <v/>
      </c>
      <c r="X23" s="5">
        <f>IF($A23="","",IF(W23="-","-",IF($G23=0,0,W23/$G23)))</f>
        <v/>
      </c>
      <c r="Y23" s="3">
        <f>IF($A23="","",IF($E23="","",IF(TODAY()&lt;$E23+270,"-",IF($D23="",SUMPRODUCT(('Picked Students (raw)'!$B$2:$B$824=$C23)*('Picked Students (raw)'!$C$2:$C$824&lt;&gt;"")*(('Picked Students (raw)'!$C$2:$C$824-$E23)&lt;270)),SUMPRODUCT(('Picked Students (raw)'!$B$2:$B$824=$C23)*('Picked Students (raw)'!$D$2:$D$824=$D23)*('Picked Students (raw)'!$C$2:$C$824&lt;&gt;"")*(('Picked Students (raw)'!$C$2:$C$824-$E23)&lt;270))))))</f>
        <v/>
      </c>
      <c r="Z23" s="5">
        <f>IF($A23="","",IF(Y23="-","-",IF($G23=0,0,Y23/$G23)))</f>
        <v/>
      </c>
      <c r="AA23" s="3">
        <f>IF($A23="","",IF($E23="","",IF(TODAY()&lt;$E23+300,"-",IF($D23="",SUMPRODUCT(('Picked Students (raw)'!$B$2:$B$824=$C23)*('Picked Students (raw)'!$C$2:$C$824&lt;&gt;"")*(('Picked Students (raw)'!$C$2:$C$824-$E23)&lt;300)),SUMPRODUCT(('Picked Students (raw)'!$B$2:$B$824=$C23)*('Picked Students (raw)'!$D$2:$D$824=$D23)*('Picked Students (raw)'!$C$2:$C$824&lt;&gt;"")*(('Picked Students (raw)'!$C$2:$C$824-$E23)&lt;300))))))</f>
        <v/>
      </c>
      <c r="AB23" s="5">
        <f>IF($A23="","",IF(AA23="-","-",IF($G23=0,0,AA23/$G23)))</f>
        <v/>
      </c>
      <c r="AC23" s="3">
        <f>IF($A23="","",IF($E23="","",IF(TODAY()&lt;$E23+330,"-",IF($D23="",SUMPRODUCT(('Picked Students (raw)'!$B$2:$B$824=$C23)*('Picked Students (raw)'!$C$2:$C$824&lt;&gt;"")*(('Picked Students (raw)'!$C$2:$C$824-$E23)&lt;330)),SUMPRODUCT(('Picked Students (raw)'!$B$2:$B$824=$C23)*('Picked Students (raw)'!$D$2:$D$824=$D23)*('Picked Students (raw)'!$C$2:$C$824&lt;&gt;"")*(('Picked Students (raw)'!$C$2:$C$824-$E23)&lt;330))))))</f>
        <v/>
      </c>
      <c r="AD23" s="5">
        <f>IF($A23="","",IF(AC23="-","-",IF($G23=0,0,AC23/$G23)))</f>
        <v/>
      </c>
      <c r="AE23" s="3">
        <f>IF($A23="","",IF($E23="","",IF(TODAY()&lt;$E23+360,"-",IF($D23="",SUMPRODUCT(('Picked Students (raw)'!$B$2:$B$824=$C23)*('Picked Students (raw)'!$C$2:$C$824&lt;&gt;"")*(('Picked Students (raw)'!$C$2:$C$824-$E23)&lt;360)),SUMPRODUCT(('Picked Students (raw)'!$B$2:$B$824=$C23)*('Picked Students (raw)'!$D$2:$D$824=$D23)*('Picked Students (raw)'!$C$2:$C$824&lt;&gt;"")*(('Picked Students (raw)'!$C$2:$C$824-$E23)&lt;360))))))</f>
        <v/>
      </c>
      <c r="AF23" s="5">
        <f>IF($A23="","",IF(AE23="-","-",IF($G23=0,0,AE23/$G23)))</f>
        <v/>
      </c>
      <c r="AG23" s="3">
        <f>IF($A23="","",IF($E23="","",IF(TODAY()&lt;$E23+390,"-",IF($D23="",SUMPRODUCT(('Picked Students (raw)'!$B$2:$B$824=$C23)*('Picked Students (raw)'!$C$2:$C$824&lt;&gt;"")*(('Picked Students (raw)'!$C$2:$C$824-$E23)&lt;390)),SUMPRODUCT(('Picked Students (raw)'!$B$2:$B$824=$C23)*('Picked Students (raw)'!$D$2:$D$824=$D23)*('Picked Students (raw)'!$C$2:$C$824&lt;&gt;"")*(('Picked Students (raw)'!$C$2:$C$824-$E23)&lt;390))))))</f>
        <v/>
      </c>
      <c r="AH23" s="5">
        <f>IF($A23="","",IF(AG23="-","-",IF($G23=0,0,AG23/$G23)))</f>
        <v/>
      </c>
      <c r="AI23" s="3">
        <f>IF($A23="","",IF($E23="","",IF(TODAY()&lt;$E23+420,"-",IF($D23="",SUMPRODUCT(('Picked Students (raw)'!$B$2:$B$824=$C23)*('Picked Students (raw)'!$C$2:$C$824&lt;&gt;"")*(('Picked Students (raw)'!$C$2:$C$824-$E23)&lt;420)),SUMPRODUCT(('Picked Students (raw)'!$B$2:$B$824=$C23)*('Picked Students (raw)'!$D$2:$D$824=$D23)*('Picked Students (raw)'!$C$2:$C$824&lt;&gt;"")*(('Picked Students (raw)'!$C$2:$C$824-$E23)&lt;420))))))</f>
        <v/>
      </c>
      <c r="AJ23" s="5">
        <f>IF($A23="","",IF(AI23="-","-",IF($G23=0,0,AI23/$G23)))</f>
        <v/>
      </c>
      <c r="AK23" s="3">
        <f>IF($A23="","",IF($E23="","",IF(TODAY()&lt;$E23+450,"-",IF($D23="",SUMPRODUCT(('Picked Students (raw)'!$B$2:$B$824=$C23)*('Picked Students (raw)'!$C$2:$C$824&lt;&gt;"")*(('Picked Students (raw)'!$C$2:$C$824-$E23)&lt;450)),SUMPRODUCT(('Picked Students (raw)'!$B$2:$B$824=$C23)*('Picked Students (raw)'!$D$2:$D$824=$D23)*('Picked Students (raw)'!$C$2:$C$824&lt;&gt;"")*(('Picked Students (raw)'!$C$2:$C$824-$E23)&lt;450))))))</f>
        <v/>
      </c>
      <c r="AL23" s="5">
        <f>IF($A23="","",IF(AK23="-","-",IF($G23=0,0,AK23/$G23)))</f>
        <v/>
      </c>
      <c r="AM23" s="3">
        <f>IF($A23="","",IF($E23="","",IF(TODAY()&lt;$E23+480,"-",IF($D23="",SUMPRODUCT(('Picked Students (raw)'!$B$2:$B$824=$C23)*('Picked Students (raw)'!$C$2:$C$824&lt;&gt;"")*(('Picked Students (raw)'!$C$2:$C$824-$E23)&lt;480)),SUMPRODUCT(('Picked Students (raw)'!$B$2:$B$824=$C23)*('Picked Students (raw)'!$D$2:$D$824=$D23)*('Picked Students (raw)'!$C$2:$C$824&lt;&gt;"")*(('Picked Students (raw)'!$C$2:$C$824-$E23)&lt;480))))))</f>
        <v/>
      </c>
      <c r="AN23" s="5">
        <f>IF($A23="","",IF(AM23="-","-",IF($G23=0,0,AM23/$G23)))</f>
        <v/>
      </c>
      <c r="AO23" s="3">
        <f>IF($A23="","",IF($E23="","",IF(TODAY()&lt;$E23+510,"-",IF($D23="",SUMPRODUCT(('Picked Students (raw)'!$B$2:$B$824=$C23)*('Picked Students (raw)'!$C$2:$C$824&lt;&gt;"")*(('Picked Students (raw)'!$C$2:$C$824-$E23)&lt;510)),SUMPRODUCT(('Picked Students (raw)'!$B$2:$B$824=$C23)*('Picked Students (raw)'!$D$2:$D$824=$D23)*('Picked Students (raw)'!$C$2:$C$824&lt;&gt;"")*(('Picked Students (raw)'!$C$2:$C$824-$E23)&lt;510))))))</f>
        <v/>
      </c>
      <c r="AP23" s="5">
        <f>IF($A23="","",IF(AO23="-","-",IF($G23=0,0,AO23/$G23)))</f>
        <v/>
      </c>
      <c r="AQ23" s="3">
        <f>IF($A23="","",IF($E23="","",IF(TODAY()&lt;$E23+540,"-",IF($D23="",SUMPRODUCT(('Picked Students (raw)'!$B$2:$B$824=$C23)*('Picked Students (raw)'!$C$2:$C$824&lt;&gt;"")*(('Picked Students (raw)'!$C$2:$C$824-$E23)&lt;540)),SUMPRODUCT(('Picked Students (raw)'!$B$2:$B$824=$C23)*('Picked Students (raw)'!$D$2:$D$824=$D23)*('Picked Students (raw)'!$C$2:$C$824&lt;&gt;"")*(('Picked Students (raw)'!$C$2:$C$824-$E23)&lt;540))))))</f>
        <v/>
      </c>
      <c r="AR23" s="5">
        <f>IF($A23="","",IF(AQ23="-","-",IF($G23=0,0,AQ23/$G23)))</f>
        <v/>
      </c>
      <c r="AS23" s="3">
        <f>IF($A23="","",IF(AQ23="-","-",$H23-AQ23))</f>
        <v/>
      </c>
    </row>
    <row r="24">
      <c r="A24" s="3" t="inlineStr">
        <is>
          <t>Professional Certificate Course In Data Science - November 2024</t>
        </is>
      </c>
      <c r="B24" s="3">
        <f>IF($A24="","",IFERROR(IF(INDEX('Batch Enrollment (Metabase)'!$C$2:$C$47,MATCH($A24,'Batch Enrollment (Metabase)'!$A$2:$A$47,0))="GEM","A",IF(INDEX('Batch Enrollment (Metabase)'!$C$2:$C$47,MATCH($A24,'Batch Enrollment (Metabase)'!$A$2:$A$47,0))="Non-GEM","B","")),""))</f>
        <v/>
      </c>
      <c r="C24" s="3">
        <f>IF($A24="","",IFERROR(INDEX('Batch Enrollment (Metabase)'!$B$2:$B$47,MATCH($A24,'Batch Enrollment (Metabase)'!$A$2:$A$47,0)),""))</f>
        <v/>
      </c>
      <c r="D24" s="3">
        <f>IF($A24="","",IFERROR(INDEX('Batch Enrollment (Metabase)'!$C$2:$C$47,MATCH($A24,'Batch Enrollment (Metabase)'!$A$2:$A$47,0)),""))</f>
        <v/>
      </c>
      <c r="E24" s="4">
        <f>IF($A24="","",IFERROR(INDEX('Batch Enrollment (Metabase)'!$D$2:$D$47,MATCH($A24,'Batch Enrollment (Metabase)'!$A$2:$A$47,0)),""))</f>
        <v/>
      </c>
      <c r="F24" s="3">
        <f>IF($A24="","",IFERROR(INDEX('Batch Enrollment (Metabase)'!$E$2:$E$47,MATCH($A24,'Batch Enrollment (Metabase)'!$A$2:$A$47,0)),""))</f>
        <v/>
      </c>
      <c r="G24" s="3">
        <f>IF($A24="","",IFERROR(INDEX('Batch Enrollment (Metabase)'!$F$2:$F$47,MATCH($A24,'Batch Enrollment (Metabase)'!$A$2:$A$47,0)),""))</f>
        <v/>
      </c>
      <c r="H24" s="3">
        <f>IF($A24="","",IF($D24="",COUNTIF('Picked Students (raw)'!$B$2:$B$824,$C24),COUNTIFS('Picked Students (raw)'!$B$2:$B$824,$C24,'Picked Students (raw)'!$D$2:$D$824,$D24)))</f>
        <v/>
      </c>
      <c r="I24" s="3">
        <f>IF($A24="","",IF($E24="","",IF(TODAY()&lt;$E24+30,"-",IF($D24="",SUMPRODUCT(('Picked Students (raw)'!$B$2:$B$824=$C24)*('Picked Students (raw)'!$C$2:$C$824&lt;&gt;"")*(('Picked Students (raw)'!$C$2:$C$824-$E24)&lt;30)),SUMPRODUCT(('Picked Students (raw)'!$B$2:$B$824=$C24)*('Picked Students (raw)'!$D$2:$D$824=$D24)*('Picked Students (raw)'!$C$2:$C$824&lt;&gt;"")*(('Picked Students (raw)'!$C$2:$C$824-$E24)&lt;30))))))</f>
        <v/>
      </c>
      <c r="J24" s="5">
        <f>IF($A24="","",IF(I24="-","-",IF($G24=0,0,I24/$G24)))</f>
        <v/>
      </c>
      <c r="K24" s="3">
        <f>IF($A24="","",IF($E24="","",IF(TODAY()&lt;$E24+60,"-",IF($D24="",SUMPRODUCT(('Picked Students (raw)'!$B$2:$B$824=$C24)*('Picked Students (raw)'!$C$2:$C$824&lt;&gt;"")*(('Picked Students (raw)'!$C$2:$C$824-$E24)&lt;60)),SUMPRODUCT(('Picked Students (raw)'!$B$2:$B$824=$C24)*('Picked Students (raw)'!$D$2:$D$824=$D24)*('Picked Students (raw)'!$C$2:$C$824&lt;&gt;"")*(('Picked Students (raw)'!$C$2:$C$824-$E24)&lt;60))))))</f>
        <v/>
      </c>
      <c r="L24" s="5">
        <f>IF($A24="","",IF(K24="-","-",IF($G24=0,0,K24/$G24)))</f>
        <v/>
      </c>
      <c r="M24" s="3">
        <f>IF($A24="","",IF($E24="","",IF(TODAY()&lt;$E24+90,"-",IF($D24="",SUMPRODUCT(('Picked Students (raw)'!$B$2:$B$824=$C24)*('Picked Students (raw)'!$C$2:$C$824&lt;&gt;"")*(('Picked Students (raw)'!$C$2:$C$824-$E24)&lt;90)),SUMPRODUCT(('Picked Students (raw)'!$B$2:$B$824=$C24)*('Picked Students (raw)'!$D$2:$D$824=$D24)*('Picked Students (raw)'!$C$2:$C$824&lt;&gt;"")*(('Picked Students (raw)'!$C$2:$C$824-$E24)&lt;90))))))</f>
        <v/>
      </c>
      <c r="N24" s="5">
        <f>IF($A24="","",IF(M24="-","-",IF($G24=0,0,M24/$G24)))</f>
        <v/>
      </c>
      <c r="O24" s="3">
        <f>IF($A24="","",IF($E24="","",IF(TODAY()&lt;$E24+120,"-",IF($D24="",SUMPRODUCT(('Picked Students (raw)'!$B$2:$B$824=$C24)*('Picked Students (raw)'!$C$2:$C$824&lt;&gt;"")*(('Picked Students (raw)'!$C$2:$C$824-$E24)&lt;120)),SUMPRODUCT(('Picked Students (raw)'!$B$2:$B$824=$C24)*('Picked Students (raw)'!$D$2:$D$824=$D24)*('Picked Students (raw)'!$C$2:$C$824&lt;&gt;"")*(('Picked Students (raw)'!$C$2:$C$824-$E24)&lt;120))))))</f>
        <v/>
      </c>
      <c r="P24" s="5">
        <f>IF($A24="","",IF(O24="-","-",IF($G24=0,0,O24/$G24)))</f>
        <v/>
      </c>
      <c r="Q24" s="3">
        <f>IF($A24="","",IF($E24="","",IF(TODAY()&lt;$E24+150,"-",IF($D24="",SUMPRODUCT(('Picked Students (raw)'!$B$2:$B$824=$C24)*('Picked Students (raw)'!$C$2:$C$824&lt;&gt;"")*(('Picked Students (raw)'!$C$2:$C$824-$E24)&lt;150)),SUMPRODUCT(('Picked Students (raw)'!$B$2:$B$824=$C24)*('Picked Students (raw)'!$D$2:$D$824=$D24)*('Picked Students (raw)'!$C$2:$C$824&lt;&gt;"")*(('Picked Students (raw)'!$C$2:$C$824-$E24)&lt;150))))))</f>
        <v/>
      </c>
      <c r="R24" s="5">
        <f>IF($A24="","",IF(Q24="-","-",IF($G24=0,0,Q24/$G24)))</f>
        <v/>
      </c>
      <c r="S24" s="3">
        <f>IF($A24="","",IF($E24="","",IF(TODAY()&lt;$E24+180,"-",IF($D24="",SUMPRODUCT(('Picked Students (raw)'!$B$2:$B$824=$C24)*('Picked Students (raw)'!$C$2:$C$824&lt;&gt;"")*(('Picked Students (raw)'!$C$2:$C$824-$E24)&lt;180)),SUMPRODUCT(('Picked Students (raw)'!$B$2:$B$824=$C24)*('Picked Students (raw)'!$D$2:$D$824=$D24)*('Picked Students (raw)'!$C$2:$C$824&lt;&gt;"")*(('Picked Students (raw)'!$C$2:$C$824-$E24)&lt;180))))))</f>
        <v/>
      </c>
      <c r="T24" s="5">
        <f>IF($A24="","",IF(S24="-","-",IF($G24=0,0,S24/$G24)))</f>
        <v/>
      </c>
      <c r="U24" s="3">
        <f>IF($A24="","",IF($E24="","",IF(TODAY()&lt;$E24+210,"-",IF($D24="",SUMPRODUCT(('Picked Students (raw)'!$B$2:$B$824=$C24)*('Picked Students (raw)'!$C$2:$C$824&lt;&gt;"")*(('Picked Students (raw)'!$C$2:$C$824-$E24)&lt;210)),SUMPRODUCT(('Picked Students (raw)'!$B$2:$B$824=$C24)*('Picked Students (raw)'!$D$2:$D$824=$D24)*('Picked Students (raw)'!$C$2:$C$824&lt;&gt;"")*(('Picked Students (raw)'!$C$2:$C$824-$E24)&lt;210))))))</f>
        <v/>
      </c>
      <c r="V24" s="5">
        <f>IF($A24="","",IF(U24="-","-",IF($G24=0,0,U24/$G24)))</f>
        <v/>
      </c>
      <c r="W24" s="3">
        <f>IF($A24="","",IF($E24="","",IF(TODAY()&lt;$E24+240,"-",IF($D24="",SUMPRODUCT(('Picked Students (raw)'!$B$2:$B$824=$C24)*('Picked Students (raw)'!$C$2:$C$824&lt;&gt;"")*(('Picked Students (raw)'!$C$2:$C$824-$E24)&lt;240)),SUMPRODUCT(('Picked Students (raw)'!$B$2:$B$824=$C24)*('Picked Students (raw)'!$D$2:$D$824=$D24)*('Picked Students (raw)'!$C$2:$C$824&lt;&gt;"")*(('Picked Students (raw)'!$C$2:$C$824-$E24)&lt;240))))))</f>
        <v/>
      </c>
      <c r="X24" s="5">
        <f>IF($A24="","",IF(W24="-","-",IF($G24=0,0,W24/$G24)))</f>
        <v/>
      </c>
      <c r="Y24" s="3">
        <f>IF($A24="","",IF($E24="","",IF(TODAY()&lt;$E24+270,"-",IF($D24="",SUMPRODUCT(('Picked Students (raw)'!$B$2:$B$824=$C24)*('Picked Students (raw)'!$C$2:$C$824&lt;&gt;"")*(('Picked Students (raw)'!$C$2:$C$824-$E24)&lt;270)),SUMPRODUCT(('Picked Students (raw)'!$B$2:$B$824=$C24)*('Picked Students (raw)'!$D$2:$D$824=$D24)*('Picked Students (raw)'!$C$2:$C$824&lt;&gt;"")*(('Picked Students (raw)'!$C$2:$C$824-$E24)&lt;270))))))</f>
        <v/>
      </c>
      <c r="Z24" s="5">
        <f>IF($A24="","",IF(Y24="-","-",IF($G24=0,0,Y24/$G24)))</f>
        <v/>
      </c>
      <c r="AA24" s="3">
        <f>IF($A24="","",IF($E24="","",IF(TODAY()&lt;$E24+300,"-",IF($D24="",SUMPRODUCT(('Picked Students (raw)'!$B$2:$B$824=$C24)*('Picked Students (raw)'!$C$2:$C$824&lt;&gt;"")*(('Picked Students (raw)'!$C$2:$C$824-$E24)&lt;300)),SUMPRODUCT(('Picked Students (raw)'!$B$2:$B$824=$C24)*('Picked Students (raw)'!$D$2:$D$824=$D24)*('Picked Students (raw)'!$C$2:$C$824&lt;&gt;"")*(('Picked Students (raw)'!$C$2:$C$824-$E24)&lt;300))))))</f>
        <v/>
      </c>
      <c r="AB24" s="5">
        <f>IF($A24="","",IF(AA24="-","-",IF($G24=0,0,AA24/$G24)))</f>
        <v/>
      </c>
      <c r="AC24" s="3">
        <f>IF($A24="","",IF($E24="","",IF(TODAY()&lt;$E24+330,"-",IF($D24="",SUMPRODUCT(('Picked Students (raw)'!$B$2:$B$824=$C24)*('Picked Students (raw)'!$C$2:$C$824&lt;&gt;"")*(('Picked Students (raw)'!$C$2:$C$824-$E24)&lt;330)),SUMPRODUCT(('Picked Students (raw)'!$B$2:$B$824=$C24)*('Picked Students (raw)'!$D$2:$D$824=$D24)*('Picked Students (raw)'!$C$2:$C$824&lt;&gt;"")*(('Picked Students (raw)'!$C$2:$C$824-$E24)&lt;330))))))</f>
        <v/>
      </c>
      <c r="AD24" s="5">
        <f>IF($A24="","",IF(AC24="-","-",IF($G24=0,0,AC24/$G24)))</f>
        <v/>
      </c>
      <c r="AE24" s="3">
        <f>IF($A24="","",IF($E24="","",IF(TODAY()&lt;$E24+360,"-",IF($D24="",SUMPRODUCT(('Picked Students (raw)'!$B$2:$B$824=$C24)*('Picked Students (raw)'!$C$2:$C$824&lt;&gt;"")*(('Picked Students (raw)'!$C$2:$C$824-$E24)&lt;360)),SUMPRODUCT(('Picked Students (raw)'!$B$2:$B$824=$C24)*('Picked Students (raw)'!$D$2:$D$824=$D24)*('Picked Students (raw)'!$C$2:$C$824&lt;&gt;"")*(('Picked Students (raw)'!$C$2:$C$824-$E24)&lt;360))))))</f>
        <v/>
      </c>
      <c r="AF24" s="5">
        <f>IF($A24="","",IF(AE24="-","-",IF($G24=0,0,AE24/$G24)))</f>
        <v/>
      </c>
      <c r="AG24" s="3">
        <f>IF($A24="","",IF($E24="","",IF(TODAY()&lt;$E24+390,"-",IF($D24="",SUMPRODUCT(('Picked Students (raw)'!$B$2:$B$824=$C24)*('Picked Students (raw)'!$C$2:$C$824&lt;&gt;"")*(('Picked Students (raw)'!$C$2:$C$824-$E24)&lt;390)),SUMPRODUCT(('Picked Students (raw)'!$B$2:$B$824=$C24)*('Picked Students (raw)'!$D$2:$D$824=$D24)*('Picked Students (raw)'!$C$2:$C$824&lt;&gt;"")*(('Picked Students (raw)'!$C$2:$C$824-$E24)&lt;390))))))</f>
        <v/>
      </c>
      <c r="AH24" s="5">
        <f>IF($A24="","",IF(AG24="-","-",IF($G24=0,0,AG24/$G24)))</f>
        <v/>
      </c>
      <c r="AI24" s="3">
        <f>IF($A24="","",IF($E24="","",IF(TODAY()&lt;$E24+420,"-",IF($D24="",SUMPRODUCT(('Picked Students (raw)'!$B$2:$B$824=$C24)*('Picked Students (raw)'!$C$2:$C$824&lt;&gt;"")*(('Picked Students (raw)'!$C$2:$C$824-$E24)&lt;420)),SUMPRODUCT(('Picked Students (raw)'!$B$2:$B$824=$C24)*('Picked Students (raw)'!$D$2:$D$824=$D24)*('Picked Students (raw)'!$C$2:$C$824&lt;&gt;"")*(('Picked Students (raw)'!$C$2:$C$824-$E24)&lt;420))))))</f>
        <v/>
      </c>
      <c r="AJ24" s="5">
        <f>IF($A24="","",IF(AI24="-","-",IF($G24=0,0,AI24/$G24)))</f>
        <v/>
      </c>
      <c r="AK24" s="3">
        <f>IF($A24="","",IF($E24="","",IF(TODAY()&lt;$E24+450,"-",IF($D24="",SUMPRODUCT(('Picked Students (raw)'!$B$2:$B$824=$C24)*('Picked Students (raw)'!$C$2:$C$824&lt;&gt;"")*(('Picked Students (raw)'!$C$2:$C$824-$E24)&lt;450)),SUMPRODUCT(('Picked Students (raw)'!$B$2:$B$824=$C24)*('Picked Students (raw)'!$D$2:$D$824=$D24)*('Picked Students (raw)'!$C$2:$C$824&lt;&gt;"")*(('Picked Students (raw)'!$C$2:$C$824-$E24)&lt;450))))))</f>
        <v/>
      </c>
      <c r="AL24" s="5">
        <f>IF($A24="","",IF(AK24="-","-",IF($G24=0,0,AK24/$G24)))</f>
        <v/>
      </c>
      <c r="AM24" s="3">
        <f>IF($A24="","",IF($E24="","",IF(TODAY()&lt;$E24+480,"-",IF($D24="",SUMPRODUCT(('Picked Students (raw)'!$B$2:$B$824=$C24)*('Picked Students (raw)'!$C$2:$C$824&lt;&gt;"")*(('Picked Students (raw)'!$C$2:$C$824-$E24)&lt;480)),SUMPRODUCT(('Picked Students (raw)'!$B$2:$B$824=$C24)*('Picked Students (raw)'!$D$2:$D$824=$D24)*('Picked Students (raw)'!$C$2:$C$824&lt;&gt;"")*(('Picked Students (raw)'!$C$2:$C$824-$E24)&lt;480))))))</f>
        <v/>
      </c>
      <c r="AN24" s="5">
        <f>IF($A24="","",IF(AM24="-","-",IF($G24=0,0,AM24/$G24)))</f>
        <v/>
      </c>
      <c r="AO24" s="3">
        <f>IF($A24="","",IF($E24="","",IF(TODAY()&lt;$E24+510,"-",IF($D24="",SUMPRODUCT(('Picked Students (raw)'!$B$2:$B$824=$C24)*('Picked Students (raw)'!$C$2:$C$824&lt;&gt;"")*(('Picked Students (raw)'!$C$2:$C$824-$E24)&lt;510)),SUMPRODUCT(('Picked Students (raw)'!$B$2:$B$824=$C24)*('Picked Students (raw)'!$D$2:$D$824=$D24)*('Picked Students (raw)'!$C$2:$C$824&lt;&gt;"")*(('Picked Students (raw)'!$C$2:$C$824-$E24)&lt;510))))))</f>
        <v/>
      </c>
      <c r="AP24" s="5">
        <f>IF($A24="","",IF(AO24="-","-",IF($G24=0,0,AO24/$G24)))</f>
        <v/>
      </c>
      <c r="AQ24" s="3">
        <f>IF($A24="","",IF($E24="","",IF(TODAY()&lt;$E24+540,"-",IF($D24="",SUMPRODUCT(('Picked Students (raw)'!$B$2:$B$824=$C24)*('Picked Students (raw)'!$C$2:$C$824&lt;&gt;"")*(('Picked Students (raw)'!$C$2:$C$824-$E24)&lt;540)),SUMPRODUCT(('Picked Students (raw)'!$B$2:$B$824=$C24)*('Picked Students (raw)'!$D$2:$D$824=$D24)*('Picked Students (raw)'!$C$2:$C$824&lt;&gt;"")*(('Picked Students (raw)'!$C$2:$C$824-$E24)&lt;540))))))</f>
        <v/>
      </c>
      <c r="AR24" s="5">
        <f>IF($A24="","",IF(AQ24="-","-",IF($G24=0,0,AQ24/$G24)))</f>
        <v/>
      </c>
      <c r="AS24" s="3">
        <f>IF($A24="","",IF(AQ24="-","-",$H24-AQ24))</f>
        <v/>
      </c>
    </row>
    <row r="25">
      <c r="A25" s="3" t="inlineStr">
        <is>
          <t>Professional Certificate Course In Data Science - December 2024</t>
        </is>
      </c>
      <c r="B25" s="3">
        <f>IF($A25="","",IFERROR(IF(INDEX('Batch Enrollment (Metabase)'!$C$2:$C$47,MATCH($A25,'Batch Enrollment (Metabase)'!$A$2:$A$47,0))="GEM","A",IF(INDEX('Batch Enrollment (Metabase)'!$C$2:$C$47,MATCH($A25,'Batch Enrollment (Metabase)'!$A$2:$A$47,0))="Non-GEM","B","")),""))</f>
        <v/>
      </c>
      <c r="C25" s="3">
        <f>IF($A25="","",IFERROR(INDEX('Batch Enrollment (Metabase)'!$B$2:$B$47,MATCH($A25,'Batch Enrollment (Metabase)'!$A$2:$A$47,0)),""))</f>
        <v/>
      </c>
      <c r="D25" s="3">
        <f>IF($A25="","",IFERROR(INDEX('Batch Enrollment (Metabase)'!$C$2:$C$47,MATCH($A25,'Batch Enrollment (Metabase)'!$A$2:$A$47,0)),""))</f>
        <v/>
      </c>
      <c r="E25" s="4">
        <f>IF($A25="","",IFERROR(INDEX('Batch Enrollment (Metabase)'!$D$2:$D$47,MATCH($A25,'Batch Enrollment (Metabase)'!$A$2:$A$47,0)),""))</f>
        <v/>
      </c>
      <c r="F25" s="3">
        <f>IF($A25="","",IFERROR(INDEX('Batch Enrollment (Metabase)'!$E$2:$E$47,MATCH($A25,'Batch Enrollment (Metabase)'!$A$2:$A$47,0)),""))</f>
        <v/>
      </c>
      <c r="G25" s="3">
        <f>IF($A25="","",IFERROR(INDEX('Batch Enrollment (Metabase)'!$F$2:$F$47,MATCH($A25,'Batch Enrollment (Metabase)'!$A$2:$A$47,0)),""))</f>
        <v/>
      </c>
      <c r="H25" s="3">
        <f>IF($A25="","",IF($D25="",COUNTIF('Picked Students (raw)'!$B$2:$B$824,$C25),COUNTIFS('Picked Students (raw)'!$B$2:$B$824,$C25,'Picked Students (raw)'!$D$2:$D$824,$D25)))</f>
        <v/>
      </c>
      <c r="I25" s="3">
        <f>IF($A25="","",IF($E25="","",IF(TODAY()&lt;$E25+30,"-",IF($D25="",SUMPRODUCT(('Picked Students (raw)'!$B$2:$B$824=$C25)*('Picked Students (raw)'!$C$2:$C$824&lt;&gt;"")*(('Picked Students (raw)'!$C$2:$C$824-$E25)&lt;30)),SUMPRODUCT(('Picked Students (raw)'!$B$2:$B$824=$C25)*('Picked Students (raw)'!$D$2:$D$824=$D25)*('Picked Students (raw)'!$C$2:$C$824&lt;&gt;"")*(('Picked Students (raw)'!$C$2:$C$824-$E25)&lt;30))))))</f>
        <v/>
      </c>
      <c r="J25" s="5">
        <f>IF($A25="","",IF(I25="-","-",IF($G25=0,0,I25/$G25)))</f>
        <v/>
      </c>
      <c r="K25" s="3">
        <f>IF($A25="","",IF($E25="","",IF(TODAY()&lt;$E25+60,"-",IF($D25="",SUMPRODUCT(('Picked Students (raw)'!$B$2:$B$824=$C25)*('Picked Students (raw)'!$C$2:$C$824&lt;&gt;"")*(('Picked Students (raw)'!$C$2:$C$824-$E25)&lt;60)),SUMPRODUCT(('Picked Students (raw)'!$B$2:$B$824=$C25)*('Picked Students (raw)'!$D$2:$D$824=$D25)*('Picked Students (raw)'!$C$2:$C$824&lt;&gt;"")*(('Picked Students (raw)'!$C$2:$C$824-$E25)&lt;60))))))</f>
        <v/>
      </c>
      <c r="L25" s="5">
        <f>IF($A25="","",IF(K25="-","-",IF($G25=0,0,K25/$G25)))</f>
        <v/>
      </c>
      <c r="M25" s="3">
        <f>IF($A25="","",IF($E25="","",IF(TODAY()&lt;$E25+90,"-",IF($D25="",SUMPRODUCT(('Picked Students (raw)'!$B$2:$B$824=$C25)*('Picked Students (raw)'!$C$2:$C$824&lt;&gt;"")*(('Picked Students (raw)'!$C$2:$C$824-$E25)&lt;90)),SUMPRODUCT(('Picked Students (raw)'!$B$2:$B$824=$C25)*('Picked Students (raw)'!$D$2:$D$824=$D25)*('Picked Students (raw)'!$C$2:$C$824&lt;&gt;"")*(('Picked Students (raw)'!$C$2:$C$824-$E25)&lt;90))))))</f>
        <v/>
      </c>
      <c r="N25" s="5">
        <f>IF($A25="","",IF(M25="-","-",IF($G25=0,0,M25/$G25)))</f>
        <v/>
      </c>
      <c r="O25" s="3">
        <f>IF($A25="","",IF($E25="","",IF(TODAY()&lt;$E25+120,"-",IF($D25="",SUMPRODUCT(('Picked Students (raw)'!$B$2:$B$824=$C25)*('Picked Students (raw)'!$C$2:$C$824&lt;&gt;"")*(('Picked Students (raw)'!$C$2:$C$824-$E25)&lt;120)),SUMPRODUCT(('Picked Students (raw)'!$B$2:$B$824=$C25)*('Picked Students (raw)'!$D$2:$D$824=$D25)*('Picked Students (raw)'!$C$2:$C$824&lt;&gt;"")*(('Picked Students (raw)'!$C$2:$C$824-$E25)&lt;120))))))</f>
        <v/>
      </c>
      <c r="P25" s="5">
        <f>IF($A25="","",IF(O25="-","-",IF($G25=0,0,O25/$G25)))</f>
        <v/>
      </c>
      <c r="Q25" s="3">
        <f>IF($A25="","",IF($E25="","",IF(TODAY()&lt;$E25+150,"-",IF($D25="",SUMPRODUCT(('Picked Students (raw)'!$B$2:$B$824=$C25)*('Picked Students (raw)'!$C$2:$C$824&lt;&gt;"")*(('Picked Students (raw)'!$C$2:$C$824-$E25)&lt;150)),SUMPRODUCT(('Picked Students (raw)'!$B$2:$B$824=$C25)*('Picked Students (raw)'!$D$2:$D$824=$D25)*('Picked Students (raw)'!$C$2:$C$824&lt;&gt;"")*(('Picked Students (raw)'!$C$2:$C$824-$E25)&lt;150))))))</f>
        <v/>
      </c>
      <c r="R25" s="5">
        <f>IF($A25="","",IF(Q25="-","-",IF($G25=0,0,Q25/$G25)))</f>
        <v/>
      </c>
      <c r="S25" s="3">
        <f>IF($A25="","",IF($E25="","",IF(TODAY()&lt;$E25+180,"-",IF($D25="",SUMPRODUCT(('Picked Students (raw)'!$B$2:$B$824=$C25)*('Picked Students (raw)'!$C$2:$C$824&lt;&gt;"")*(('Picked Students (raw)'!$C$2:$C$824-$E25)&lt;180)),SUMPRODUCT(('Picked Students (raw)'!$B$2:$B$824=$C25)*('Picked Students (raw)'!$D$2:$D$824=$D25)*('Picked Students (raw)'!$C$2:$C$824&lt;&gt;"")*(('Picked Students (raw)'!$C$2:$C$824-$E25)&lt;180))))))</f>
        <v/>
      </c>
      <c r="T25" s="5">
        <f>IF($A25="","",IF(S25="-","-",IF($G25=0,0,S25/$G25)))</f>
        <v/>
      </c>
      <c r="U25" s="3">
        <f>IF($A25="","",IF($E25="","",IF(TODAY()&lt;$E25+210,"-",IF($D25="",SUMPRODUCT(('Picked Students (raw)'!$B$2:$B$824=$C25)*('Picked Students (raw)'!$C$2:$C$824&lt;&gt;"")*(('Picked Students (raw)'!$C$2:$C$824-$E25)&lt;210)),SUMPRODUCT(('Picked Students (raw)'!$B$2:$B$824=$C25)*('Picked Students (raw)'!$D$2:$D$824=$D25)*('Picked Students (raw)'!$C$2:$C$824&lt;&gt;"")*(('Picked Students (raw)'!$C$2:$C$824-$E25)&lt;210))))))</f>
        <v/>
      </c>
      <c r="V25" s="5">
        <f>IF($A25="","",IF(U25="-","-",IF($G25=0,0,U25/$G25)))</f>
        <v/>
      </c>
      <c r="W25" s="3">
        <f>IF($A25="","",IF($E25="","",IF(TODAY()&lt;$E25+240,"-",IF($D25="",SUMPRODUCT(('Picked Students (raw)'!$B$2:$B$824=$C25)*('Picked Students (raw)'!$C$2:$C$824&lt;&gt;"")*(('Picked Students (raw)'!$C$2:$C$824-$E25)&lt;240)),SUMPRODUCT(('Picked Students (raw)'!$B$2:$B$824=$C25)*('Picked Students (raw)'!$D$2:$D$824=$D25)*('Picked Students (raw)'!$C$2:$C$824&lt;&gt;"")*(('Picked Students (raw)'!$C$2:$C$824-$E25)&lt;240))))))</f>
        <v/>
      </c>
      <c r="X25" s="5">
        <f>IF($A25="","",IF(W25="-","-",IF($G25=0,0,W25/$G25)))</f>
        <v/>
      </c>
      <c r="Y25" s="3">
        <f>IF($A25="","",IF($E25="","",IF(TODAY()&lt;$E25+270,"-",IF($D25="",SUMPRODUCT(('Picked Students (raw)'!$B$2:$B$824=$C25)*('Picked Students (raw)'!$C$2:$C$824&lt;&gt;"")*(('Picked Students (raw)'!$C$2:$C$824-$E25)&lt;270)),SUMPRODUCT(('Picked Students (raw)'!$B$2:$B$824=$C25)*('Picked Students (raw)'!$D$2:$D$824=$D25)*('Picked Students (raw)'!$C$2:$C$824&lt;&gt;"")*(('Picked Students (raw)'!$C$2:$C$824-$E25)&lt;270))))))</f>
        <v/>
      </c>
      <c r="Z25" s="5">
        <f>IF($A25="","",IF(Y25="-","-",IF($G25=0,0,Y25/$G25)))</f>
        <v/>
      </c>
      <c r="AA25" s="3">
        <f>IF($A25="","",IF($E25="","",IF(TODAY()&lt;$E25+300,"-",IF($D25="",SUMPRODUCT(('Picked Students (raw)'!$B$2:$B$824=$C25)*('Picked Students (raw)'!$C$2:$C$824&lt;&gt;"")*(('Picked Students (raw)'!$C$2:$C$824-$E25)&lt;300)),SUMPRODUCT(('Picked Students (raw)'!$B$2:$B$824=$C25)*('Picked Students (raw)'!$D$2:$D$824=$D25)*('Picked Students (raw)'!$C$2:$C$824&lt;&gt;"")*(('Picked Students (raw)'!$C$2:$C$824-$E25)&lt;300))))))</f>
        <v/>
      </c>
      <c r="AB25" s="5">
        <f>IF($A25="","",IF(AA25="-","-",IF($G25=0,0,AA25/$G25)))</f>
        <v/>
      </c>
      <c r="AC25" s="3">
        <f>IF($A25="","",IF($E25="","",IF(TODAY()&lt;$E25+330,"-",IF($D25="",SUMPRODUCT(('Picked Students (raw)'!$B$2:$B$824=$C25)*('Picked Students (raw)'!$C$2:$C$824&lt;&gt;"")*(('Picked Students (raw)'!$C$2:$C$824-$E25)&lt;330)),SUMPRODUCT(('Picked Students (raw)'!$B$2:$B$824=$C25)*('Picked Students (raw)'!$D$2:$D$824=$D25)*('Picked Students (raw)'!$C$2:$C$824&lt;&gt;"")*(('Picked Students (raw)'!$C$2:$C$824-$E25)&lt;330))))))</f>
        <v/>
      </c>
      <c r="AD25" s="5">
        <f>IF($A25="","",IF(AC25="-","-",IF($G25=0,0,AC25/$G25)))</f>
        <v/>
      </c>
      <c r="AE25" s="3">
        <f>IF($A25="","",IF($E25="","",IF(TODAY()&lt;$E25+360,"-",IF($D25="",SUMPRODUCT(('Picked Students (raw)'!$B$2:$B$824=$C25)*('Picked Students (raw)'!$C$2:$C$824&lt;&gt;"")*(('Picked Students (raw)'!$C$2:$C$824-$E25)&lt;360)),SUMPRODUCT(('Picked Students (raw)'!$B$2:$B$824=$C25)*('Picked Students (raw)'!$D$2:$D$824=$D25)*('Picked Students (raw)'!$C$2:$C$824&lt;&gt;"")*(('Picked Students (raw)'!$C$2:$C$824-$E25)&lt;360))))))</f>
        <v/>
      </c>
      <c r="AF25" s="5">
        <f>IF($A25="","",IF(AE25="-","-",IF($G25=0,0,AE25/$G25)))</f>
        <v/>
      </c>
      <c r="AG25" s="3">
        <f>IF($A25="","",IF($E25="","",IF(TODAY()&lt;$E25+390,"-",IF($D25="",SUMPRODUCT(('Picked Students (raw)'!$B$2:$B$824=$C25)*('Picked Students (raw)'!$C$2:$C$824&lt;&gt;"")*(('Picked Students (raw)'!$C$2:$C$824-$E25)&lt;390)),SUMPRODUCT(('Picked Students (raw)'!$B$2:$B$824=$C25)*('Picked Students (raw)'!$D$2:$D$824=$D25)*('Picked Students (raw)'!$C$2:$C$824&lt;&gt;"")*(('Picked Students (raw)'!$C$2:$C$824-$E25)&lt;390))))))</f>
        <v/>
      </c>
      <c r="AH25" s="5">
        <f>IF($A25="","",IF(AG25="-","-",IF($G25=0,0,AG25/$G25)))</f>
        <v/>
      </c>
      <c r="AI25" s="3">
        <f>IF($A25="","",IF($E25="","",IF(TODAY()&lt;$E25+420,"-",IF($D25="",SUMPRODUCT(('Picked Students (raw)'!$B$2:$B$824=$C25)*('Picked Students (raw)'!$C$2:$C$824&lt;&gt;"")*(('Picked Students (raw)'!$C$2:$C$824-$E25)&lt;420)),SUMPRODUCT(('Picked Students (raw)'!$B$2:$B$824=$C25)*('Picked Students (raw)'!$D$2:$D$824=$D25)*('Picked Students (raw)'!$C$2:$C$824&lt;&gt;"")*(('Picked Students (raw)'!$C$2:$C$824-$E25)&lt;420))))))</f>
        <v/>
      </c>
      <c r="AJ25" s="5">
        <f>IF($A25="","",IF(AI25="-","-",IF($G25=0,0,AI25/$G25)))</f>
        <v/>
      </c>
      <c r="AK25" s="3">
        <f>IF($A25="","",IF($E25="","",IF(TODAY()&lt;$E25+450,"-",IF($D25="",SUMPRODUCT(('Picked Students (raw)'!$B$2:$B$824=$C25)*('Picked Students (raw)'!$C$2:$C$824&lt;&gt;"")*(('Picked Students (raw)'!$C$2:$C$824-$E25)&lt;450)),SUMPRODUCT(('Picked Students (raw)'!$B$2:$B$824=$C25)*('Picked Students (raw)'!$D$2:$D$824=$D25)*('Picked Students (raw)'!$C$2:$C$824&lt;&gt;"")*(('Picked Students (raw)'!$C$2:$C$824-$E25)&lt;450))))))</f>
        <v/>
      </c>
      <c r="AL25" s="5">
        <f>IF($A25="","",IF(AK25="-","-",IF($G25=0,0,AK25/$G25)))</f>
        <v/>
      </c>
      <c r="AM25" s="3">
        <f>IF($A25="","",IF($E25="","",IF(TODAY()&lt;$E25+480,"-",IF($D25="",SUMPRODUCT(('Picked Students (raw)'!$B$2:$B$824=$C25)*('Picked Students (raw)'!$C$2:$C$824&lt;&gt;"")*(('Picked Students (raw)'!$C$2:$C$824-$E25)&lt;480)),SUMPRODUCT(('Picked Students (raw)'!$B$2:$B$824=$C25)*('Picked Students (raw)'!$D$2:$D$824=$D25)*('Picked Students (raw)'!$C$2:$C$824&lt;&gt;"")*(('Picked Students (raw)'!$C$2:$C$824-$E25)&lt;480))))))</f>
        <v/>
      </c>
      <c r="AN25" s="5">
        <f>IF($A25="","",IF(AM25="-","-",IF($G25=0,0,AM25/$G25)))</f>
        <v/>
      </c>
      <c r="AO25" s="3">
        <f>IF($A25="","",IF($E25="","",IF(TODAY()&lt;$E25+510,"-",IF($D25="",SUMPRODUCT(('Picked Students (raw)'!$B$2:$B$824=$C25)*('Picked Students (raw)'!$C$2:$C$824&lt;&gt;"")*(('Picked Students (raw)'!$C$2:$C$824-$E25)&lt;510)),SUMPRODUCT(('Picked Students (raw)'!$B$2:$B$824=$C25)*('Picked Students (raw)'!$D$2:$D$824=$D25)*('Picked Students (raw)'!$C$2:$C$824&lt;&gt;"")*(('Picked Students (raw)'!$C$2:$C$824-$E25)&lt;510))))))</f>
        <v/>
      </c>
      <c r="AP25" s="5">
        <f>IF($A25="","",IF(AO25="-","-",IF($G25=0,0,AO25/$G25)))</f>
        <v/>
      </c>
      <c r="AQ25" s="3">
        <f>IF($A25="","",IF($E25="","",IF(TODAY()&lt;$E25+540,"-",IF($D25="",SUMPRODUCT(('Picked Students (raw)'!$B$2:$B$824=$C25)*('Picked Students (raw)'!$C$2:$C$824&lt;&gt;"")*(('Picked Students (raw)'!$C$2:$C$824-$E25)&lt;540)),SUMPRODUCT(('Picked Students (raw)'!$B$2:$B$824=$C25)*('Picked Students (raw)'!$D$2:$D$824=$D25)*('Picked Students (raw)'!$C$2:$C$824&lt;&gt;"")*(('Picked Students (raw)'!$C$2:$C$824-$E25)&lt;540))))))</f>
        <v/>
      </c>
      <c r="AR25" s="5">
        <f>IF($A25="","",IF(AQ25="-","-",IF($G25=0,0,AQ25/$G25)))</f>
        <v/>
      </c>
      <c r="AS25" s="3">
        <f>IF($A25="","",IF(AQ25="-","-",$H25-AQ25))</f>
        <v/>
      </c>
    </row>
    <row r="26">
      <c r="A26" s="3" t="inlineStr">
        <is>
          <t>Professional Certificate Course In Data Science - January 2025</t>
        </is>
      </c>
      <c r="B26" s="3">
        <f>IF($A26="","",IFERROR(IF(INDEX('Batch Enrollment (Metabase)'!$C$2:$C$47,MATCH($A26,'Batch Enrollment (Metabase)'!$A$2:$A$47,0))="GEM","A",IF(INDEX('Batch Enrollment (Metabase)'!$C$2:$C$47,MATCH($A26,'Batch Enrollment (Metabase)'!$A$2:$A$47,0))="Non-GEM","B","")),""))</f>
        <v/>
      </c>
      <c r="C26" s="3">
        <f>IF($A26="","",IFERROR(INDEX('Batch Enrollment (Metabase)'!$B$2:$B$47,MATCH($A26,'Batch Enrollment (Metabase)'!$A$2:$A$47,0)),""))</f>
        <v/>
      </c>
      <c r="D26" s="3">
        <f>IF($A26="","",IFERROR(INDEX('Batch Enrollment (Metabase)'!$C$2:$C$47,MATCH($A26,'Batch Enrollment (Metabase)'!$A$2:$A$47,0)),""))</f>
        <v/>
      </c>
      <c r="E26" s="4">
        <f>IF($A26="","",IFERROR(INDEX('Batch Enrollment (Metabase)'!$D$2:$D$47,MATCH($A26,'Batch Enrollment (Metabase)'!$A$2:$A$47,0)),""))</f>
        <v/>
      </c>
      <c r="F26" s="3">
        <f>IF($A26="","",IFERROR(INDEX('Batch Enrollment (Metabase)'!$E$2:$E$47,MATCH($A26,'Batch Enrollment (Metabase)'!$A$2:$A$47,0)),""))</f>
        <v/>
      </c>
      <c r="G26" s="3">
        <f>IF($A26="","",IFERROR(INDEX('Batch Enrollment (Metabase)'!$F$2:$F$47,MATCH($A26,'Batch Enrollment (Metabase)'!$A$2:$A$47,0)),""))</f>
        <v/>
      </c>
      <c r="H26" s="3">
        <f>IF($A26="","",IF($D26="",COUNTIF('Picked Students (raw)'!$B$2:$B$824,$C26),COUNTIFS('Picked Students (raw)'!$B$2:$B$824,$C26,'Picked Students (raw)'!$D$2:$D$824,$D26)))</f>
        <v/>
      </c>
      <c r="I26" s="3">
        <f>IF($A26="","",IF($E26="","",IF(TODAY()&lt;$E26+30,"-",IF($D26="",SUMPRODUCT(('Picked Students (raw)'!$B$2:$B$824=$C26)*('Picked Students (raw)'!$C$2:$C$824&lt;&gt;"")*(('Picked Students (raw)'!$C$2:$C$824-$E26)&lt;30)),SUMPRODUCT(('Picked Students (raw)'!$B$2:$B$824=$C26)*('Picked Students (raw)'!$D$2:$D$824=$D26)*('Picked Students (raw)'!$C$2:$C$824&lt;&gt;"")*(('Picked Students (raw)'!$C$2:$C$824-$E26)&lt;30))))))</f>
        <v/>
      </c>
      <c r="J26" s="5">
        <f>IF($A26="","",IF(I26="-","-",IF($G26=0,0,I26/$G26)))</f>
        <v/>
      </c>
      <c r="K26" s="3">
        <f>IF($A26="","",IF($E26="","",IF(TODAY()&lt;$E26+60,"-",IF($D26="",SUMPRODUCT(('Picked Students (raw)'!$B$2:$B$824=$C26)*('Picked Students (raw)'!$C$2:$C$824&lt;&gt;"")*(('Picked Students (raw)'!$C$2:$C$824-$E26)&lt;60)),SUMPRODUCT(('Picked Students (raw)'!$B$2:$B$824=$C26)*('Picked Students (raw)'!$D$2:$D$824=$D26)*('Picked Students (raw)'!$C$2:$C$824&lt;&gt;"")*(('Picked Students (raw)'!$C$2:$C$824-$E26)&lt;60))))))</f>
        <v/>
      </c>
      <c r="L26" s="5">
        <f>IF($A26="","",IF(K26="-","-",IF($G26=0,0,K26/$G26)))</f>
        <v/>
      </c>
      <c r="M26" s="3">
        <f>IF($A26="","",IF($E26="","",IF(TODAY()&lt;$E26+90,"-",IF($D26="",SUMPRODUCT(('Picked Students (raw)'!$B$2:$B$824=$C26)*('Picked Students (raw)'!$C$2:$C$824&lt;&gt;"")*(('Picked Students (raw)'!$C$2:$C$824-$E26)&lt;90)),SUMPRODUCT(('Picked Students (raw)'!$B$2:$B$824=$C26)*('Picked Students (raw)'!$D$2:$D$824=$D26)*('Picked Students (raw)'!$C$2:$C$824&lt;&gt;"")*(('Picked Students (raw)'!$C$2:$C$824-$E26)&lt;90))))))</f>
        <v/>
      </c>
      <c r="N26" s="5">
        <f>IF($A26="","",IF(M26="-","-",IF($G26=0,0,M26/$G26)))</f>
        <v/>
      </c>
      <c r="O26" s="3">
        <f>IF($A26="","",IF($E26="","",IF(TODAY()&lt;$E26+120,"-",IF($D26="",SUMPRODUCT(('Picked Students (raw)'!$B$2:$B$824=$C26)*('Picked Students (raw)'!$C$2:$C$824&lt;&gt;"")*(('Picked Students (raw)'!$C$2:$C$824-$E26)&lt;120)),SUMPRODUCT(('Picked Students (raw)'!$B$2:$B$824=$C26)*('Picked Students (raw)'!$D$2:$D$824=$D26)*('Picked Students (raw)'!$C$2:$C$824&lt;&gt;"")*(('Picked Students (raw)'!$C$2:$C$824-$E26)&lt;120))))))</f>
        <v/>
      </c>
      <c r="P26" s="5">
        <f>IF($A26="","",IF(O26="-","-",IF($G26=0,0,O26/$G26)))</f>
        <v/>
      </c>
      <c r="Q26" s="3">
        <f>IF($A26="","",IF($E26="","",IF(TODAY()&lt;$E26+150,"-",IF($D26="",SUMPRODUCT(('Picked Students (raw)'!$B$2:$B$824=$C26)*('Picked Students (raw)'!$C$2:$C$824&lt;&gt;"")*(('Picked Students (raw)'!$C$2:$C$824-$E26)&lt;150)),SUMPRODUCT(('Picked Students (raw)'!$B$2:$B$824=$C26)*('Picked Students (raw)'!$D$2:$D$824=$D26)*('Picked Students (raw)'!$C$2:$C$824&lt;&gt;"")*(('Picked Students (raw)'!$C$2:$C$824-$E26)&lt;150))))))</f>
        <v/>
      </c>
      <c r="R26" s="5">
        <f>IF($A26="","",IF(Q26="-","-",IF($G26=0,0,Q26/$G26)))</f>
        <v/>
      </c>
      <c r="S26" s="3">
        <f>IF($A26="","",IF($E26="","",IF(TODAY()&lt;$E26+180,"-",IF($D26="",SUMPRODUCT(('Picked Students (raw)'!$B$2:$B$824=$C26)*('Picked Students (raw)'!$C$2:$C$824&lt;&gt;"")*(('Picked Students (raw)'!$C$2:$C$824-$E26)&lt;180)),SUMPRODUCT(('Picked Students (raw)'!$B$2:$B$824=$C26)*('Picked Students (raw)'!$D$2:$D$824=$D26)*('Picked Students (raw)'!$C$2:$C$824&lt;&gt;"")*(('Picked Students (raw)'!$C$2:$C$824-$E26)&lt;180))))))</f>
        <v/>
      </c>
      <c r="T26" s="5">
        <f>IF($A26="","",IF(S26="-","-",IF($G26=0,0,S26/$G26)))</f>
        <v/>
      </c>
      <c r="U26" s="3">
        <f>IF($A26="","",IF($E26="","",IF(TODAY()&lt;$E26+210,"-",IF($D26="",SUMPRODUCT(('Picked Students (raw)'!$B$2:$B$824=$C26)*('Picked Students (raw)'!$C$2:$C$824&lt;&gt;"")*(('Picked Students (raw)'!$C$2:$C$824-$E26)&lt;210)),SUMPRODUCT(('Picked Students (raw)'!$B$2:$B$824=$C26)*('Picked Students (raw)'!$D$2:$D$824=$D26)*('Picked Students (raw)'!$C$2:$C$824&lt;&gt;"")*(('Picked Students (raw)'!$C$2:$C$824-$E26)&lt;210))))))</f>
        <v/>
      </c>
      <c r="V26" s="5">
        <f>IF($A26="","",IF(U26="-","-",IF($G26=0,0,U26/$G26)))</f>
        <v/>
      </c>
      <c r="W26" s="3">
        <f>IF($A26="","",IF($E26="","",IF(TODAY()&lt;$E26+240,"-",IF($D26="",SUMPRODUCT(('Picked Students (raw)'!$B$2:$B$824=$C26)*('Picked Students (raw)'!$C$2:$C$824&lt;&gt;"")*(('Picked Students (raw)'!$C$2:$C$824-$E26)&lt;240)),SUMPRODUCT(('Picked Students (raw)'!$B$2:$B$824=$C26)*('Picked Students (raw)'!$D$2:$D$824=$D26)*('Picked Students (raw)'!$C$2:$C$824&lt;&gt;"")*(('Picked Students (raw)'!$C$2:$C$824-$E26)&lt;240))))))</f>
        <v/>
      </c>
      <c r="X26" s="5">
        <f>IF($A26="","",IF(W26="-","-",IF($G26=0,0,W26/$G26)))</f>
        <v/>
      </c>
      <c r="Y26" s="3">
        <f>IF($A26="","",IF($E26="","",IF(TODAY()&lt;$E26+270,"-",IF($D26="",SUMPRODUCT(('Picked Students (raw)'!$B$2:$B$824=$C26)*('Picked Students (raw)'!$C$2:$C$824&lt;&gt;"")*(('Picked Students (raw)'!$C$2:$C$824-$E26)&lt;270)),SUMPRODUCT(('Picked Students (raw)'!$B$2:$B$824=$C26)*('Picked Students (raw)'!$D$2:$D$824=$D26)*('Picked Students (raw)'!$C$2:$C$824&lt;&gt;"")*(('Picked Students (raw)'!$C$2:$C$824-$E26)&lt;270))))))</f>
        <v/>
      </c>
      <c r="Z26" s="5">
        <f>IF($A26="","",IF(Y26="-","-",IF($G26=0,0,Y26/$G26)))</f>
        <v/>
      </c>
      <c r="AA26" s="3">
        <f>IF($A26="","",IF($E26="","",IF(TODAY()&lt;$E26+300,"-",IF($D26="",SUMPRODUCT(('Picked Students (raw)'!$B$2:$B$824=$C26)*('Picked Students (raw)'!$C$2:$C$824&lt;&gt;"")*(('Picked Students (raw)'!$C$2:$C$824-$E26)&lt;300)),SUMPRODUCT(('Picked Students (raw)'!$B$2:$B$824=$C26)*('Picked Students (raw)'!$D$2:$D$824=$D26)*('Picked Students (raw)'!$C$2:$C$824&lt;&gt;"")*(('Picked Students (raw)'!$C$2:$C$824-$E26)&lt;300))))))</f>
        <v/>
      </c>
      <c r="AB26" s="5">
        <f>IF($A26="","",IF(AA26="-","-",IF($G26=0,0,AA26/$G26)))</f>
        <v/>
      </c>
      <c r="AC26" s="3">
        <f>IF($A26="","",IF($E26="","",IF(TODAY()&lt;$E26+330,"-",IF($D26="",SUMPRODUCT(('Picked Students (raw)'!$B$2:$B$824=$C26)*('Picked Students (raw)'!$C$2:$C$824&lt;&gt;"")*(('Picked Students (raw)'!$C$2:$C$824-$E26)&lt;330)),SUMPRODUCT(('Picked Students (raw)'!$B$2:$B$824=$C26)*('Picked Students (raw)'!$D$2:$D$824=$D26)*('Picked Students (raw)'!$C$2:$C$824&lt;&gt;"")*(('Picked Students (raw)'!$C$2:$C$824-$E26)&lt;330))))))</f>
        <v/>
      </c>
      <c r="AD26" s="5">
        <f>IF($A26="","",IF(AC26="-","-",IF($G26=0,0,AC26/$G26)))</f>
        <v/>
      </c>
      <c r="AE26" s="3">
        <f>IF($A26="","",IF($E26="","",IF(TODAY()&lt;$E26+360,"-",IF($D26="",SUMPRODUCT(('Picked Students (raw)'!$B$2:$B$824=$C26)*('Picked Students (raw)'!$C$2:$C$824&lt;&gt;"")*(('Picked Students (raw)'!$C$2:$C$824-$E26)&lt;360)),SUMPRODUCT(('Picked Students (raw)'!$B$2:$B$824=$C26)*('Picked Students (raw)'!$D$2:$D$824=$D26)*('Picked Students (raw)'!$C$2:$C$824&lt;&gt;"")*(('Picked Students (raw)'!$C$2:$C$824-$E26)&lt;360))))))</f>
        <v/>
      </c>
      <c r="AF26" s="5">
        <f>IF($A26="","",IF(AE26="-","-",IF($G26=0,0,AE26/$G26)))</f>
        <v/>
      </c>
      <c r="AG26" s="3">
        <f>IF($A26="","",IF($E26="","",IF(TODAY()&lt;$E26+390,"-",IF($D26="",SUMPRODUCT(('Picked Students (raw)'!$B$2:$B$824=$C26)*('Picked Students (raw)'!$C$2:$C$824&lt;&gt;"")*(('Picked Students (raw)'!$C$2:$C$824-$E26)&lt;390)),SUMPRODUCT(('Picked Students (raw)'!$B$2:$B$824=$C26)*('Picked Students (raw)'!$D$2:$D$824=$D26)*('Picked Students (raw)'!$C$2:$C$824&lt;&gt;"")*(('Picked Students (raw)'!$C$2:$C$824-$E26)&lt;390))))))</f>
        <v/>
      </c>
      <c r="AH26" s="5">
        <f>IF($A26="","",IF(AG26="-","-",IF($G26=0,0,AG26/$G26)))</f>
        <v/>
      </c>
      <c r="AI26" s="3">
        <f>IF($A26="","",IF($E26="","",IF(TODAY()&lt;$E26+420,"-",IF($D26="",SUMPRODUCT(('Picked Students (raw)'!$B$2:$B$824=$C26)*('Picked Students (raw)'!$C$2:$C$824&lt;&gt;"")*(('Picked Students (raw)'!$C$2:$C$824-$E26)&lt;420)),SUMPRODUCT(('Picked Students (raw)'!$B$2:$B$824=$C26)*('Picked Students (raw)'!$D$2:$D$824=$D26)*('Picked Students (raw)'!$C$2:$C$824&lt;&gt;"")*(('Picked Students (raw)'!$C$2:$C$824-$E26)&lt;420))))))</f>
        <v/>
      </c>
      <c r="AJ26" s="5">
        <f>IF($A26="","",IF(AI26="-","-",IF($G26=0,0,AI26/$G26)))</f>
        <v/>
      </c>
      <c r="AK26" s="3">
        <f>IF($A26="","",IF($E26="","",IF(TODAY()&lt;$E26+450,"-",IF($D26="",SUMPRODUCT(('Picked Students (raw)'!$B$2:$B$824=$C26)*('Picked Students (raw)'!$C$2:$C$824&lt;&gt;"")*(('Picked Students (raw)'!$C$2:$C$824-$E26)&lt;450)),SUMPRODUCT(('Picked Students (raw)'!$B$2:$B$824=$C26)*('Picked Students (raw)'!$D$2:$D$824=$D26)*('Picked Students (raw)'!$C$2:$C$824&lt;&gt;"")*(('Picked Students (raw)'!$C$2:$C$824-$E26)&lt;450))))))</f>
        <v/>
      </c>
      <c r="AL26" s="5">
        <f>IF($A26="","",IF(AK26="-","-",IF($G26=0,0,AK26/$G26)))</f>
        <v/>
      </c>
      <c r="AM26" s="3">
        <f>IF($A26="","",IF($E26="","",IF(TODAY()&lt;$E26+480,"-",IF($D26="",SUMPRODUCT(('Picked Students (raw)'!$B$2:$B$824=$C26)*('Picked Students (raw)'!$C$2:$C$824&lt;&gt;"")*(('Picked Students (raw)'!$C$2:$C$824-$E26)&lt;480)),SUMPRODUCT(('Picked Students (raw)'!$B$2:$B$824=$C26)*('Picked Students (raw)'!$D$2:$D$824=$D26)*('Picked Students (raw)'!$C$2:$C$824&lt;&gt;"")*(('Picked Students (raw)'!$C$2:$C$824-$E26)&lt;480))))))</f>
        <v/>
      </c>
      <c r="AN26" s="5">
        <f>IF($A26="","",IF(AM26="-","-",IF($G26=0,0,AM26/$G26)))</f>
        <v/>
      </c>
      <c r="AO26" s="3">
        <f>IF($A26="","",IF($E26="","",IF(TODAY()&lt;$E26+510,"-",IF($D26="",SUMPRODUCT(('Picked Students (raw)'!$B$2:$B$824=$C26)*('Picked Students (raw)'!$C$2:$C$824&lt;&gt;"")*(('Picked Students (raw)'!$C$2:$C$824-$E26)&lt;510)),SUMPRODUCT(('Picked Students (raw)'!$B$2:$B$824=$C26)*('Picked Students (raw)'!$D$2:$D$824=$D26)*('Picked Students (raw)'!$C$2:$C$824&lt;&gt;"")*(('Picked Students (raw)'!$C$2:$C$824-$E26)&lt;510))))))</f>
        <v/>
      </c>
      <c r="AP26" s="5">
        <f>IF($A26="","",IF(AO26="-","-",IF($G26=0,0,AO26/$G26)))</f>
        <v/>
      </c>
      <c r="AQ26" s="3">
        <f>IF($A26="","",IF($E26="","",IF(TODAY()&lt;$E26+540,"-",IF($D26="",SUMPRODUCT(('Picked Students (raw)'!$B$2:$B$824=$C26)*('Picked Students (raw)'!$C$2:$C$824&lt;&gt;"")*(('Picked Students (raw)'!$C$2:$C$824-$E26)&lt;540)),SUMPRODUCT(('Picked Students (raw)'!$B$2:$B$824=$C26)*('Picked Students (raw)'!$D$2:$D$824=$D26)*('Picked Students (raw)'!$C$2:$C$824&lt;&gt;"")*(('Picked Students (raw)'!$C$2:$C$824-$E26)&lt;540))))))</f>
        <v/>
      </c>
      <c r="AR26" s="5">
        <f>IF($A26="","",IF(AQ26="-","-",IF($G26=0,0,AQ26/$G26)))</f>
        <v/>
      </c>
      <c r="AS26" s="3">
        <f>IF($A26="","",IF(AQ26="-","-",$H26-AQ26))</f>
        <v/>
      </c>
    </row>
    <row r="27">
      <c r="A27" s="3" t="inlineStr">
        <is>
          <t>Professional Certificate Course In Data Science - February 2025</t>
        </is>
      </c>
      <c r="B27" s="3">
        <f>IF($A27="","",IFERROR(IF(INDEX('Batch Enrollment (Metabase)'!$C$2:$C$47,MATCH($A27,'Batch Enrollment (Metabase)'!$A$2:$A$47,0))="GEM","A",IF(INDEX('Batch Enrollment (Metabase)'!$C$2:$C$47,MATCH($A27,'Batch Enrollment (Metabase)'!$A$2:$A$47,0))="Non-GEM","B","")),""))</f>
        <v/>
      </c>
      <c r="C27" s="3">
        <f>IF($A27="","",IFERROR(INDEX('Batch Enrollment (Metabase)'!$B$2:$B$47,MATCH($A27,'Batch Enrollment (Metabase)'!$A$2:$A$47,0)),""))</f>
        <v/>
      </c>
      <c r="D27" s="3">
        <f>IF($A27="","",IFERROR(INDEX('Batch Enrollment (Metabase)'!$C$2:$C$47,MATCH($A27,'Batch Enrollment (Metabase)'!$A$2:$A$47,0)),""))</f>
        <v/>
      </c>
      <c r="E27" s="4">
        <f>IF($A27="","",IFERROR(INDEX('Batch Enrollment (Metabase)'!$D$2:$D$47,MATCH($A27,'Batch Enrollment (Metabase)'!$A$2:$A$47,0)),""))</f>
        <v/>
      </c>
      <c r="F27" s="3">
        <f>IF($A27="","",IFERROR(INDEX('Batch Enrollment (Metabase)'!$E$2:$E$47,MATCH($A27,'Batch Enrollment (Metabase)'!$A$2:$A$47,0)),""))</f>
        <v/>
      </c>
      <c r="G27" s="3">
        <f>IF($A27="","",IFERROR(INDEX('Batch Enrollment (Metabase)'!$F$2:$F$47,MATCH($A27,'Batch Enrollment (Metabase)'!$A$2:$A$47,0)),""))</f>
        <v/>
      </c>
      <c r="H27" s="3">
        <f>IF($A27="","",IF($D27="",COUNTIF('Picked Students (raw)'!$B$2:$B$824,$C27),COUNTIFS('Picked Students (raw)'!$B$2:$B$824,$C27,'Picked Students (raw)'!$D$2:$D$824,$D27)))</f>
        <v/>
      </c>
      <c r="I27" s="3">
        <f>IF($A27="","",IF($E27="","",IF(TODAY()&lt;$E27+30,"-",IF($D27="",SUMPRODUCT(('Picked Students (raw)'!$B$2:$B$824=$C27)*('Picked Students (raw)'!$C$2:$C$824&lt;&gt;"")*(('Picked Students (raw)'!$C$2:$C$824-$E27)&lt;30)),SUMPRODUCT(('Picked Students (raw)'!$B$2:$B$824=$C27)*('Picked Students (raw)'!$D$2:$D$824=$D27)*('Picked Students (raw)'!$C$2:$C$824&lt;&gt;"")*(('Picked Students (raw)'!$C$2:$C$824-$E27)&lt;30))))))</f>
        <v/>
      </c>
      <c r="J27" s="5">
        <f>IF($A27="","",IF(I27="-","-",IF($G27=0,0,I27/$G27)))</f>
        <v/>
      </c>
      <c r="K27" s="3">
        <f>IF($A27="","",IF($E27="","",IF(TODAY()&lt;$E27+60,"-",IF($D27="",SUMPRODUCT(('Picked Students (raw)'!$B$2:$B$824=$C27)*('Picked Students (raw)'!$C$2:$C$824&lt;&gt;"")*(('Picked Students (raw)'!$C$2:$C$824-$E27)&lt;60)),SUMPRODUCT(('Picked Students (raw)'!$B$2:$B$824=$C27)*('Picked Students (raw)'!$D$2:$D$824=$D27)*('Picked Students (raw)'!$C$2:$C$824&lt;&gt;"")*(('Picked Students (raw)'!$C$2:$C$824-$E27)&lt;60))))))</f>
        <v/>
      </c>
      <c r="L27" s="5">
        <f>IF($A27="","",IF(K27="-","-",IF($G27=0,0,K27/$G27)))</f>
        <v/>
      </c>
      <c r="M27" s="3">
        <f>IF($A27="","",IF($E27="","",IF(TODAY()&lt;$E27+90,"-",IF($D27="",SUMPRODUCT(('Picked Students (raw)'!$B$2:$B$824=$C27)*('Picked Students (raw)'!$C$2:$C$824&lt;&gt;"")*(('Picked Students (raw)'!$C$2:$C$824-$E27)&lt;90)),SUMPRODUCT(('Picked Students (raw)'!$B$2:$B$824=$C27)*('Picked Students (raw)'!$D$2:$D$824=$D27)*('Picked Students (raw)'!$C$2:$C$824&lt;&gt;"")*(('Picked Students (raw)'!$C$2:$C$824-$E27)&lt;90))))))</f>
        <v/>
      </c>
      <c r="N27" s="5">
        <f>IF($A27="","",IF(M27="-","-",IF($G27=0,0,M27/$G27)))</f>
        <v/>
      </c>
      <c r="O27" s="3">
        <f>IF($A27="","",IF($E27="","",IF(TODAY()&lt;$E27+120,"-",IF($D27="",SUMPRODUCT(('Picked Students (raw)'!$B$2:$B$824=$C27)*('Picked Students (raw)'!$C$2:$C$824&lt;&gt;"")*(('Picked Students (raw)'!$C$2:$C$824-$E27)&lt;120)),SUMPRODUCT(('Picked Students (raw)'!$B$2:$B$824=$C27)*('Picked Students (raw)'!$D$2:$D$824=$D27)*('Picked Students (raw)'!$C$2:$C$824&lt;&gt;"")*(('Picked Students (raw)'!$C$2:$C$824-$E27)&lt;120))))))</f>
        <v/>
      </c>
      <c r="P27" s="5">
        <f>IF($A27="","",IF(O27="-","-",IF($G27=0,0,O27/$G27)))</f>
        <v/>
      </c>
      <c r="Q27" s="3">
        <f>IF($A27="","",IF($E27="","",IF(TODAY()&lt;$E27+150,"-",IF($D27="",SUMPRODUCT(('Picked Students (raw)'!$B$2:$B$824=$C27)*('Picked Students (raw)'!$C$2:$C$824&lt;&gt;"")*(('Picked Students (raw)'!$C$2:$C$824-$E27)&lt;150)),SUMPRODUCT(('Picked Students (raw)'!$B$2:$B$824=$C27)*('Picked Students (raw)'!$D$2:$D$824=$D27)*('Picked Students (raw)'!$C$2:$C$824&lt;&gt;"")*(('Picked Students (raw)'!$C$2:$C$824-$E27)&lt;150))))))</f>
        <v/>
      </c>
      <c r="R27" s="5">
        <f>IF($A27="","",IF(Q27="-","-",IF($G27=0,0,Q27/$G27)))</f>
        <v/>
      </c>
      <c r="S27" s="3">
        <f>IF($A27="","",IF($E27="","",IF(TODAY()&lt;$E27+180,"-",IF($D27="",SUMPRODUCT(('Picked Students (raw)'!$B$2:$B$824=$C27)*('Picked Students (raw)'!$C$2:$C$824&lt;&gt;"")*(('Picked Students (raw)'!$C$2:$C$824-$E27)&lt;180)),SUMPRODUCT(('Picked Students (raw)'!$B$2:$B$824=$C27)*('Picked Students (raw)'!$D$2:$D$824=$D27)*('Picked Students (raw)'!$C$2:$C$824&lt;&gt;"")*(('Picked Students (raw)'!$C$2:$C$824-$E27)&lt;180))))))</f>
        <v/>
      </c>
      <c r="T27" s="5">
        <f>IF($A27="","",IF(S27="-","-",IF($G27=0,0,S27/$G27)))</f>
        <v/>
      </c>
      <c r="U27" s="3">
        <f>IF($A27="","",IF($E27="","",IF(TODAY()&lt;$E27+210,"-",IF($D27="",SUMPRODUCT(('Picked Students (raw)'!$B$2:$B$824=$C27)*('Picked Students (raw)'!$C$2:$C$824&lt;&gt;"")*(('Picked Students (raw)'!$C$2:$C$824-$E27)&lt;210)),SUMPRODUCT(('Picked Students (raw)'!$B$2:$B$824=$C27)*('Picked Students (raw)'!$D$2:$D$824=$D27)*('Picked Students (raw)'!$C$2:$C$824&lt;&gt;"")*(('Picked Students (raw)'!$C$2:$C$824-$E27)&lt;210))))))</f>
        <v/>
      </c>
      <c r="V27" s="5">
        <f>IF($A27="","",IF(U27="-","-",IF($G27=0,0,U27/$G27)))</f>
        <v/>
      </c>
      <c r="W27" s="3">
        <f>IF($A27="","",IF($E27="","",IF(TODAY()&lt;$E27+240,"-",IF($D27="",SUMPRODUCT(('Picked Students (raw)'!$B$2:$B$824=$C27)*('Picked Students (raw)'!$C$2:$C$824&lt;&gt;"")*(('Picked Students (raw)'!$C$2:$C$824-$E27)&lt;240)),SUMPRODUCT(('Picked Students (raw)'!$B$2:$B$824=$C27)*('Picked Students (raw)'!$D$2:$D$824=$D27)*('Picked Students (raw)'!$C$2:$C$824&lt;&gt;"")*(('Picked Students (raw)'!$C$2:$C$824-$E27)&lt;240))))))</f>
        <v/>
      </c>
      <c r="X27" s="5">
        <f>IF($A27="","",IF(W27="-","-",IF($G27=0,0,W27/$G27)))</f>
        <v/>
      </c>
      <c r="Y27" s="3">
        <f>IF($A27="","",IF($E27="","",IF(TODAY()&lt;$E27+270,"-",IF($D27="",SUMPRODUCT(('Picked Students (raw)'!$B$2:$B$824=$C27)*('Picked Students (raw)'!$C$2:$C$824&lt;&gt;"")*(('Picked Students (raw)'!$C$2:$C$824-$E27)&lt;270)),SUMPRODUCT(('Picked Students (raw)'!$B$2:$B$824=$C27)*('Picked Students (raw)'!$D$2:$D$824=$D27)*('Picked Students (raw)'!$C$2:$C$824&lt;&gt;"")*(('Picked Students (raw)'!$C$2:$C$824-$E27)&lt;270))))))</f>
        <v/>
      </c>
      <c r="Z27" s="5">
        <f>IF($A27="","",IF(Y27="-","-",IF($G27=0,0,Y27/$G27)))</f>
        <v/>
      </c>
      <c r="AA27" s="3">
        <f>IF($A27="","",IF($E27="","",IF(TODAY()&lt;$E27+300,"-",IF($D27="",SUMPRODUCT(('Picked Students (raw)'!$B$2:$B$824=$C27)*('Picked Students (raw)'!$C$2:$C$824&lt;&gt;"")*(('Picked Students (raw)'!$C$2:$C$824-$E27)&lt;300)),SUMPRODUCT(('Picked Students (raw)'!$B$2:$B$824=$C27)*('Picked Students (raw)'!$D$2:$D$824=$D27)*('Picked Students (raw)'!$C$2:$C$824&lt;&gt;"")*(('Picked Students (raw)'!$C$2:$C$824-$E27)&lt;300))))))</f>
        <v/>
      </c>
      <c r="AB27" s="5">
        <f>IF($A27="","",IF(AA27="-","-",IF($G27=0,0,AA27/$G27)))</f>
        <v/>
      </c>
      <c r="AC27" s="3">
        <f>IF($A27="","",IF($E27="","",IF(TODAY()&lt;$E27+330,"-",IF($D27="",SUMPRODUCT(('Picked Students (raw)'!$B$2:$B$824=$C27)*('Picked Students (raw)'!$C$2:$C$824&lt;&gt;"")*(('Picked Students (raw)'!$C$2:$C$824-$E27)&lt;330)),SUMPRODUCT(('Picked Students (raw)'!$B$2:$B$824=$C27)*('Picked Students (raw)'!$D$2:$D$824=$D27)*('Picked Students (raw)'!$C$2:$C$824&lt;&gt;"")*(('Picked Students (raw)'!$C$2:$C$824-$E27)&lt;330))))))</f>
        <v/>
      </c>
      <c r="AD27" s="5">
        <f>IF($A27="","",IF(AC27="-","-",IF($G27=0,0,AC27/$G27)))</f>
        <v/>
      </c>
      <c r="AE27" s="3">
        <f>IF($A27="","",IF($E27="","",IF(TODAY()&lt;$E27+360,"-",IF($D27="",SUMPRODUCT(('Picked Students (raw)'!$B$2:$B$824=$C27)*('Picked Students (raw)'!$C$2:$C$824&lt;&gt;"")*(('Picked Students (raw)'!$C$2:$C$824-$E27)&lt;360)),SUMPRODUCT(('Picked Students (raw)'!$B$2:$B$824=$C27)*('Picked Students (raw)'!$D$2:$D$824=$D27)*('Picked Students (raw)'!$C$2:$C$824&lt;&gt;"")*(('Picked Students (raw)'!$C$2:$C$824-$E27)&lt;360))))))</f>
        <v/>
      </c>
      <c r="AF27" s="5">
        <f>IF($A27="","",IF(AE27="-","-",IF($G27=0,0,AE27/$G27)))</f>
        <v/>
      </c>
      <c r="AG27" s="3">
        <f>IF($A27="","",IF($E27="","",IF(TODAY()&lt;$E27+390,"-",IF($D27="",SUMPRODUCT(('Picked Students (raw)'!$B$2:$B$824=$C27)*('Picked Students (raw)'!$C$2:$C$824&lt;&gt;"")*(('Picked Students (raw)'!$C$2:$C$824-$E27)&lt;390)),SUMPRODUCT(('Picked Students (raw)'!$B$2:$B$824=$C27)*('Picked Students (raw)'!$D$2:$D$824=$D27)*('Picked Students (raw)'!$C$2:$C$824&lt;&gt;"")*(('Picked Students (raw)'!$C$2:$C$824-$E27)&lt;390))))))</f>
        <v/>
      </c>
      <c r="AH27" s="5">
        <f>IF($A27="","",IF(AG27="-","-",IF($G27=0,0,AG27/$G27)))</f>
        <v/>
      </c>
      <c r="AI27" s="3">
        <f>IF($A27="","",IF($E27="","",IF(TODAY()&lt;$E27+420,"-",IF($D27="",SUMPRODUCT(('Picked Students (raw)'!$B$2:$B$824=$C27)*('Picked Students (raw)'!$C$2:$C$824&lt;&gt;"")*(('Picked Students (raw)'!$C$2:$C$824-$E27)&lt;420)),SUMPRODUCT(('Picked Students (raw)'!$B$2:$B$824=$C27)*('Picked Students (raw)'!$D$2:$D$824=$D27)*('Picked Students (raw)'!$C$2:$C$824&lt;&gt;"")*(('Picked Students (raw)'!$C$2:$C$824-$E27)&lt;420))))))</f>
        <v/>
      </c>
      <c r="AJ27" s="5">
        <f>IF($A27="","",IF(AI27="-","-",IF($G27=0,0,AI27/$G27)))</f>
        <v/>
      </c>
      <c r="AK27" s="3">
        <f>IF($A27="","",IF($E27="","",IF(TODAY()&lt;$E27+450,"-",IF($D27="",SUMPRODUCT(('Picked Students (raw)'!$B$2:$B$824=$C27)*('Picked Students (raw)'!$C$2:$C$824&lt;&gt;"")*(('Picked Students (raw)'!$C$2:$C$824-$E27)&lt;450)),SUMPRODUCT(('Picked Students (raw)'!$B$2:$B$824=$C27)*('Picked Students (raw)'!$D$2:$D$824=$D27)*('Picked Students (raw)'!$C$2:$C$824&lt;&gt;"")*(('Picked Students (raw)'!$C$2:$C$824-$E27)&lt;450))))))</f>
        <v/>
      </c>
      <c r="AL27" s="5">
        <f>IF($A27="","",IF(AK27="-","-",IF($G27=0,0,AK27/$G27)))</f>
        <v/>
      </c>
      <c r="AM27" s="3">
        <f>IF($A27="","",IF($E27="","",IF(TODAY()&lt;$E27+480,"-",IF($D27="",SUMPRODUCT(('Picked Students (raw)'!$B$2:$B$824=$C27)*('Picked Students (raw)'!$C$2:$C$824&lt;&gt;"")*(('Picked Students (raw)'!$C$2:$C$824-$E27)&lt;480)),SUMPRODUCT(('Picked Students (raw)'!$B$2:$B$824=$C27)*('Picked Students (raw)'!$D$2:$D$824=$D27)*('Picked Students (raw)'!$C$2:$C$824&lt;&gt;"")*(('Picked Students (raw)'!$C$2:$C$824-$E27)&lt;480))))))</f>
        <v/>
      </c>
      <c r="AN27" s="5">
        <f>IF($A27="","",IF(AM27="-","-",IF($G27=0,0,AM27/$G27)))</f>
        <v/>
      </c>
      <c r="AO27" s="3">
        <f>IF($A27="","",IF($E27="","",IF(TODAY()&lt;$E27+510,"-",IF($D27="",SUMPRODUCT(('Picked Students (raw)'!$B$2:$B$824=$C27)*('Picked Students (raw)'!$C$2:$C$824&lt;&gt;"")*(('Picked Students (raw)'!$C$2:$C$824-$E27)&lt;510)),SUMPRODUCT(('Picked Students (raw)'!$B$2:$B$824=$C27)*('Picked Students (raw)'!$D$2:$D$824=$D27)*('Picked Students (raw)'!$C$2:$C$824&lt;&gt;"")*(('Picked Students (raw)'!$C$2:$C$824-$E27)&lt;510))))))</f>
        <v/>
      </c>
      <c r="AP27" s="5">
        <f>IF($A27="","",IF(AO27="-","-",IF($G27=0,0,AO27/$G27)))</f>
        <v/>
      </c>
      <c r="AQ27" s="3">
        <f>IF($A27="","",IF($E27="","",IF(TODAY()&lt;$E27+540,"-",IF($D27="",SUMPRODUCT(('Picked Students (raw)'!$B$2:$B$824=$C27)*('Picked Students (raw)'!$C$2:$C$824&lt;&gt;"")*(('Picked Students (raw)'!$C$2:$C$824-$E27)&lt;540)),SUMPRODUCT(('Picked Students (raw)'!$B$2:$B$824=$C27)*('Picked Students (raw)'!$D$2:$D$824=$D27)*('Picked Students (raw)'!$C$2:$C$824&lt;&gt;"")*(('Picked Students (raw)'!$C$2:$C$824-$E27)&lt;540))))))</f>
        <v/>
      </c>
      <c r="AR27" s="5">
        <f>IF($A27="","",IF(AQ27="-","-",IF($G27=0,0,AQ27/$G27)))</f>
        <v/>
      </c>
      <c r="AS27" s="3">
        <f>IF($A27="","",IF(AQ27="-","-",$H27-AQ27))</f>
        <v/>
      </c>
    </row>
    <row r="28">
      <c r="A28" s="3" t="inlineStr">
        <is>
          <t>Professional Certificate Course In Data Science - March 2025</t>
        </is>
      </c>
      <c r="B28" s="3">
        <f>IF($A28="","",IFERROR(IF(INDEX('Batch Enrollment (Metabase)'!$C$2:$C$47,MATCH($A28,'Batch Enrollment (Metabase)'!$A$2:$A$47,0))="GEM","A",IF(INDEX('Batch Enrollment (Metabase)'!$C$2:$C$47,MATCH($A28,'Batch Enrollment (Metabase)'!$A$2:$A$47,0))="Non-GEM","B","")),""))</f>
        <v/>
      </c>
      <c r="C28" s="3">
        <f>IF($A28="","",IFERROR(INDEX('Batch Enrollment (Metabase)'!$B$2:$B$47,MATCH($A28,'Batch Enrollment (Metabase)'!$A$2:$A$47,0)),""))</f>
        <v/>
      </c>
      <c r="D28" s="3">
        <f>IF($A28="","",IFERROR(INDEX('Batch Enrollment (Metabase)'!$C$2:$C$47,MATCH($A28,'Batch Enrollment (Metabase)'!$A$2:$A$47,0)),""))</f>
        <v/>
      </c>
      <c r="E28" s="4">
        <f>IF($A28="","",IFERROR(INDEX('Batch Enrollment (Metabase)'!$D$2:$D$47,MATCH($A28,'Batch Enrollment (Metabase)'!$A$2:$A$47,0)),""))</f>
        <v/>
      </c>
      <c r="F28" s="3">
        <f>IF($A28="","",IFERROR(INDEX('Batch Enrollment (Metabase)'!$E$2:$E$47,MATCH($A28,'Batch Enrollment (Metabase)'!$A$2:$A$47,0)),""))</f>
        <v/>
      </c>
      <c r="G28" s="3">
        <f>IF($A28="","",IFERROR(INDEX('Batch Enrollment (Metabase)'!$F$2:$F$47,MATCH($A28,'Batch Enrollment (Metabase)'!$A$2:$A$47,0)),""))</f>
        <v/>
      </c>
      <c r="H28" s="3">
        <f>IF($A28="","",IF($D28="",COUNTIF('Picked Students (raw)'!$B$2:$B$824,$C28),COUNTIFS('Picked Students (raw)'!$B$2:$B$824,$C28,'Picked Students (raw)'!$D$2:$D$824,$D28)))</f>
        <v/>
      </c>
      <c r="I28" s="3">
        <f>IF($A28="","",IF($E28="","",IF(TODAY()&lt;$E28+30,"-",IF($D28="",SUMPRODUCT(('Picked Students (raw)'!$B$2:$B$824=$C28)*('Picked Students (raw)'!$C$2:$C$824&lt;&gt;"")*(('Picked Students (raw)'!$C$2:$C$824-$E28)&lt;30)),SUMPRODUCT(('Picked Students (raw)'!$B$2:$B$824=$C28)*('Picked Students (raw)'!$D$2:$D$824=$D28)*('Picked Students (raw)'!$C$2:$C$824&lt;&gt;"")*(('Picked Students (raw)'!$C$2:$C$824-$E28)&lt;30))))))</f>
        <v/>
      </c>
      <c r="J28" s="5">
        <f>IF($A28="","",IF(I28="-","-",IF($G28=0,0,I28/$G28)))</f>
        <v/>
      </c>
      <c r="K28" s="3">
        <f>IF($A28="","",IF($E28="","",IF(TODAY()&lt;$E28+60,"-",IF($D28="",SUMPRODUCT(('Picked Students (raw)'!$B$2:$B$824=$C28)*('Picked Students (raw)'!$C$2:$C$824&lt;&gt;"")*(('Picked Students (raw)'!$C$2:$C$824-$E28)&lt;60)),SUMPRODUCT(('Picked Students (raw)'!$B$2:$B$824=$C28)*('Picked Students (raw)'!$D$2:$D$824=$D28)*('Picked Students (raw)'!$C$2:$C$824&lt;&gt;"")*(('Picked Students (raw)'!$C$2:$C$824-$E28)&lt;60))))))</f>
        <v/>
      </c>
      <c r="L28" s="5">
        <f>IF($A28="","",IF(K28="-","-",IF($G28=0,0,K28/$G28)))</f>
        <v/>
      </c>
      <c r="M28" s="3">
        <f>IF($A28="","",IF($E28="","",IF(TODAY()&lt;$E28+90,"-",IF($D28="",SUMPRODUCT(('Picked Students (raw)'!$B$2:$B$824=$C28)*('Picked Students (raw)'!$C$2:$C$824&lt;&gt;"")*(('Picked Students (raw)'!$C$2:$C$824-$E28)&lt;90)),SUMPRODUCT(('Picked Students (raw)'!$B$2:$B$824=$C28)*('Picked Students (raw)'!$D$2:$D$824=$D28)*('Picked Students (raw)'!$C$2:$C$824&lt;&gt;"")*(('Picked Students (raw)'!$C$2:$C$824-$E28)&lt;90))))))</f>
        <v/>
      </c>
      <c r="N28" s="5">
        <f>IF($A28="","",IF(M28="-","-",IF($G28=0,0,M28/$G28)))</f>
        <v/>
      </c>
      <c r="O28" s="3">
        <f>IF($A28="","",IF($E28="","",IF(TODAY()&lt;$E28+120,"-",IF($D28="",SUMPRODUCT(('Picked Students (raw)'!$B$2:$B$824=$C28)*('Picked Students (raw)'!$C$2:$C$824&lt;&gt;"")*(('Picked Students (raw)'!$C$2:$C$824-$E28)&lt;120)),SUMPRODUCT(('Picked Students (raw)'!$B$2:$B$824=$C28)*('Picked Students (raw)'!$D$2:$D$824=$D28)*('Picked Students (raw)'!$C$2:$C$824&lt;&gt;"")*(('Picked Students (raw)'!$C$2:$C$824-$E28)&lt;120))))))</f>
        <v/>
      </c>
      <c r="P28" s="5">
        <f>IF($A28="","",IF(O28="-","-",IF($G28=0,0,O28/$G28)))</f>
        <v/>
      </c>
      <c r="Q28" s="3">
        <f>IF($A28="","",IF($E28="","",IF(TODAY()&lt;$E28+150,"-",IF($D28="",SUMPRODUCT(('Picked Students (raw)'!$B$2:$B$824=$C28)*('Picked Students (raw)'!$C$2:$C$824&lt;&gt;"")*(('Picked Students (raw)'!$C$2:$C$824-$E28)&lt;150)),SUMPRODUCT(('Picked Students (raw)'!$B$2:$B$824=$C28)*('Picked Students (raw)'!$D$2:$D$824=$D28)*('Picked Students (raw)'!$C$2:$C$824&lt;&gt;"")*(('Picked Students (raw)'!$C$2:$C$824-$E28)&lt;150))))))</f>
        <v/>
      </c>
      <c r="R28" s="5">
        <f>IF($A28="","",IF(Q28="-","-",IF($G28=0,0,Q28/$G28)))</f>
        <v/>
      </c>
      <c r="S28" s="3">
        <f>IF($A28="","",IF($E28="","",IF(TODAY()&lt;$E28+180,"-",IF($D28="",SUMPRODUCT(('Picked Students (raw)'!$B$2:$B$824=$C28)*('Picked Students (raw)'!$C$2:$C$824&lt;&gt;"")*(('Picked Students (raw)'!$C$2:$C$824-$E28)&lt;180)),SUMPRODUCT(('Picked Students (raw)'!$B$2:$B$824=$C28)*('Picked Students (raw)'!$D$2:$D$824=$D28)*('Picked Students (raw)'!$C$2:$C$824&lt;&gt;"")*(('Picked Students (raw)'!$C$2:$C$824-$E28)&lt;180))))))</f>
        <v/>
      </c>
      <c r="T28" s="5">
        <f>IF($A28="","",IF(S28="-","-",IF($G28=0,0,S28/$G28)))</f>
        <v/>
      </c>
      <c r="U28" s="3">
        <f>IF($A28="","",IF($E28="","",IF(TODAY()&lt;$E28+210,"-",IF($D28="",SUMPRODUCT(('Picked Students (raw)'!$B$2:$B$824=$C28)*('Picked Students (raw)'!$C$2:$C$824&lt;&gt;"")*(('Picked Students (raw)'!$C$2:$C$824-$E28)&lt;210)),SUMPRODUCT(('Picked Students (raw)'!$B$2:$B$824=$C28)*('Picked Students (raw)'!$D$2:$D$824=$D28)*('Picked Students (raw)'!$C$2:$C$824&lt;&gt;"")*(('Picked Students (raw)'!$C$2:$C$824-$E28)&lt;210))))))</f>
        <v/>
      </c>
      <c r="V28" s="5">
        <f>IF($A28="","",IF(U28="-","-",IF($G28=0,0,U28/$G28)))</f>
        <v/>
      </c>
      <c r="W28" s="3">
        <f>IF($A28="","",IF($E28="","",IF(TODAY()&lt;$E28+240,"-",IF($D28="",SUMPRODUCT(('Picked Students (raw)'!$B$2:$B$824=$C28)*('Picked Students (raw)'!$C$2:$C$824&lt;&gt;"")*(('Picked Students (raw)'!$C$2:$C$824-$E28)&lt;240)),SUMPRODUCT(('Picked Students (raw)'!$B$2:$B$824=$C28)*('Picked Students (raw)'!$D$2:$D$824=$D28)*('Picked Students (raw)'!$C$2:$C$824&lt;&gt;"")*(('Picked Students (raw)'!$C$2:$C$824-$E28)&lt;240))))))</f>
        <v/>
      </c>
      <c r="X28" s="5">
        <f>IF($A28="","",IF(W28="-","-",IF($G28=0,0,W28/$G28)))</f>
        <v/>
      </c>
      <c r="Y28" s="3">
        <f>IF($A28="","",IF($E28="","",IF(TODAY()&lt;$E28+270,"-",IF($D28="",SUMPRODUCT(('Picked Students (raw)'!$B$2:$B$824=$C28)*('Picked Students (raw)'!$C$2:$C$824&lt;&gt;"")*(('Picked Students (raw)'!$C$2:$C$824-$E28)&lt;270)),SUMPRODUCT(('Picked Students (raw)'!$B$2:$B$824=$C28)*('Picked Students (raw)'!$D$2:$D$824=$D28)*('Picked Students (raw)'!$C$2:$C$824&lt;&gt;"")*(('Picked Students (raw)'!$C$2:$C$824-$E28)&lt;270))))))</f>
        <v/>
      </c>
      <c r="Z28" s="5">
        <f>IF($A28="","",IF(Y28="-","-",IF($G28=0,0,Y28/$G28)))</f>
        <v/>
      </c>
      <c r="AA28" s="3">
        <f>IF($A28="","",IF($E28="","",IF(TODAY()&lt;$E28+300,"-",IF($D28="",SUMPRODUCT(('Picked Students (raw)'!$B$2:$B$824=$C28)*('Picked Students (raw)'!$C$2:$C$824&lt;&gt;"")*(('Picked Students (raw)'!$C$2:$C$824-$E28)&lt;300)),SUMPRODUCT(('Picked Students (raw)'!$B$2:$B$824=$C28)*('Picked Students (raw)'!$D$2:$D$824=$D28)*('Picked Students (raw)'!$C$2:$C$824&lt;&gt;"")*(('Picked Students (raw)'!$C$2:$C$824-$E28)&lt;300))))))</f>
        <v/>
      </c>
      <c r="AB28" s="5">
        <f>IF($A28="","",IF(AA28="-","-",IF($G28=0,0,AA28/$G28)))</f>
        <v/>
      </c>
      <c r="AC28" s="3">
        <f>IF($A28="","",IF($E28="","",IF(TODAY()&lt;$E28+330,"-",IF($D28="",SUMPRODUCT(('Picked Students (raw)'!$B$2:$B$824=$C28)*('Picked Students (raw)'!$C$2:$C$824&lt;&gt;"")*(('Picked Students (raw)'!$C$2:$C$824-$E28)&lt;330)),SUMPRODUCT(('Picked Students (raw)'!$B$2:$B$824=$C28)*('Picked Students (raw)'!$D$2:$D$824=$D28)*('Picked Students (raw)'!$C$2:$C$824&lt;&gt;"")*(('Picked Students (raw)'!$C$2:$C$824-$E28)&lt;330))))))</f>
        <v/>
      </c>
      <c r="AD28" s="5">
        <f>IF($A28="","",IF(AC28="-","-",IF($G28=0,0,AC28/$G28)))</f>
        <v/>
      </c>
      <c r="AE28" s="3">
        <f>IF($A28="","",IF($E28="","",IF(TODAY()&lt;$E28+360,"-",IF($D28="",SUMPRODUCT(('Picked Students (raw)'!$B$2:$B$824=$C28)*('Picked Students (raw)'!$C$2:$C$824&lt;&gt;"")*(('Picked Students (raw)'!$C$2:$C$824-$E28)&lt;360)),SUMPRODUCT(('Picked Students (raw)'!$B$2:$B$824=$C28)*('Picked Students (raw)'!$D$2:$D$824=$D28)*('Picked Students (raw)'!$C$2:$C$824&lt;&gt;"")*(('Picked Students (raw)'!$C$2:$C$824-$E28)&lt;360))))))</f>
        <v/>
      </c>
      <c r="AF28" s="5">
        <f>IF($A28="","",IF(AE28="-","-",IF($G28=0,0,AE28/$G28)))</f>
        <v/>
      </c>
      <c r="AG28" s="3">
        <f>IF($A28="","",IF($E28="","",IF(TODAY()&lt;$E28+390,"-",IF($D28="",SUMPRODUCT(('Picked Students (raw)'!$B$2:$B$824=$C28)*('Picked Students (raw)'!$C$2:$C$824&lt;&gt;"")*(('Picked Students (raw)'!$C$2:$C$824-$E28)&lt;390)),SUMPRODUCT(('Picked Students (raw)'!$B$2:$B$824=$C28)*('Picked Students (raw)'!$D$2:$D$824=$D28)*('Picked Students (raw)'!$C$2:$C$824&lt;&gt;"")*(('Picked Students (raw)'!$C$2:$C$824-$E28)&lt;390))))))</f>
        <v/>
      </c>
      <c r="AH28" s="5">
        <f>IF($A28="","",IF(AG28="-","-",IF($G28=0,0,AG28/$G28)))</f>
        <v/>
      </c>
      <c r="AI28" s="3">
        <f>IF($A28="","",IF($E28="","",IF(TODAY()&lt;$E28+420,"-",IF($D28="",SUMPRODUCT(('Picked Students (raw)'!$B$2:$B$824=$C28)*('Picked Students (raw)'!$C$2:$C$824&lt;&gt;"")*(('Picked Students (raw)'!$C$2:$C$824-$E28)&lt;420)),SUMPRODUCT(('Picked Students (raw)'!$B$2:$B$824=$C28)*('Picked Students (raw)'!$D$2:$D$824=$D28)*('Picked Students (raw)'!$C$2:$C$824&lt;&gt;"")*(('Picked Students (raw)'!$C$2:$C$824-$E28)&lt;420))))))</f>
        <v/>
      </c>
      <c r="AJ28" s="5">
        <f>IF($A28="","",IF(AI28="-","-",IF($G28=0,0,AI28/$G28)))</f>
        <v/>
      </c>
      <c r="AK28" s="3">
        <f>IF($A28="","",IF($E28="","",IF(TODAY()&lt;$E28+450,"-",IF($D28="",SUMPRODUCT(('Picked Students (raw)'!$B$2:$B$824=$C28)*('Picked Students (raw)'!$C$2:$C$824&lt;&gt;"")*(('Picked Students (raw)'!$C$2:$C$824-$E28)&lt;450)),SUMPRODUCT(('Picked Students (raw)'!$B$2:$B$824=$C28)*('Picked Students (raw)'!$D$2:$D$824=$D28)*('Picked Students (raw)'!$C$2:$C$824&lt;&gt;"")*(('Picked Students (raw)'!$C$2:$C$824-$E28)&lt;450))))))</f>
        <v/>
      </c>
      <c r="AL28" s="5">
        <f>IF($A28="","",IF(AK28="-","-",IF($G28=0,0,AK28/$G28)))</f>
        <v/>
      </c>
      <c r="AM28" s="3">
        <f>IF($A28="","",IF($E28="","",IF(TODAY()&lt;$E28+480,"-",IF($D28="",SUMPRODUCT(('Picked Students (raw)'!$B$2:$B$824=$C28)*('Picked Students (raw)'!$C$2:$C$824&lt;&gt;"")*(('Picked Students (raw)'!$C$2:$C$824-$E28)&lt;480)),SUMPRODUCT(('Picked Students (raw)'!$B$2:$B$824=$C28)*('Picked Students (raw)'!$D$2:$D$824=$D28)*('Picked Students (raw)'!$C$2:$C$824&lt;&gt;"")*(('Picked Students (raw)'!$C$2:$C$824-$E28)&lt;480))))))</f>
        <v/>
      </c>
      <c r="AN28" s="5">
        <f>IF($A28="","",IF(AM28="-","-",IF($G28=0,0,AM28/$G28)))</f>
        <v/>
      </c>
      <c r="AO28" s="3">
        <f>IF($A28="","",IF($E28="","",IF(TODAY()&lt;$E28+510,"-",IF($D28="",SUMPRODUCT(('Picked Students (raw)'!$B$2:$B$824=$C28)*('Picked Students (raw)'!$C$2:$C$824&lt;&gt;"")*(('Picked Students (raw)'!$C$2:$C$824-$E28)&lt;510)),SUMPRODUCT(('Picked Students (raw)'!$B$2:$B$824=$C28)*('Picked Students (raw)'!$D$2:$D$824=$D28)*('Picked Students (raw)'!$C$2:$C$824&lt;&gt;"")*(('Picked Students (raw)'!$C$2:$C$824-$E28)&lt;510))))))</f>
        <v/>
      </c>
      <c r="AP28" s="5">
        <f>IF($A28="","",IF(AO28="-","-",IF($G28=0,0,AO28/$G28)))</f>
        <v/>
      </c>
      <c r="AQ28" s="3">
        <f>IF($A28="","",IF($E28="","",IF(TODAY()&lt;$E28+540,"-",IF($D28="",SUMPRODUCT(('Picked Students (raw)'!$B$2:$B$824=$C28)*('Picked Students (raw)'!$C$2:$C$824&lt;&gt;"")*(('Picked Students (raw)'!$C$2:$C$824-$E28)&lt;540)),SUMPRODUCT(('Picked Students (raw)'!$B$2:$B$824=$C28)*('Picked Students (raw)'!$D$2:$D$824=$D28)*('Picked Students (raw)'!$C$2:$C$824&lt;&gt;"")*(('Picked Students (raw)'!$C$2:$C$824-$E28)&lt;540))))))</f>
        <v/>
      </c>
      <c r="AR28" s="5">
        <f>IF($A28="","",IF(AQ28="-","-",IF($G28=0,0,AQ28/$G28)))</f>
        <v/>
      </c>
      <c r="AS28" s="3">
        <f>IF($A28="","",IF(AQ28="-","-",$H28-AQ28))</f>
        <v/>
      </c>
    </row>
    <row r="29">
      <c r="A29" s="3" t="inlineStr">
        <is>
          <t>Professional Certificate Course In Data Science - April 2025</t>
        </is>
      </c>
      <c r="B29" s="3">
        <f>IF($A29="","",IFERROR(IF(INDEX('Batch Enrollment (Metabase)'!$C$2:$C$47,MATCH($A29,'Batch Enrollment (Metabase)'!$A$2:$A$47,0))="GEM","A",IF(INDEX('Batch Enrollment (Metabase)'!$C$2:$C$47,MATCH($A29,'Batch Enrollment (Metabase)'!$A$2:$A$47,0))="Non-GEM","B","")),""))</f>
        <v/>
      </c>
      <c r="C29" s="3">
        <f>IF($A29="","",IFERROR(INDEX('Batch Enrollment (Metabase)'!$B$2:$B$47,MATCH($A29,'Batch Enrollment (Metabase)'!$A$2:$A$47,0)),""))</f>
        <v/>
      </c>
      <c r="D29" s="3">
        <f>IF($A29="","",IFERROR(INDEX('Batch Enrollment (Metabase)'!$C$2:$C$47,MATCH($A29,'Batch Enrollment (Metabase)'!$A$2:$A$47,0)),""))</f>
        <v/>
      </c>
      <c r="E29" s="4">
        <f>IF($A29="","",IFERROR(INDEX('Batch Enrollment (Metabase)'!$D$2:$D$47,MATCH($A29,'Batch Enrollment (Metabase)'!$A$2:$A$47,0)),""))</f>
        <v/>
      </c>
      <c r="F29" s="3">
        <f>IF($A29="","",IFERROR(INDEX('Batch Enrollment (Metabase)'!$E$2:$E$47,MATCH($A29,'Batch Enrollment (Metabase)'!$A$2:$A$47,0)),""))</f>
        <v/>
      </c>
      <c r="G29" s="3">
        <f>IF($A29="","",IFERROR(INDEX('Batch Enrollment (Metabase)'!$F$2:$F$47,MATCH($A29,'Batch Enrollment (Metabase)'!$A$2:$A$47,0)),""))</f>
        <v/>
      </c>
      <c r="H29" s="3">
        <f>IF($A29="","",IF($D29="",COUNTIF('Picked Students (raw)'!$B$2:$B$824,$C29),COUNTIFS('Picked Students (raw)'!$B$2:$B$824,$C29,'Picked Students (raw)'!$D$2:$D$824,$D29)))</f>
        <v/>
      </c>
      <c r="I29" s="3">
        <f>IF($A29="","",IF($E29="","",IF(TODAY()&lt;$E29+30,"-",IF($D29="",SUMPRODUCT(('Picked Students (raw)'!$B$2:$B$824=$C29)*('Picked Students (raw)'!$C$2:$C$824&lt;&gt;"")*(('Picked Students (raw)'!$C$2:$C$824-$E29)&lt;30)),SUMPRODUCT(('Picked Students (raw)'!$B$2:$B$824=$C29)*('Picked Students (raw)'!$D$2:$D$824=$D29)*('Picked Students (raw)'!$C$2:$C$824&lt;&gt;"")*(('Picked Students (raw)'!$C$2:$C$824-$E29)&lt;30))))))</f>
        <v/>
      </c>
      <c r="J29" s="5">
        <f>IF($A29="","",IF(I29="-","-",IF($G29=0,0,I29/$G29)))</f>
        <v/>
      </c>
      <c r="K29" s="3">
        <f>IF($A29="","",IF($E29="","",IF(TODAY()&lt;$E29+60,"-",IF($D29="",SUMPRODUCT(('Picked Students (raw)'!$B$2:$B$824=$C29)*('Picked Students (raw)'!$C$2:$C$824&lt;&gt;"")*(('Picked Students (raw)'!$C$2:$C$824-$E29)&lt;60)),SUMPRODUCT(('Picked Students (raw)'!$B$2:$B$824=$C29)*('Picked Students (raw)'!$D$2:$D$824=$D29)*('Picked Students (raw)'!$C$2:$C$824&lt;&gt;"")*(('Picked Students (raw)'!$C$2:$C$824-$E29)&lt;60))))))</f>
        <v/>
      </c>
      <c r="L29" s="5">
        <f>IF($A29="","",IF(K29="-","-",IF($G29=0,0,K29/$G29)))</f>
        <v/>
      </c>
      <c r="M29" s="3">
        <f>IF($A29="","",IF($E29="","",IF(TODAY()&lt;$E29+90,"-",IF($D29="",SUMPRODUCT(('Picked Students (raw)'!$B$2:$B$824=$C29)*('Picked Students (raw)'!$C$2:$C$824&lt;&gt;"")*(('Picked Students (raw)'!$C$2:$C$824-$E29)&lt;90)),SUMPRODUCT(('Picked Students (raw)'!$B$2:$B$824=$C29)*('Picked Students (raw)'!$D$2:$D$824=$D29)*('Picked Students (raw)'!$C$2:$C$824&lt;&gt;"")*(('Picked Students (raw)'!$C$2:$C$824-$E29)&lt;90))))))</f>
        <v/>
      </c>
      <c r="N29" s="5">
        <f>IF($A29="","",IF(M29="-","-",IF($G29=0,0,M29/$G29)))</f>
        <v/>
      </c>
      <c r="O29" s="3">
        <f>IF($A29="","",IF($E29="","",IF(TODAY()&lt;$E29+120,"-",IF($D29="",SUMPRODUCT(('Picked Students (raw)'!$B$2:$B$824=$C29)*('Picked Students (raw)'!$C$2:$C$824&lt;&gt;"")*(('Picked Students (raw)'!$C$2:$C$824-$E29)&lt;120)),SUMPRODUCT(('Picked Students (raw)'!$B$2:$B$824=$C29)*('Picked Students (raw)'!$D$2:$D$824=$D29)*('Picked Students (raw)'!$C$2:$C$824&lt;&gt;"")*(('Picked Students (raw)'!$C$2:$C$824-$E29)&lt;120))))))</f>
        <v/>
      </c>
      <c r="P29" s="5">
        <f>IF($A29="","",IF(O29="-","-",IF($G29=0,0,O29/$G29)))</f>
        <v/>
      </c>
      <c r="Q29" s="3">
        <f>IF($A29="","",IF($E29="","",IF(TODAY()&lt;$E29+150,"-",IF($D29="",SUMPRODUCT(('Picked Students (raw)'!$B$2:$B$824=$C29)*('Picked Students (raw)'!$C$2:$C$824&lt;&gt;"")*(('Picked Students (raw)'!$C$2:$C$824-$E29)&lt;150)),SUMPRODUCT(('Picked Students (raw)'!$B$2:$B$824=$C29)*('Picked Students (raw)'!$D$2:$D$824=$D29)*('Picked Students (raw)'!$C$2:$C$824&lt;&gt;"")*(('Picked Students (raw)'!$C$2:$C$824-$E29)&lt;150))))))</f>
        <v/>
      </c>
      <c r="R29" s="5">
        <f>IF($A29="","",IF(Q29="-","-",IF($G29=0,0,Q29/$G29)))</f>
        <v/>
      </c>
      <c r="S29" s="3">
        <f>IF($A29="","",IF($E29="","",IF(TODAY()&lt;$E29+180,"-",IF($D29="",SUMPRODUCT(('Picked Students (raw)'!$B$2:$B$824=$C29)*('Picked Students (raw)'!$C$2:$C$824&lt;&gt;"")*(('Picked Students (raw)'!$C$2:$C$824-$E29)&lt;180)),SUMPRODUCT(('Picked Students (raw)'!$B$2:$B$824=$C29)*('Picked Students (raw)'!$D$2:$D$824=$D29)*('Picked Students (raw)'!$C$2:$C$824&lt;&gt;"")*(('Picked Students (raw)'!$C$2:$C$824-$E29)&lt;180))))))</f>
        <v/>
      </c>
      <c r="T29" s="5">
        <f>IF($A29="","",IF(S29="-","-",IF($G29=0,0,S29/$G29)))</f>
        <v/>
      </c>
      <c r="U29" s="3">
        <f>IF($A29="","",IF($E29="","",IF(TODAY()&lt;$E29+210,"-",IF($D29="",SUMPRODUCT(('Picked Students (raw)'!$B$2:$B$824=$C29)*('Picked Students (raw)'!$C$2:$C$824&lt;&gt;"")*(('Picked Students (raw)'!$C$2:$C$824-$E29)&lt;210)),SUMPRODUCT(('Picked Students (raw)'!$B$2:$B$824=$C29)*('Picked Students (raw)'!$D$2:$D$824=$D29)*('Picked Students (raw)'!$C$2:$C$824&lt;&gt;"")*(('Picked Students (raw)'!$C$2:$C$824-$E29)&lt;210))))))</f>
        <v/>
      </c>
      <c r="V29" s="5">
        <f>IF($A29="","",IF(U29="-","-",IF($G29=0,0,U29/$G29)))</f>
        <v/>
      </c>
      <c r="W29" s="3">
        <f>IF($A29="","",IF($E29="","",IF(TODAY()&lt;$E29+240,"-",IF($D29="",SUMPRODUCT(('Picked Students (raw)'!$B$2:$B$824=$C29)*('Picked Students (raw)'!$C$2:$C$824&lt;&gt;"")*(('Picked Students (raw)'!$C$2:$C$824-$E29)&lt;240)),SUMPRODUCT(('Picked Students (raw)'!$B$2:$B$824=$C29)*('Picked Students (raw)'!$D$2:$D$824=$D29)*('Picked Students (raw)'!$C$2:$C$824&lt;&gt;"")*(('Picked Students (raw)'!$C$2:$C$824-$E29)&lt;240))))))</f>
        <v/>
      </c>
      <c r="X29" s="5">
        <f>IF($A29="","",IF(W29="-","-",IF($G29=0,0,W29/$G29)))</f>
        <v/>
      </c>
      <c r="Y29" s="3">
        <f>IF($A29="","",IF($E29="","",IF(TODAY()&lt;$E29+270,"-",IF($D29="",SUMPRODUCT(('Picked Students (raw)'!$B$2:$B$824=$C29)*('Picked Students (raw)'!$C$2:$C$824&lt;&gt;"")*(('Picked Students (raw)'!$C$2:$C$824-$E29)&lt;270)),SUMPRODUCT(('Picked Students (raw)'!$B$2:$B$824=$C29)*('Picked Students (raw)'!$D$2:$D$824=$D29)*('Picked Students (raw)'!$C$2:$C$824&lt;&gt;"")*(('Picked Students (raw)'!$C$2:$C$824-$E29)&lt;270))))))</f>
        <v/>
      </c>
      <c r="Z29" s="5">
        <f>IF($A29="","",IF(Y29="-","-",IF($G29=0,0,Y29/$G29)))</f>
        <v/>
      </c>
      <c r="AA29" s="3">
        <f>IF($A29="","",IF($E29="","",IF(TODAY()&lt;$E29+300,"-",IF($D29="",SUMPRODUCT(('Picked Students (raw)'!$B$2:$B$824=$C29)*('Picked Students (raw)'!$C$2:$C$824&lt;&gt;"")*(('Picked Students (raw)'!$C$2:$C$824-$E29)&lt;300)),SUMPRODUCT(('Picked Students (raw)'!$B$2:$B$824=$C29)*('Picked Students (raw)'!$D$2:$D$824=$D29)*('Picked Students (raw)'!$C$2:$C$824&lt;&gt;"")*(('Picked Students (raw)'!$C$2:$C$824-$E29)&lt;300))))))</f>
        <v/>
      </c>
      <c r="AB29" s="5">
        <f>IF($A29="","",IF(AA29="-","-",IF($G29=0,0,AA29/$G29)))</f>
        <v/>
      </c>
      <c r="AC29" s="3">
        <f>IF($A29="","",IF($E29="","",IF(TODAY()&lt;$E29+330,"-",IF($D29="",SUMPRODUCT(('Picked Students (raw)'!$B$2:$B$824=$C29)*('Picked Students (raw)'!$C$2:$C$824&lt;&gt;"")*(('Picked Students (raw)'!$C$2:$C$824-$E29)&lt;330)),SUMPRODUCT(('Picked Students (raw)'!$B$2:$B$824=$C29)*('Picked Students (raw)'!$D$2:$D$824=$D29)*('Picked Students (raw)'!$C$2:$C$824&lt;&gt;"")*(('Picked Students (raw)'!$C$2:$C$824-$E29)&lt;330))))))</f>
        <v/>
      </c>
      <c r="AD29" s="5">
        <f>IF($A29="","",IF(AC29="-","-",IF($G29=0,0,AC29/$G29)))</f>
        <v/>
      </c>
      <c r="AE29" s="3">
        <f>IF($A29="","",IF($E29="","",IF(TODAY()&lt;$E29+360,"-",IF($D29="",SUMPRODUCT(('Picked Students (raw)'!$B$2:$B$824=$C29)*('Picked Students (raw)'!$C$2:$C$824&lt;&gt;"")*(('Picked Students (raw)'!$C$2:$C$824-$E29)&lt;360)),SUMPRODUCT(('Picked Students (raw)'!$B$2:$B$824=$C29)*('Picked Students (raw)'!$D$2:$D$824=$D29)*('Picked Students (raw)'!$C$2:$C$824&lt;&gt;"")*(('Picked Students (raw)'!$C$2:$C$824-$E29)&lt;360))))))</f>
        <v/>
      </c>
      <c r="AF29" s="5">
        <f>IF($A29="","",IF(AE29="-","-",IF($G29=0,0,AE29/$G29)))</f>
        <v/>
      </c>
      <c r="AG29" s="3">
        <f>IF($A29="","",IF($E29="","",IF(TODAY()&lt;$E29+390,"-",IF($D29="",SUMPRODUCT(('Picked Students (raw)'!$B$2:$B$824=$C29)*('Picked Students (raw)'!$C$2:$C$824&lt;&gt;"")*(('Picked Students (raw)'!$C$2:$C$824-$E29)&lt;390)),SUMPRODUCT(('Picked Students (raw)'!$B$2:$B$824=$C29)*('Picked Students (raw)'!$D$2:$D$824=$D29)*('Picked Students (raw)'!$C$2:$C$824&lt;&gt;"")*(('Picked Students (raw)'!$C$2:$C$824-$E29)&lt;390))))))</f>
        <v/>
      </c>
      <c r="AH29" s="5">
        <f>IF($A29="","",IF(AG29="-","-",IF($G29=0,0,AG29/$G29)))</f>
        <v/>
      </c>
      <c r="AI29" s="3">
        <f>IF($A29="","",IF($E29="","",IF(TODAY()&lt;$E29+420,"-",IF($D29="",SUMPRODUCT(('Picked Students (raw)'!$B$2:$B$824=$C29)*('Picked Students (raw)'!$C$2:$C$824&lt;&gt;"")*(('Picked Students (raw)'!$C$2:$C$824-$E29)&lt;420)),SUMPRODUCT(('Picked Students (raw)'!$B$2:$B$824=$C29)*('Picked Students (raw)'!$D$2:$D$824=$D29)*('Picked Students (raw)'!$C$2:$C$824&lt;&gt;"")*(('Picked Students (raw)'!$C$2:$C$824-$E29)&lt;420))))))</f>
        <v/>
      </c>
      <c r="AJ29" s="5">
        <f>IF($A29="","",IF(AI29="-","-",IF($G29=0,0,AI29/$G29)))</f>
        <v/>
      </c>
      <c r="AK29" s="3">
        <f>IF($A29="","",IF($E29="","",IF(TODAY()&lt;$E29+450,"-",IF($D29="",SUMPRODUCT(('Picked Students (raw)'!$B$2:$B$824=$C29)*('Picked Students (raw)'!$C$2:$C$824&lt;&gt;"")*(('Picked Students (raw)'!$C$2:$C$824-$E29)&lt;450)),SUMPRODUCT(('Picked Students (raw)'!$B$2:$B$824=$C29)*('Picked Students (raw)'!$D$2:$D$824=$D29)*('Picked Students (raw)'!$C$2:$C$824&lt;&gt;"")*(('Picked Students (raw)'!$C$2:$C$824-$E29)&lt;450))))))</f>
        <v/>
      </c>
      <c r="AL29" s="5">
        <f>IF($A29="","",IF(AK29="-","-",IF($G29=0,0,AK29/$G29)))</f>
        <v/>
      </c>
      <c r="AM29" s="3">
        <f>IF($A29="","",IF($E29="","",IF(TODAY()&lt;$E29+480,"-",IF($D29="",SUMPRODUCT(('Picked Students (raw)'!$B$2:$B$824=$C29)*('Picked Students (raw)'!$C$2:$C$824&lt;&gt;"")*(('Picked Students (raw)'!$C$2:$C$824-$E29)&lt;480)),SUMPRODUCT(('Picked Students (raw)'!$B$2:$B$824=$C29)*('Picked Students (raw)'!$D$2:$D$824=$D29)*('Picked Students (raw)'!$C$2:$C$824&lt;&gt;"")*(('Picked Students (raw)'!$C$2:$C$824-$E29)&lt;480))))))</f>
        <v/>
      </c>
      <c r="AN29" s="5">
        <f>IF($A29="","",IF(AM29="-","-",IF($G29=0,0,AM29/$G29)))</f>
        <v/>
      </c>
      <c r="AO29" s="3">
        <f>IF($A29="","",IF($E29="","",IF(TODAY()&lt;$E29+510,"-",IF($D29="",SUMPRODUCT(('Picked Students (raw)'!$B$2:$B$824=$C29)*('Picked Students (raw)'!$C$2:$C$824&lt;&gt;"")*(('Picked Students (raw)'!$C$2:$C$824-$E29)&lt;510)),SUMPRODUCT(('Picked Students (raw)'!$B$2:$B$824=$C29)*('Picked Students (raw)'!$D$2:$D$824=$D29)*('Picked Students (raw)'!$C$2:$C$824&lt;&gt;"")*(('Picked Students (raw)'!$C$2:$C$824-$E29)&lt;510))))))</f>
        <v/>
      </c>
      <c r="AP29" s="5">
        <f>IF($A29="","",IF(AO29="-","-",IF($G29=0,0,AO29/$G29)))</f>
        <v/>
      </c>
      <c r="AQ29" s="3">
        <f>IF($A29="","",IF($E29="","",IF(TODAY()&lt;$E29+540,"-",IF($D29="",SUMPRODUCT(('Picked Students (raw)'!$B$2:$B$824=$C29)*('Picked Students (raw)'!$C$2:$C$824&lt;&gt;"")*(('Picked Students (raw)'!$C$2:$C$824-$E29)&lt;540)),SUMPRODUCT(('Picked Students (raw)'!$B$2:$B$824=$C29)*('Picked Students (raw)'!$D$2:$D$824=$D29)*('Picked Students (raw)'!$C$2:$C$824&lt;&gt;"")*(('Picked Students (raw)'!$C$2:$C$824-$E29)&lt;540))))))</f>
        <v/>
      </c>
      <c r="AR29" s="5">
        <f>IF($A29="","",IF(AQ29="-","-",IF($G29=0,0,AQ29/$G29)))</f>
        <v/>
      </c>
      <c r="AS29" s="3">
        <f>IF($A29="","",IF(AQ29="-","-",$H29-AQ29))</f>
        <v/>
      </c>
    </row>
    <row r="30">
      <c r="A30" s="3" t="inlineStr">
        <is>
          <t>Professional Certificate Course In Data Science - May 2025</t>
        </is>
      </c>
      <c r="B30" s="3">
        <f>IF($A30="","",IFERROR(IF(INDEX('Batch Enrollment (Metabase)'!$C$2:$C$47,MATCH($A30,'Batch Enrollment (Metabase)'!$A$2:$A$47,0))="GEM","A",IF(INDEX('Batch Enrollment (Metabase)'!$C$2:$C$47,MATCH($A30,'Batch Enrollment (Metabase)'!$A$2:$A$47,0))="Non-GEM","B","")),""))</f>
        <v/>
      </c>
      <c r="C30" s="3">
        <f>IF($A30="","",IFERROR(INDEX('Batch Enrollment (Metabase)'!$B$2:$B$47,MATCH($A30,'Batch Enrollment (Metabase)'!$A$2:$A$47,0)),""))</f>
        <v/>
      </c>
      <c r="D30" s="3">
        <f>IF($A30="","",IFERROR(INDEX('Batch Enrollment (Metabase)'!$C$2:$C$47,MATCH($A30,'Batch Enrollment (Metabase)'!$A$2:$A$47,0)),""))</f>
        <v/>
      </c>
      <c r="E30" s="4">
        <f>IF($A30="","",IFERROR(INDEX('Batch Enrollment (Metabase)'!$D$2:$D$47,MATCH($A30,'Batch Enrollment (Metabase)'!$A$2:$A$47,0)),""))</f>
        <v/>
      </c>
      <c r="F30" s="3">
        <f>IF($A30="","",IFERROR(INDEX('Batch Enrollment (Metabase)'!$E$2:$E$47,MATCH($A30,'Batch Enrollment (Metabase)'!$A$2:$A$47,0)),""))</f>
        <v/>
      </c>
      <c r="G30" s="3">
        <f>IF($A30="","",IFERROR(INDEX('Batch Enrollment (Metabase)'!$F$2:$F$47,MATCH($A30,'Batch Enrollment (Metabase)'!$A$2:$A$47,0)),""))</f>
        <v/>
      </c>
      <c r="H30" s="3">
        <f>IF($A30="","",IF($D30="",COUNTIF('Picked Students (raw)'!$B$2:$B$824,$C30),COUNTIFS('Picked Students (raw)'!$B$2:$B$824,$C30,'Picked Students (raw)'!$D$2:$D$824,$D30)))</f>
        <v/>
      </c>
      <c r="I30" s="3">
        <f>IF($A30="","",IF($E30="","",IF(TODAY()&lt;$E30+30,"-",IF($D30="",SUMPRODUCT(('Picked Students (raw)'!$B$2:$B$824=$C30)*('Picked Students (raw)'!$C$2:$C$824&lt;&gt;"")*(('Picked Students (raw)'!$C$2:$C$824-$E30)&lt;30)),SUMPRODUCT(('Picked Students (raw)'!$B$2:$B$824=$C30)*('Picked Students (raw)'!$D$2:$D$824=$D30)*('Picked Students (raw)'!$C$2:$C$824&lt;&gt;"")*(('Picked Students (raw)'!$C$2:$C$824-$E30)&lt;30))))))</f>
        <v/>
      </c>
      <c r="J30" s="5">
        <f>IF($A30="","",IF(I30="-","-",IF($G30=0,0,I30/$G30)))</f>
        <v/>
      </c>
      <c r="K30" s="3">
        <f>IF($A30="","",IF($E30="","",IF(TODAY()&lt;$E30+60,"-",IF($D30="",SUMPRODUCT(('Picked Students (raw)'!$B$2:$B$824=$C30)*('Picked Students (raw)'!$C$2:$C$824&lt;&gt;"")*(('Picked Students (raw)'!$C$2:$C$824-$E30)&lt;60)),SUMPRODUCT(('Picked Students (raw)'!$B$2:$B$824=$C30)*('Picked Students (raw)'!$D$2:$D$824=$D30)*('Picked Students (raw)'!$C$2:$C$824&lt;&gt;"")*(('Picked Students (raw)'!$C$2:$C$824-$E30)&lt;60))))))</f>
        <v/>
      </c>
      <c r="L30" s="5">
        <f>IF($A30="","",IF(K30="-","-",IF($G30=0,0,K30/$G30)))</f>
        <v/>
      </c>
      <c r="M30" s="3">
        <f>IF($A30="","",IF($E30="","",IF(TODAY()&lt;$E30+90,"-",IF($D30="",SUMPRODUCT(('Picked Students (raw)'!$B$2:$B$824=$C30)*('Picked Students (raw)'!$C$2:$C$824&lt;&gt;"")*(('Picked Students (raw)'!$C$2:$C$824-$E30)&lt;90)),SUMPRODUCT(('Picked Students (raw)'!$B$2:$B$824=$C30)*('Picked Students (raw)'!$D$2:$D$824=$D30)*('Picked Students (raw)'!$C$2:$C$824&lt;&gt;"")*(('Picked Students (raw)'!$C$2:$C$824-$E30)&lt;90))))))</f>
        <v/>
      </c>
      <c r="N30" s="5">
        <f>IF($A30="","",IF(M30="-","-",IF($G30=0,0,M30/$G30)))</f>
        <v/>
      </c>
      <c r="O30" s="3">
        <f>IF($A30="","",IF($E30="","",IF(TODAY()&lt;$E30+120,"-",IF($D30="",SUMPRODUCT(('Picked Students (raw)'!$B$2:$B$824=$C30)*('Picked Students (raw)'!$C$2:$C$824&lt;&gt;"")*(('Picked Students (raw)'!$C$2:$C$824-$E30)&lt;120)),SUMPRODUCT(('Picked Students (raw)'!$B$2:$B$824=$C30)*('Picked Students (raw)'!$D$2:$D$824=$D30)*('Picked Students (raw)'!$C$2:$C$824&lt;&gt;"")*(('Picked Students (raw)'!$C$2:$C$824-$E30)&lt;120))))))</f>
        <v/>
      </c>
      <c r="P30" s="5">
        <f>IF($A30="","",IF(O30="-","-",IF($G30=0,0,O30/$G30)))</f>
        <v/>
      </c>
      <c r="Q30" s="3">
        <f>IF($A30="","",IF($E30="","",IF(TODAY()&lt;$E30+150,"-",IF($D30="",SUMPRODUCT(('Picked Students (raw)'!$B$2:$B$824=$C30)*('Picked Students (raw)'!$C$2:$C$824&lt;&gt;"")*(('Picked Students (raw)'!$C$2:$C$824-$E30)&lt;150)),SUMPRODUCT(('Picked Students (raw)'!$B$2:$B$824=$C30)*('Picked Students (raw)'!$D$2:$D$824=$D30)*('Picked Students (raw)'!$C$2:$C$824&lt;&gt;"")*(('Picked Students (raw)'!$C$2:$C$824-$E30)&lt;150))))))</f>
        <v/>
      </c>
      <c r="R30" s="5">
        <f>IF($A30="","",IF(Q30="-","-",IF($G30=0,0,Q30/$G30)))</f>
        <v/>
      </c>
      <c r="S30" s="3">
        <f>IF($A30="","",IF($E30="","",IF(TODAY()&lt;$E30+180,"-",IF($D30="",SUMPRODUCT(('Picked Students (raw)'!$B$2:$B$824=$C30)*('Picked Students (raw)'!$C$2:$C$824&lt;&gt;"")*(('Picked Students (raw)'!$C$2:$C$824-$E30)&lt;180)),SUMPRODUCT(('Picked Students (raw)'!$B$2:$B$824=$C30)*('Picked Students (raw)'!$D$2:$D$824=$D30)*('Picked Students (raw)'!$C$2:$C$824&lt;&gt;"")*(('Picked Students (raw)'!$C$2:$C$824-$E30)&lt;180))))))</f>
        <v/>
      </c>
      <c r="T30" s="5">
        <f>IF($A30="","",IF(S30="-","-",IF($G30=0,0,S30/$G30)))</f>
        <v/>
      </c>
      <c r="U30" s="3">
        <f>IF($A30="","",IF($E30="","",IF(TODAY()&lt;$E30+210,"-",IF($D30="",SUMPRODUCT(('Picked Students (raw)'!$B$2:$B$824=$C30)*('Picked Students (raw)'!$C$2:$C$824&lt;&gt;"")*(('Picked Students (raw)'!$C$2:$C$824-$E30)&lt;210)),SUMPRODUCT(('Picked Students (raw)'!$B$2:$B$824=$C30)*('Picked Students (raw)'!$D$2:$D$824=$D30)*('Picked Students (raw)'!$C$2:$C$824&lt;&gt;"")*(('Picked Students (raw)'!$C$2:$C$824-$E30)&lt;210))))))</f>
        <v/>
      </c>
      <c r="V30" s="5">
        <f>IF($A30="","",IF(U30="-","-",IF($G30=0,0,U30/$G30)))</f>
        <v/>
      </c>
      <c r="W30" s="3">
        <f>IF($A30="","",IF($E30="","",IF(TODAY()&lt;$E30+240,"-",IF($D30="",SUMPRODUCT(('Picked Students (raw)'!$B$2:$B$824=$C30)*('Picked Students (raw)'!$C$2:$C$824&lt;&gt;"")*(('Picked Students (raw)'!$C$2:$C$824-$E30)&lt;240)),SUMPRODUCT(('Picked Students (raw)'!$B$2:$B$824=$C30)*('Picked Students (raw)'!$D$2:$D$824=$D30)*('Picked Students (raw)'!$C$2:$C$824&lt;&gt;"")*(('Picked Students (raw)'!$C$2:$C$824-$E30)&lt;240))))))</f>
        <v/>
      </c>
      <c r="X30" s="5">
        <f>IF($A30="","",IF(W30="-","-",IF($G30=0,0,W30/$G30)))</f>
        <v/>
      </c>
      <c r="Y30" s="3">
        <f>IF($A30="","",IF($E30="","",IF(TODAY()&lt;$E30+270,"-",IF($D30="",SUMPRODUCT(('Picked Students (raw)'!$B$2:$B$824=$C30)*('Picked Students (raw)'!$C$2:$C$824&lt;&gt;"")*(('Picked Students (raw)'!$C$2:$C$824-$E30)&lt;270)),SUMPRODUCT(('Picked Students (raw)'!$B$2:$B$824=$C30)*('Picked Students (raw)'!$D$2:$D$824=$D30)*('Picked Students (raw)'!$C$2:$C$824&lt;&gt;"")*(('Picked Students (raw)'!$C$2:$C$824-$E30)&lt;270))))))</f>
        <v/>
      </c>
      <c r="Z30" s="5">
        <f>IF($A30="","",IF(Y30="-","-",IF($G30=0,0,Y30/$G30)))</f>
        <v/>
      </c>
      <c r="AA30" s="3">
        <f>IF($A30="","",IF($E30="","",IF(TODAY()&lt;$E30+300,"-",IF($D30="",SUMPRODUCT(('Picked Students (raw)'!$B$2:$B$824=$C30)*('Picked Students (raw)'!$C$2:$C$824&lt;&gt;"")*(('Picked Students (raw)'!$C$2:$C$824-$E30)&lt;300)),SUMPRODUCT(('Picked Students (raw)'!$B$2:$B$824=$C30)*('Picked Students (raw)'!$D$2:$D$824=$D30)*('Picked Students (raw)'!$C$2:$C$824&lt;&gt;"")*(('Picked Students (raw)'!$C$2:$C$824-$E30)&lt;300))))))</f>
        <v/>
      </c>
      <c r="AB30" s="5">
        <f>IF($A30="","",IF(AA30="-","-",IF($G30=0,0,AA30/$G30)))</f>
        <v/>
      </c>
      <c r="AC30" s="3">
        <f>IF($A30="","",IF($E30="","",IF(TODAY()&lt;$E30+330,"-",IF($D30="",SUMPRODUCT(('Picked Students (raw)'!$B$2:$B$824=$C30)*('Picked Students (raw)'!$C$2:$C$824&lt;&gt;"")*(('Picked Students (raw)'!$C$2:$C$824-$E30)&lt;330)),SUMPRODUCT(('Picked Students (raw)'!$B$2:$B$824=$C30)*('Picked Students (raw)'!$D$2:$D$824=$D30)*('Picked Students (raw)'!$C$2:$C$824&lt;&gt;"")*(('Picked Students (raw)'!$C$2:$C$824-$E30)&lt;330))))))</f>
        <v/>
      </c>
      <c r="AD30" s="5">
        <f>IF($A30="","",IF(AC30="-","-",IF($G30=0,0,AC30/$G30)))</f>
        <v/>
      </c>
      <c r="AE30" s="3">
        <f>IF($A30="","",IF($E30="","",IF(TODAY()&lt;$E30+360,"-",IF($D30="",SUMPRODUCT(('Picked Students (raw)'!$B$2:$B$824=$C30)*('Picked Students (raw)'!$C$2:$C$824&lt;&gt;"")*(('Picked Students (raw)'!$C$2:$C$824-$E30)&lt;360)),SUMPRODUCT(('Picked Students (raw)'!$B$2:$B$824=$C30)*('Picked Students (raw)'!$D$2:$D$824=$D30)*('Picked Students (raw)'!$C$2:$C$824&lt;&gt;"")*(('Picked Students (raw)'!$C$2:$C$824-$E30)&lt;360))))))</f>
        <v/>
      </c>
      <c r="AF30" s="5">
        <f>IF($A30="","",IF(AE30="-","-",IF($G30=0,0,AE30/$G30)))</f>
        <v/>
      </c>
      <c r="AG30" s="3">
        <f>IF($A30="","",IF($E30="","",IF(TODAY()&lt;$E30+390,"-",IF($D30="",SUMPRODUCT(('Picked Students (raw)'!$B$2:$B$824=$C30)*('Picked Students (raw)'!$C$2:$C$824&lt;&gt;"")*(('Picked Students (raw)'!$C$2:$C$824-$E30)&lt;390)),SUMPRODUCT(('Picked Students (raw)'!$B$2:$B$824=$C30)*('Picked Students (raw)'!$D$2:$D$824=$D30)*('Picked Students (raw)'!$C$2:$C$824&lt;&gt;"")*(('Picked Students (raw)'!$C$2:$C$824-$E30)&lt;390))))))</f>
        <v/>
      </c>
      <c r="AH30" s="5">
        <f>IF($A30="","",IF(AG30="-","-",IF($G30=0,0,AG30/$G30)))</f>
        <v/>
      </c>
      <c r="AI30" s="3">
        <f>IF($A30="","",IF($E30="","",IF(TODAY()&lt;$E30+420,"-",IF($D30="",SUMPRODUCT(('Picked Students (raw)'!$B$2:$B$824=$C30)*('Picked Students (raw)'!$C$2:$C$824&lt;&gt;"")*(('Picked Students (raw)'!$C$2:$C$824-$E30)&lt;420)),SUMPRODUCT(('Picked Students (raw)'!$B$2:$B$824=$C30)*('Picked Students (raw)'!$D$2:$D$824=$D30)*('Picked Students (raw)'!$C$2:$C$824&lt;&gt;"")*(('Picked Students (raw)'!$C$2:$C$824-$E30)&lt;420))))))</f>
        <v/>
      </c>
      <c r="AJ30" s="5">
        <f>IF($A30="","",IF(AI30="-","-",IF($G30=0,0,AI30/$G30)))</f>
        <v/>
      </c>
      <c r="AK30" s="3">
        <f>IF($A30="","",IF($E30="","",IF(TODAY()&lt;$E30+450,"-",IF($D30="",SUMPRODUCT(('Picked Students (raw)'!$B$2:$B$824=$C30)*('Picked Students (raw)'!$C$2:$C$824&lt;&gt;"")*(('Picked Students (raw)'!$C$2:$C$824-$E30)&lt;450)),SUMPRODUCT(('Picked Students (raw)'!$B$2:$B$824=$C30)*('Picked Students (raw)'!$D$2:$D$824=$D30)*('Picked Students (raw)'!$C$2:$C$824&lt;&gt;"")*(('Picked Students (raw)'!$C$2:$C$824-$E30)&lt;450))))))</f>
        <v/>
      </c>
      <c r="AL30" s="5">
        <f>IF($A30="","",IF(AK30="-","-",IF($G30=0,0,AK30/$G30)))</f>
        <v/>
      </c>
      <c r="AM30" s="3">
        <f>IF($A30="","",IF($E30="","",IF(TODAY()&lt;$E30+480,"-",IF($D30="",SUMPRODUCT(('Picked Students (raw)'!$B$2:$B$824=$C30)*('Picked Students (raw)'!$C$2:$C$824&lt;&gt;"")*(('Picked Students (raw)'!$C$2:$C$824-$E30)&lt;480)),SUMPRODUCT(('Picked Students (raw)'!$B$2:$B$824=$C30)*('Picked Students (raw)'!$D$2:$D$824=$D30)*('Picked Students (raw)'!$C$2:$C$824&lt;&gt;"")*(('Picked Students (raw)'!$C$2:$C$824-$E30)&lt;480))))))</f>
        <v/>
      </c>
      <c r="AN30" s="5">
        <f>IF($A30="","",IF(AM30="-","-",IF($G30=0,0,AM30/$G30)))</f>
        <v/>
      </c>
      <c r="AO30" s="3">
        <f>IF($A30="","",IF($E30="","",IF(TODAY()&lt;$E30+510,"-",IF($D30="",SUMPRODUCT(('Picked Students (raw)'!$B$2:$B$824=$C30)*('Picked Students (raw)'!$C$2:$C$824&lt;&gt;"")*(('Picked Students (raw)'!$C$2:$C$824-$E30)&lt;510)),SUMPRODUCT(('Picked Students (raw)'!$B$2:$B$824=$C30)*('Picked Students (raw)'!$D$2:$D$824=$D30)*('Picked Students (raw)'!$C$2:$C$824&lt;&gt;"")*(('Picked Students (raw)'!$C$2:$C$824-$E30)&lt;510))))))</f>
        <v/>
      </c>
      <c r="AP30" s="5">
        <f>IF($A30="","",IF(AO30="-","-",IF($G30=0,0,AO30/$G30)))</f>
        <v/>
      </c>
      <c r="AQ30" s="3">
        <f>IF($A30="","",IF($E30="","",IF(TODAY()&lt;$E30+540,"-",IF($D30="",SUMPRODUCT(('Picked Students (raw)'!$B$2:$B$824=$C30)*('Picked Students (raw)'!$C$2:$C$824&lt;&gt;"")*(('Picked Students (raw)'!$C$2:$C$824-$E30)&lt;540)),SUMPRODUCT(('Picked Students (raw)'!$B$2:$B$824=$C30)*('Picked Students (raw)'!$D$2:$D$824=$D30)*('Picked Students (raw)'!$C$2:$C$824&lt;&gt;"")*(('Picked Students (raw)'!$C$2:$C$824-$E30)&lt;540))))))</f>
        <v/>
      </c>
      <c r="AR30" s="5">
        <f>IF($A30="","",IF(AQ30="-","-",IF($G30=0,0,AQ30/$G30)))</f>
        <v/>
      </c>
      <c r="AS30" s="3">
        <f>IF($A30="","",IF(AQ30="-","-",$H30-AQ30))</f>
        <v/>
      </c>
    </row>
    <row r="31">
      <c r="A31" s="3" t="inlineStr">
        <is>
          <t>Professional Certificate Course In Data Science &amp; AI - June 2025</t>
        </is>
      </c>
      <c r="B31" s="3">
        <f>IF($A31="","",IFERROR(IF(INDEX('Batch Enrollment (Metabase)'!$C$2:$C$47,MATCH($A31,'Batch Enrollment (Metabase)'!$A$2:$A$47,0))="GEM","A",IF(INDEX('Batch Enrollment (Metabase)'!$C$2:$C$47,MATCH($A31,'Batch Enrollment (Metabase)'!$A$2:$A$47,0))="Non-GEM","B","")),""))</f>
        <v/>
      </c>
      <c r="C31" s="3">
        <f>IF($A31="","",IFERROR(INDEX('Batch Enrollment (Metabase)'!$B$2:$B$47,MATCH($A31,'Batch Enrollment (Metabase)'!$A$2:$A$47,0)),""))</f>
        <v/>
      </c>
      <c r="D31" s="3">
        <f>IF($A31="","",IFERROR(INDEX('Batch Enrollment (Metabase)'!$C$2:$C$47,MATCH($A31,'Batch Enrollment (Metabase)'!$A$2:$A$47,0)),""))</f>
        <v/>
      </c>
      <c r="E31" s="4">
        <f>IF($A31="","",IFERROR(INDEX('Batch Enrollment (Metabase)'!$D$2:$D$47,MATCH($A31,'Batch Enrollment (Metabase)'!$A$2:$A$47,0)),""))</f>
        <v/>
      </c>
      <c r="F31" s="3">
        <f>IF($A31="","",IFERROR(INDEX('Batch Enrollment (Metabase)'!$E$2:$E$47,MATCH($A31,'Batch Enrollment (Metabase)'!$A$2:$A$47,0)),""))</f>
        <v/>
      </c>
      <c r="G31" s="3">
        <f>IF($A31="","",IFERROR(INDEX('Batch Enrollment (Metabase)'!$F$2:$F$47,MATCH($A31,'Batch Enrollment (Metabase)'!$A$2:$A$47,0)),""))</f>
        <v/>
      </c>
      <c r="H31" s="3">
        <f>IF($A31="","",IF($D31="",COUNTIF('Picked Students (raw)'!$B$2:$B$824,$C31),COUNTIFS('Picked Students (raw)'!$B$2:$B$824,$C31,'Picked Students (raw)'!$D$2:$D$824,$D31)))</f>
        <v/>
      </c>
      <c r="I31" s="3">
        <f>IF($A31="","",IF($E31="","",IF(TODAY()&lt;$E31+30,"-",IF($D31="",SUMPRODUCT(('Picked Students (raw)'!$B$2:$B$824=$C31)*('Picked Students (raw)'!$C$2:$C$824&lt;&gt;"")*(('Picked Students (raw)'!$C$2:$C$824-$E31)&lt;30)),SUMPRODUCT(('Picked Students (raw)'!$B$2:$B$824=$C31)*('Picked Students (raw)'!$D$2:$D$824=$D31)*('Picked Students (raw)'!$C$2:$C$824&lt;&gt;"")*(('Picked Students (raw)'!$C$2:$C$824-$E31)&lt;30))))))</f>
        <v/>
      </c>
      <c r="J31" s="5">
        <f>IF($A31="","",IF(I31="-","-",IF($G31=0,0,I31/$G31)))</f>
        <v/>
      </c>
      <c r="K31" s="3">
        <f>IF($A31="","",IF($E31="","",IF(TODAY()&lt;$E31+60,"-",IF($D31="",SUMPRODUCT(('Picked Students (raw)'!$B$2:$B$824=$C31)*('Picked Students (raw)'!$C$2:$C$824&lt;&gt;"")*(('Picked Students (raw)'!$C$2:$C$824-$E31)&lt;60)),SUMPRODUCT(('Picked Students (raw)'!$B$2:$B$824=$C31)*('Picked Students (raw)'!$D$2:$D$824=$D31)*('Picked Students (raw)'!$C$2:$C$824&lt;&gt;"")*(('Picked Students (raw)'!$C$2:$C$824-$E31)&lt;60))))))</f>
        <v/>
      </c>
      <c r="L31" s="5">
        <f>IF($A31="","",IF(K31="-","-",IF($G31=0,0,K31/$G31)))</f>
        <v/>
      </c>
      <c r="M31" s="3">
        <f>IF($A31="","",IF($E31="","",IF(TODAY()&lt;$E31+90,"-",IF($D31="",SUMPRODUCT(('Picked Students (raw)'!$B$2:$B$824=$C31)*('Picked Students (raw)'!$C$2:$C$824&lt;&gt;"")*(('Picked Students (raw)'!$C$2:$C$824-$E31)&lt;90)),SUMPRODUCT(('Picked Students (raw)'!$B$2:$B$824=$C31)*('Picked Students (raw)'!$D$2:$D$824=$D31)*('Picked Students (raw)'!$C$2:$C$824&lt;&gt;"")*(('Picked Students (raw)'!$C$2:$C$824-$E31)&lt;90))))))</f>
        <v/>
      </c>
      <c r="N31" s="5">
        <f>IF($A31="","",IF(M31="-","-",IF($G31=0,0,M31/$G31)))</f>
        <v/>
      </c>
      <c r="O31" s="3">
        <f>IF($A31="","",IF($E31="","",IF(TODAY()&lt;$E31+120,"-",IF($D31="",SUMPRODUCT(('Picked Students (raw)'!$B$2:$B$824=$C31)*('Picked Students (raw)'!$C$2:$C$824&lt;&gt;"")*(('Picked Students (raw)'!$C$2:$C$824-$E31)&lt;120)),SUMPRODUCT(('Picked Students (raw)'!$B$2:$B$824=$C31)*('Picked Students (raw)'!$D$2:$D$824=$D31)*('Picked Students (raw)'!$C$2:$C$824&lt;&gt;"")*(('Picked Students (raw)'!$C$2:$C$824-$E31)&lt;120))))))</f>
        <v/>
      </c>
      <c r="P31" s="5">
        <f>IF($A31="","",IF(O31="-","-",IF($G31=0,0,O31/$G31)))</f>
        <v/>
      </c>
      <c r="Q31" s="3">
        <f>IF($A31="","",IF($E31="","",IF(TODAY()&lt;$E31+150,"-",IF($D31="",SUMPRODUCT(('Picked Students (raw)'!$B$2:$B$824=$C31)*('Picked Students (raw)'!$C$2:$C$824&lt;&gt;"")*(('Picked Students (raw)'!$C$2:$C$824-$E31)&lt;150)),SUMPRODUCT(('Picked Students (raw)'!$B$2:$B$824=$C31)*('Picked Students (raw)'!$D$2:$D$824=$D31)*('Picked Students (raw)'!$C$2:$C$824&lt;&gt;"")*(('Picked Students (raw)'!$C$2:$C$824-$E31)&lt;150))))))</f>
        <v/>
      </c>
      <c r="R31" s="5">
        <f>IF($A31="","",IF(Q31="-","-",IF($G31=0,0,Q31/$G31)))</f>
        <v/>
      </c>
      <c r="S31" s="3">
        <f>IF($A31="","",IF($E31="","",IF(TODAY()&lt;$E31+180,"-",IF($D31="",SUMPRODUCT(('Picked Students (raw)'!$B$2:$B$824=$C31)*('Picked Students (raw)'!$C$2:$C$824&lt;&gt;"")*(('Picked Students (raw)'!$C$2:$C$824-$E31)&lt;180)),SUMPRODUCT(('Picked Students (raw)'!$B$2:$B$824=$C31)*('Picked Students (raw)'!$D$2:$D$824=$D31)*('Picked Students (raw)'!$C$2:$C$824&lt;&gt;"")*(('Picked Students (raw)'!$C$2:$C$824-$E31)&lt;180))))))</f>
        <v/>
      </c>
      <c r="T31" s="5">
        <f>IF($A31="","",IF(S31="-","-",IF($G31=0,0,S31/$G31)))</f>
        <v/>
      </c>
      <c r="U31" s="3">
        <f>IF($A31="","",IF($E31="","",IF(TODAY()&lt;$E31+210,"-",IF($D31="",SUMPRODUCT(('Picked Students (raw)'!$B$2:$B$824=$C31)*('Picked Students (raw)'!$C$2:$C$824&lt;&gt;"")*(('Picked Students (raw)'!$C$2:$C$824-$E31)&lt;210)),SUMPRODUCT(('Picked Students (raw)'!$B$2:$B$824=$C31)*('Picked Students (raw)'!$D$2:$D$824=$D31)*('Picked Students (raw)'!$C$2:$C$824&lt;&gt;"")*(('Picked Students (raw)'!$C$2:$C$824-$E31)&lt;210))))))</f>
        <v/>
      </c>
      <c r="V31" s="5">
        <f>IF($A31="","",IF(U31="-","-",IF($G31=0,0,U31/$G31)))</f>
        <v/>
      </c>
      <c r="W31" s="3">
        <f>IF($A31="","",IF($E31="","",IF(TODAY()&lt;$E31+240,"-",IF($D31="",SUMPRODUCT(('Picked Students (raw)'!$B$2:$B$824=$C31)*('Picked Students (raw)'!$C$2:$C$824&lt;&gt;"")*(('Picked Students (raw)'!$C$2:$C$824-$E31)&lt;240)),SUMPRODUCT(('Picked Students (raw)'!$B$2:$B$824=$C31)*('Picked Students (raw)'!$D$2:$D$824=$D31)*('Picked Students (raw)'!$C$2:$C$824&lt;&gt;"")*(('Picked Students (raw)'!$C$2:$C$824-$E31)&lt;240))))))</f>
        <v/>
      </c>
      <c r="X31" s="5">
        <f>IF($A31="","",IF(W31="-","-",IF($G31=0,0,W31/$G31)))</f>
        <v/>
      </c>
      <c r="Y31" s="3">
        <f>IF($A31="","",IF($E31="","",IF(TODAY()&lt;$E31+270,"-",IF($D31="",SUMPRODUCT(('Picked Students (raw)'!$B$2:$B$824=$C31)*('Picked Students (raw)'!$C$2:$C$824&lt;&gt;"")*(('Picked Students (raw)'!$C$2:$C$824-$E31)&lt;270)),SUMPRODUCT(('Picked Students (raw)'!$B$2:$B$824=$C31)*('Picked Students (raw)'!$D$2:$D$824=$D31)*('Picked Students (raw)'!$C$2:$C$824&lt;&gt;"")*(('Picked Students (raw)'!$C$2:$C$824-$E31)&lt;270))))))</f>
        <v/>
      </c>
      <c r="Z31" s="5">
        <f>IF($A31="","",IF(Y31="-","-",IF($G31=0,0,Y31/$G31)))</f>
        <v/>
      </c>
      <c r="AA31" s="3">
        <f>IF($A31="","",IF($E31="","",IF(TODAY()&lt;$E31+300,"-",IF($D31="",SUMPRODUCT(('Picked Students (raw)'!$B$2:$B$824=$C31)*('Picked Students (raw)'!$C$2:$C$824&lt;&gt;"")*(('Picked Students (raw)'!$C$2:$C$824-$E31)&lt;300)),SUMPRODUCT(('Picked Students (raw)'!$B$2:$B$824=$C31)*('Picked Students (raw)'!$D$2:$D$824=$D31)*('Picked Students (raw)'!$C$2:$C$824&lt;&gt;"")*(('Picked Students (raw)'!$C$2:$C$824-$E31)&lt;300))))))</f>
        <v/>
      </c>
      <c r="AB31" s="5">
        <f>IF($A31="","",IF(AA31="-","-",IF($G31=0,0,AA31/$G31)))</f>
        <v/>
      </c>
      <c r="AC31" s="3">
        <f>IF($A31="","",IF($E31="","",IF(TODAY()&lt;$E31+330,"-",IF($D31="",SUMPRODUCT(('Picked Students (raw)'!$B$2:$B$824=$C31)*('Picked Students (raw)'!$C$2:$C$824&lt;&gt;"")*(('Picked Students (raw)'!$C$2:$C$824-$E31)&lt;330)),SUMPRODUCT(('Picked Students (raw)'!$B$2:$B$824=$C31)*('Picked Students (raw)'!$D$2:$D$824=$D31)*('Picked Students (raw)'!$C$2:$C$824&lt;&gt;"")*(('Picked Students (raw)'!$C$2:$C$824-$E31)&lt;330))))))</f>
        <v/>
      </c>
      <c r="AD31" s="5">
        <f>IF($A31="","",IF(AC31="-","-",IF($G31=0,0,AC31/$G31)))</f>
        <v/>
      </c>
      <c r="AE31" s="3">
        <f>IF($A31="","",IF($E31="","",IF(TODAY()&lt;$E31+360,"-",IF($D31="",SUMPRODUCT(('Picked Students (raw)'!$B$2:$B$824=$C31)*('Picked Students (raw)'!$C$2:$C$824&lt;&gt;"")*(('Picked Students (raw)'!$C$2:$C$824-$E31)&lt;360)),SUMPRODUCT(('Picked Students (raw)'!$B$2:$B$824=$C31)*('Picked Students (raw)'!$D$2:$D$824=$D31)*('Picked Students (raw)'!$C$2:$C$824&lt;&gt;"")*(('Picked Students (raw)'!$C$2:$C$824-$E31)&lt;360))))))</f>
        <v/>
      </c>
      <c r="AF31" s="5">
        <f>IF($A31="","",IF(AE31="-","-",IF($G31=0,0,AE31/$G31)))</f>
        <v/>
      </c>
      <c r="AG31" s="3">
        <f>IF($A31="","",IF($E31="","",IF(TODAY()&lt;$E31+390,"-",IF($D31="",SUMPRODUCT(('Picked Students (raw)'!$B$2:$B$824=$C31)*('Picked Students (raw)'!$C$2:$C$824&lt;&gt;"")*(('Picked Students (raw)'!$C$2:$C$824-$E31)&lt;390)),SUMPRODUCT(('Picked Students (raw)'!$B$2:$B$824=$C31)*('Picked Students (raw)'!$D$2:$D$824=$D31)*('Picked Students (raw)'!$C$2:$C$824&lt;&gt;"")*(('Picked Students (raw)'!$C$2:$C$824-$E31)&lt;390))))))</f>
        <v/>
      </c>
      <c r="AH31" s="5">
        <f>IF($A31="","",IF(AG31="-","-",IF($G31=0,0,AG31/$G31)))</f>
        <v/>
      </c>
      <c r="AI31" s="3">
        <f>IF($A31="","",IF($E31="","",IF(TODAY()&lt;$E31+420,"-",IF($D31="",SUMPRODUCT(('Picked Students (raw)'!$B$2:$B$824=$C31)*('Picked Students (raw)'!$C$2:$C$824&lt;&gt;"")*(('Picked Students (raw)'!$C$2:$C$824-$E31)&lt;420)),SUMPRODUCT(('Picked Students (raw)'!$B$2:$B$824=$C31)*('Picked Students (raw)'!$D$2:$D$824=$D31)*('Picked Students (raw)'!$C$2:$C$824&lt;&gt;"")*(('Picked Students (raw)'!$C$2:$C$824-$E31)&lt;420))))))</f>
        <v/>
      </c>
      <c r="AJ31" s="5">
        <f>IF($A31="","",IF(AI31="-","-",IF($G31=0,0,AI31/$G31)))</f>
        <v/>
      </c>
      <c r="AK31" s="3">
        <f>IF($A31="","",IF($E31="","",IF(TODAY()&lt;$E31+450,"-",IF($D31="",SUMPRODUCT(('Picked Students (raw)'!$B$2:$B$824=$C31)*('Picked Students (raw)'!$C$2:$C$824&lt;&gt;"")*(('Picked Students (raw)'!$C$2:$C$824-$E31)&lt;450)),SUMPRODUCT(('Picked Students (raw)'!$B$2:$B$824=$C31)*('Picked Students (raw)'!$D$2:$D$824=$D31)*('Picked Students (raw)'!$C$2:$C$824&lt;&gt;"")*(('Picked Students (raw)'!$C$2:$C$824-$E31)&lt;450))))))</f>
        <v/>
      </c>
      <c r="AL31" s="5">
        <f>IF($A31="","",IF(AK31="-","-",IF($G31=0,0,AK31/$G31)))</f>
        <v/>
      </c>
      <c r="AM31" s="3">
        <f>IF($A31="","",IF($E31="","",IF(TODAY()&lt;$E31+480,"-",IF($D31="",SUMPRODUCT(('Picked Students (raw)'!$B$2:$B$824=$C31)*('Picked Students (raw)'!$C$2:$C$824&lt;&gt;"")*(('Picked Students (raw)'!$C$2:$C$824-$E31)&lt;480)),SUMPRODUCT(('Picked Students (raw)'!$B$2:$B$824=$C31)*('Picked Students (raw)'!$D$2:$D$824=$D31)*('Picked Students (raw)'!$C$2:$C$824&lt;&gt;"")*(('Picked Students (raw)'!$C$2:$C$824-$E31)&lt;480))))))</f>
        <v/>
      </c>
      <c r="AN31" s="5">
        <f>IF($A31="","",IF(AM31="-","-",IF($G31=0,0,AM31/$G31)))</f>
        <v/>
      </c>
      <c r="AO31" s="3">
        <f>IF($A31="","",IF($E31="","",IF(TODAY()&lt;$E31+510,"-",IF($D31="",SUMPRODUCT(('Picked Students (raw)'!$B$2:$B$824=$C31)*('Picked Students (raw)'!$C$2:$C$824&lt;&gt;"")*(('Picked Students (raw)'!$C$2:$C$824-$E31)&lt;510)),SUMPRODUCT(('Picked Students (raw)'!$B$2:$B$824=$C31)*('Picked Students (raw)'!$D$2:$D$824=$D31)*('Picked Students (raw)'!$C$2:$C$824&lt;&gt;"")*(('Picked Students (raw)'!$C$2:$C$824-$E31)&lt;510))))))</f>
        <v/>
      </c>
      <c r="AP31" s="5">
        <f>IF($A31="","",IF(AO31="-","-",IF($G31=0,0,AO31/$G31)))</f>
        <v/>
      </c>
      <c r="AQ31" s="3">
        <f>IF($A31="","",IF($E31="","",IF(TODAY()&lt;$E31+540,"-",IF($D31="",SUMPRODUCT(('Picked Students (raw)'!$B$2:$B$824=$C31)*('Picked Students (raw)'!$C$2:$C$824&lt;&gt;"")*(('Picked Students (raw)'!$C$2:$C$824-$E31)&lt;540)),SUMPRODUCT(('Picked Students (raw)'!$B$2:$B$824=$C31)*('Picked Students (raw)'!$D$2:$D$824=$D31)*('Picked Students (raw)'!$C$2:$C$824&lt;&gt;"")*(('Picked Students (raw)'!$C$2:$C$824-$E31)&lt;540))))))</f>
        <v/>
      </c>
      <c r="AR31" s="5">
        <f>IF($A31="","",IF(AQ31="-","-",IF($G31=0,0,AQ31/$G31)))</f>
        <v/>
      </c>
      <c r="AS31" s="3">
        <f>IF($A31="","",IF(AQ31="-","-",$H31-AQ31))</f>
        <v/>
      </c>
    </row>
    <row r="32">
      <c r="A32" s="3" t="inlineStr">
        <is>
          <t>Professional Certificate Course In Data Science - July 2025</t>
        </is>
      </c>
      <c r="B32" s="3">
        <f>IF($A32="","",IFERROR(IF(INDEX('Batch Enrollment (Metabase)'!$C$2:$C$47,MATCH($A32,'Batch Enrollment (Metabase)'!$A$2:$A$47,0))="GEM","A",IF(INDEX('Batch Enrollment (Metabase)'!$C$2:$C$47,MATCH($A32,'Batch Enrollment (Metabase)'!$A$2:$A$47,0))="Non-GEM","B","")),""))</f>
        <v/>
      </c>
      <c r="C32" s="3">
        <f>IF($A32="","",IFERROR(INDEX('Batch Enrollment (Metabase)'!$B$2:$B$47,MATCH($A32,'Batch Enrollment (Metabase)'!$A$2:$A$47,0)),""))</f>
        <v/>
      </c>
      <c r="D32" s="3">
        <f>IF($A32="","",IFERROR(INDEX('Batch Enrollment (Metabase)'!$C$2:$C$47,MATCH($A32,'Batch Enrollment (Metabase)'!$A$2:$A$47,0)),""))</f>
        <v/>
      </c>
      <c r="E32" s="4">
        <f>IF($A32="","",IFERROR(INDEX('Batch Enrollment (Metabase)'!$D$2:$D$47,MATCH($A32,'Batch Enrollment (Metabase)'!$A$2:$A$47,0)),""))</f>
        <v/>
      </c>
      <c r="F32" s="3">
        <f>IF($A32="","",IFERROR(INDEX('Batch Enrollment (Metabase)'!$E$2:$E$47,MATCH($A32,'Batch Enrollment (Metabase)'!$A$2:$A$47,0)),""))</f>
        <v/>
      </c>
      <c r="G32" s="3">
        <f>IF($A32="","",IFERROR(INDEX('Batch Enrollment (Metabase)'!$F$2:$F$47,MATCH($A32,'Batch Enrollment (Metabase)'!$A$2:$A$47,0)),""))</f>
        <v/>
      </c>
      <c r="H32" s="3">
        <f>IF($A32="","",IF($D32="",COUNTIF('Picked Students (raw)'!$B$2:$B$824,$C32),COUNTIFS('Picked Students (raw)'!$B$2:$B$824,$C32,'Picked Students (raw)'!$D$2:$D$824,$D32)))</f>
        <v/>
      </c>
      <c r="I32" s="3">
        <f>IF($A32="","",IF($E32="","",IF(TODAY()&lt;$E32+30,"-",IF($D32="",SUMPRODUCT(('Picked Students (raw)'!$B$2:$B$824=$C32)*('Picked Students (raw)'!$C$2:$C$824&lt;&gt;"")*(('Picked Students (raw)'!$C$2:$C$824-$E32)&lt;30)),SUMPRODUCT(('Picked Students (raw)'!$B$2:$B$824=$C32)*('Picked Students (raw)'!$D$2:$D$824=$D32)*('Picked Students (raw)'!$C$2:$C$824&lt;&gt;"")*(('Picked Students (raw)'!$C$2:$C$824-$E32)&lt;30))))))</f>
        <v/>
      </c>
      <c r="J32" s="5">
        <f>IF($A32="","",IF(I32="-","-",IF($G32=0,0,I32/$G32)))</f>
        <v/>
      </c>
      <c r="K32" s="3">
        <f>IF($A32="","",IF($E32="","",IF(TODAY()&lt;$E32+60,"-",IF($D32="",SUMPRODUCT(('Picked Students (raw)'!$B$2:$B$824=$C32)*('Picked Students (raw)'!$C$2:$C$824&lt;&gt;"")*(('Picked Students (raw)'!$C$2:$C$824-$E32)&lt;60)),SUMPRODUCT(('Picked Students (raw)'!$B$2:$B$824=$C32)*('Picked Students (raw)'!$D$2:$D$824=$D32)*('Picked Students (raw)'!$C$2:$C$824&lt;&gt;"")*(('Picked Students (raw)'!$C$2:$C$824-$E32)&lt;60))))))</f>
        <v/>
      </c>
      <c r="L32" s="5">
        <f>IF($A32="","",IF(K32="-","-",IF($G32=0,0,K32/$G32)))</f>
        <v/>
      </c>
      <c r="M32" s="3">
        <f>IF($A32="","",IF($E32="","",IF(TODAY()&lt;$E32+90,"-",IF($D32="",SUMPRODUCT(('Picked Students (raw)'!$B$2:$B$824=$C32)*('Picked Students (raw)'!$C$2:$C$824&lt;&gt;"")*(('Picked Students (raw)'!$C$2:$C$824-$E32)&lt;90)),SUMPRODUCT(('Picked Students (raw)'!$B$2:$B$824=$C32)*('Picked Students (raw)'!$D$2:$D$824=$D32)*('Picked Students (raw)'!$C$2:$C$824&lt;&gt;"")*(('Picked Students (raw)'!$C$2:$C$824-$E32)&lt;90))))))</f>
        <v/>
      </c>
      <c r="N32" s="5">
        <f>IF($A32="","",IF(M32="-","-",IF($G32=0,0,M32/$G32)))</f>
        <v/>
      </c>
      <c r="O32" s="3">
        <f>IF($A32="","",IF($E32="","",IF(TODAY()&lt;$E32+120,"-",IF($D32="",SUMPRODUCT(('Picked Students (raw)'!$B$2:$B$824=$C32)*('Picked Students (raw)'!$C$2:$C$824&lt;&gt;"")*(('Picked Students (raw)'!$C$2:$C$824-$E32)&lt;120)),SUMPRODUCT(('Picked Students (raw)'!$B$2:$B$824=$C32)*('Picked Students (raw)'!$D$2:$D$824=$D32)*('Picked Students (raw)'!$C$2:$C$824&lt;&gt;"")*(('Picked Students (raw)'!$C$2:$C$824-$E32)&lt;120))))))</f>
        <v/>
      </c>
      <c r="P32" s="5">
        <f>IF($A32="","",IF(O32="-","-",IF($G32=0,0,O32/$G32)))</f>
        <v/>
      </c>
      <c r="Q32" s="3">
        <f>IF($A32="","",IF($E32="","",IF(TODAY()&lt;$E32+150,"-",IF($D32="",SUMPRODUCT(('Picked Students (raw)'!$B$2:$B$824=$C32)*('Picked Students (raw)'!$C$2:$C$824&lt;&gt;"")*(('Picked Students (raw)'!$C$2:$C$824-$E32)&lt;150)),SUMPRODUCT(('Picked Students (raw)'!$B$2:$B$824=$C32)*('Picked Students (raw)'!$D$2:$D$824=$D32)*('Picked Students (raw)'!$C$2:$C$824&lt;&gt;"")*(('Picked Students (raw)'!$C$2:$C$824-$E32)&lt;150))))))</f>
        <v/>
      </c>
      <c r="R32" s="5">
        <f>IF($A32="","",IF(Q32="-","-",IF($G32=0,0,Q32/$G32)))</f>
        <v/>
      </c>
      <c r="S32" s="3">
        <f>IF($A32="","",IF($E32="","",IF(TODAY()&lt;$E32+180,"-",IF($D32="",SUMPRODUCT(('Picked Students (raw)'!$B$2:$B$824=$C32)*('Picked Students (raw)'!$C$2:$C$824&lt;&gt;"")*(('Picked Students (raw)'!$C$2:$C$824-$E32)&lt;180)),SUMPRODUCT(('Picked Students (raw)'!$B$2:$B$824=$C32)*('Picked Students (raw)'!$D$2:$D$824=$D32)*('Picked Students (raw)'!$C$2:$C$824&lt;&gt;"")*(('Picked Students (raw)'!$C$2:$C$824-$E32)&lt;180))))))</f>
        <v/>
      </c>
      <c r="T32" s="5">
        <f>IF($A32="","",IF(S32="-","-",IF($G32=0,0,S32/$G32)))</f>
        <v/>
      </c>
      <c r="U32" s="3">
        <f>IF($A32="","",IF($E32="","",IF(TODAY()&lt;$E32+210,"-",IF($D32="",SUMPRODUCT(('Picked Students (raw)'!$B$2:$B$824=$C32)*('Picked Students (raw)'!$C$2:$C$824&lt;&gt;"")*(('Picked Students (raw)'!$C$2:$C$824-$E32)&lt;210)),SUMPRODUCT(('Picked Students (raw)'!$B$2:$B$824=$C32)*('Picked Students (raw)'!$D$2:$D$824=$D32)*('Picked Students (raw)'!$C$2:$C$824&lt;&gt;"")*(('Picked Students (raw)'!$C$2:$C$824-$E32)&lt;210))))))</f>
        <v/>
      </c>
      <c r="V32" s="5">
        <f>IF($A32="","",IF(U32="-","-",IF($G32=0,0,U32/$G32)))</f>
        <v/>
      </c>
      <c r="W32" s="3">
        <f>IF($A32="","",IF($E32="","",IF(TODAY()&lt;$E32+240,"-",IF($D32="",SUMPRODUCT(('Picked Students (raw)'!$B$2:$B$824=$C32)*('Picked Students (raw)'!$C$2:$C$824&lt;&gt;"")*(('Picked Students (raw)'!$C$2:$C$824-$E32)&lt;240)),SUMPRODUCT(('Picked Students (raw)'!$B$2:$B$824=$C32)*('Picked Students (raw)'!$D$2:$D$824=$D32)*('Picked Students (raw)'!$C$2:$C$824&lt;&gt;"")*(('Picked Students (raw)'!$C$2:$C$824-$E32)&lt;240))))))</f>
        <v/>
      </c>
      <c r="X32" s="5">
        <f>IF($A32="","",IF(W32="-","-",IF($G32=0,0,W32/$G32)))</f>
        <v/>
      </c>
      <c r="Y32" s="3">
        <f>IF($A32="","",IF($E32="","",IF(TODAY()&lt;$E32+270,"-",IF($D32="",SUMPRODUCT(('Picked Students (raw)'!$B$2:$B$824=$C32)*('Picked Students (raw)'!$C$2:$C$824&lt;&gt;"")*(('Picked Students (raw)'!$C$2:$C$824-$E32)&lt;270)),SUMPRODUCT(('Picked Students (raw)'!$B$2:$B$824=$C32)*('Picked Students (raw)'!$D$2:$D$824=$D32)*('Picked Students (raw)'!$C$2:$C$824&lt;&gt;"")*(('Picked Students (raw)'!$C$2:$C$824-$E32)&lt;270))))))</f>
        <v/>
      </c>
      <c r="Z32" s="5">
        <f>IF($A32="","",IF(Y32="-","-",IF($G32=0,0,Y32/$G32)))</f>
        <v/>
      </c>
      <c r="AA32" s="3">
        <f>IF($A32="","",IF($E32="","",IF(TODAY()&lt;$E32+300,"-",IF($D32="",SUMPRODUCT(('Picked Students (raw)'!$B$2:$B$824=$C32)*('Picked Students (raw)'!$C$2:$C$824&lt;&gt;"")*(('Picked Students (raw)'!$C$2:$C$824-$E32)&lt;300)),SUMPRODUCT(('Picked Students (raw)'!$B$2:$B$824=$C32)*('Picked Students (raw)'!$D$2:$D$824=$D32)*('Picked Students (raw)'!$C$2:$C$824&lt;&gt;"")*(('Picked Students (raw)'!$C$2:$C$824-$E32)&lt;300))))))</f>
        <v/>
      </c>
      <c r="AB32" s="5">
        <f>IF($A32="","",IF(AA32="-","-",IF($G32=0,0,AA32/$G32)))</f>
        <v/>
      </c>
      <c r="AC32" s="3">
        <f>IF($A32="","",IF($E32="","",IF(TODAY()&lt;$E32+330,"-",IF($D32="",SUMPRODUCT(('Picked Students (raw)'!$B$2:$B$824=$C32)*('Picked Students (raw)'!$C$2:$C$824&lt;&gt;"")*(('Picked Students (raw)'!$C$2:$C$824-$E32)&lt;330)),SUMPRODUCT(('Picked Students (raw)'!$B$2:$B$824=$C32)*('Picked Students (raw)'!$D$2:$D$824=$D32)*('Picked Students (raw)'!$C$2:$C$824&lt;&gt;"")*(('Picked Students (raw)'!$C$2:$C$824-$E32)&lt;330))))))</f>
        <v/>
      </c>
      <c r="AD32" s="5">
        <f>IF($A32="","",IF(AC32="-","-",IF($G32=0,0,AC32/$G32)))</f>
        <v/>
      </c>
      <c r="AE32" s="3">
        <f>IF($A32="","",IF($E32="","",IF(TODAY()&lt;$E32+360,"-",IF($D32="",SUMPRODUCT(('Picked Students (raw)'!$B$2:$B$824=$C32)*('Picked Students (raw)'!$C$2:$C$824&lt;&gt;"")*(('Picked Students (raw)'!$C$2:$C$824-$E32)&lt;360)),SUMPRODUCT(('Picked Students (raw)'!$B$2:$B$824=$C32)*('Picked Students (raw)'!$D$2:$D$824=$D32)*('Picked Students (raw)'!$C$2:$C$824&lt;&gt;"")*(('Picked Students (raw)'!$C$2:$C$824-$E32)&lt;360))))))</f>
        <v/>
      </c>
      <c r="AF32" s="5">
        <f>IF($A32="","",IF(AE32="-","-",IF($G32=0,0,AE32/$G32)))</f>
        <v/>
      </c>
      <c r="AG32" s="3">
        <f>IF($A32="","",IF($E32="","",IF(TODAY()&lt;$E32+390,"-",IF($D32="",SUMPRODUCT(('Picked Students (raw)'!$B$2:$B$824=$C32)*('Picked Students (raw)'!$C$2:$C$824&lt;&gt;"")*(('Picked Students (raw)'!$C$2:$C$824-$E32)&lt;390)),SUMPRODUCT(('Picked Students (raw)'!$B$2:$B$824=$C32)*('Picked Students (raw)'!$D$2:$D$824=$D32)*('Picked Students (raw)'!$C$2:$C$824&lt;&gt;"")*(('Picked Students (raw)'!$C$2:$C$824-$E32)&lt;390))))))</f>
        <v/>
      </c>
      <c r="AH32" s="5">
        <f>IF($A32="","",IF(AG32="-","-",IF($G32=0,0,AG32/$G32)))</f>
        <v/>
      </c>
      <c r="AI32" s="3">
        <f>IF($A32="","",IF($E32="","",IF(TODAY()&lt;$E32+420,"-",IF($D32="",SUMPRODUCT(('Picked Students (raw)'!$B$2:$B$824=$C32)*('Picked Students (raw)'!$C$2:$C$824&lt;&gt;"")*(('Picked Students (raw)'!$C$2:$C$824-$E32)&lt;420)),SUMPRODUCT(('Picked Students (raw)'!$B$2:$B$824=$C32)*('Picked Students (raw)'!$D$2:$D$824=$D32)*('Picked Students (raw)'!$C$2:$C$824&lt;&gt;"")*(('Picked Students (raw)'!$C$2:$C$824-$E32)&lt;420))))))</f>
        <v/>
      </c>
      <c r="AJ32" s="5">
        <f>IF($A32="","",IF(AI32="-","-",IF($G32=0,0,AI32/$G32)))</f>
        <v/>
      </c>
      <c r="AK32" s="3">
        <f>IF($A32="","",IF($E32="","",IF(TODAY()&lt;$E32+450,"-",IF($D32="",SUMPRODUCT(('Picked Students (raw)'!$B$2:$B$824=$C32)*('Picked Students (raw)'!$C$2:$C$824&lt;&gt;"")*(('Picked Students (raw)'!$C$2:$C$824-$E32)&lt;450)),SUMPRODUCT(('Picked Students (raw)'!$B$2:$B$824=$C32)*('Picked Students (raw)'!$D$2:$D$824=$D32)*('Picked Students (raw)'!$C$2:$C$824&lt;&gt;"")*(('Picked Students (raw)'!$C$2:$C$824-$E32)&lt;450))))))</f>
        <v/>
      </c>
      <c r="AL32" s="5">
        <f>IF($A32="","",IF(AK32="-","-",IF($G32=0,0,AK32/$G32)))</f>
        <v/>
      </c>
      <c r="AM32" s="3">
        <f>IF($A32="","",IF($E32="","",IF(TODAY()&lt;$E32+480,"-",IF($D32="",SUMPRODUCT(('Picked Students (raw)'!$B$2:$B$824=$C32)*('Picked Students (raw)'!$C$2:$C$824&lt;&gt;"")*(('Picked Students (raw)'!$C$2:$C$824-$E32)&lt;480)),SUMPRODUCT(('Picked Students (raw)'!$B$2:$B$824=$C32)*('Picked Students (raw)'!$D$2:$D$824=$D32)*('Picked Students (raw)'!$C$2:$C$824&lt;&gt;"")*(('Picked Students (raw)'!$C$2:$C$824-$E32)&lt;480))))))</f>
        <v/>
      </c>
      <c r="AN32" s="5">
        <f>IF($A32="","",IF(AM32="-","-",IF($G32=0,0,AM32/$G32)))</f>
        <v/>
      </c>
      <c r="AO32" s="3">
        <f>IF($A32="","",IF($E32="","",IF(TODAY()&lt;$E32+510,"-",IF($D32="",SUMPRODUCT(('Picked Students (raw)'!$B$2:$B$824=$C32)*('Picked Students (raw)'!$C$2:$C$824&lt;&gt;"")*(('Picked Students (raw)'!$C$2:$C$824-$E32)&lt;510)),SUMPRODUCT(('Picked Students (raw)'!$B$2:$B$824=$C32)*('Picked Students (raw)'!$D$2:$D$824=$D32)*('Picked Students (raw)'!$C$2:$C$824&lt;&gt;"")*(('Picked Students (raw)'!$C$2:$C$824-$E32)&lt;510))))))</f>
        <v/>
      </c>
      <c r="AP32" s="5">
        <f>IF($A32="","",IF(AO32="-","-",IF($G32=0,0,AO32/$G32)))</f>
        <v/>
      </c>
      <c r="AQ32" s="3">
        <f>IF($A32="","",IF($E32="","",IF(TODAY()&lt;$E32+540,"-",IF($D32="",SUMPRODUCT(('Picked Students (raw)'!$B$2:$B$824=$C32)*('Picked Students (raw)'!$C$2:$C$824&lt;&gt;"")*(('Picked Students (raw)'!$C$2:$C$824-$E32)&lt;540)),SUMPRODUCT(('Picked Students (raw)'!$B$2:$B$824=$C32)*('Picked Students (raw)'!$D$2:$D$824=$D32)*('Picked Students (raw)'!$C$2:$C$824&lt;&gt;"")*(('Picked Students (raw)'!$C$2:$C$824-$E32)&lt;540))))))</f>
        <v/>
      </c>
      <c r="AR32" s="5">
        <f>IF($A32="","",IF(AQ32="-","-",IF($G32=0,0,AQ32/$G32)))</f>
        <v/>
      </c>
      <c r="AS32" s="3">
        <f>IF($A32="","",IF(AQ32="-","-",$H32-AQ32))</f>
        <v/>
      </c>
    </row>
    <row r="33">
      <c r="A33" s="3" t="inlineStr">
        <is>
          <t>Professional Certificate Course In Data Science August 2025</t>
        </is>
      </c>
      <c r="B33" s="3">
        <f>IF($A33="","",IFERROR(IF(INDEX('Batch Enrollment (Metabase)'!$C$2:$C$47,MATCH($A33,'Batch Enrollment (Metabase)'!$A$2:$A$47,0))="GEM","A",IF(INDEX('Batch Enrollment (Metabase)'!$C$2:$C$47,MATCH($A33,'Batch Enrollment (Metabase)'!$A$2:$A$47,0))="Non-GEM","B","")),""))</f>
        <v/>
      </c>
      <c r="C33" s="3">
        <f>IF($A33="","",IFERROR(INDEX('Batch Enrollment (Metabase)'!$B$2:$B$47,MATCH($A33,'Batch Enrollment (Metabase)'!$A$2:$A$47,0)),""))</f>
        <v/>
      </c>
      <c r="D33" s="3">
        <f>IF($A33="","",IFERROR(INDEX('Batch Enrollment (Metabase)'!$C$2:$C$47,MATCH($A33,'Batch Enrollment (Metabase)'!$A$2:$A$47,0)),""))</f>
        <v/>
      </c>
      <c r="E33" s="4">
        <f>IF($A33="","",IFERROR(INDEX('Batch Enrollment (Metabase)'!$D$2:$D$47,MATCH($A33,'Batch Enrollment (Metabase)'!$A$2:$A$47,0)),""))</f>
        <v/>
      </c>
      <c r="F33" s="3">
        <f>IF($A33="","",IFERROR(INDEX('Batch Enrollment (Metabase)'!$E$2:$E$47,MATCH($A33,'Batch Enrollment (Metabase)'!$A$2:$A$47,0)),""))</f>
        <v/>
      </c>
      <c r="G33" s="3">
        <f>IF($A33="","",IFERROR(INDEX('Batch Enrollment (Metabase)'!$F$2:$F$47,MATCH($A33,'Batch Enrollment (Metabase)'!$A$2:$A$47,0)),""))</f>
        <v/>
      </c>
      <c r="H33" s="3">
        <f>IF($A33="","",IF($D33="",COUNTIF('Picked Students (raw)'!$B$2:$B$824,$C33),COUNTIFS('Picked Students (raw)'!$B$2:$B$824,$C33,'Picked Students (raw)'!$D$2:$D$824,$D33)))</f>
        <v/>
      </c>
      <c r="I33" s="3">
        <f>IF($A33="","",IF($E33="","",IF(TODAY()&lt;$E33+30,"-",IF($D33="",SUMPRODUCT(('Picked Students (raw)'!$B$2:$B$824=$C33)*('Picked Students (raw)'!$C$2:$C$824&lt;&gt;"")*(('Picked Students (raw)'!$C$2:$C$824-$E33)&lt;30)),SUMPRODUCT(('Picked Students (raw)'!$B$2:$B$824=$C33)*('Picked Students (raw)'!$D$2:$D$824=$D33)*('Picked Students (raw)'!$C$2:$C$824&lt;&gt;"")*(('Picked Students (raw)'!$C$2:$C$824-$E33)&lt;30))))))</f>
        <v/>
      </c>
      <c r="J33" s="5">
        <f>IF($A33="","",IF(I33="-","-",IF($G33=0,0,I33/$G33)))</f>
        <v/>
      </c>
      <c r="K33" s="3">
        <f>IF($A33="","",IF($E33="","",IF(TODAY()&lt;$E33+60,"-",IF($D33="",SUMPRODUCT(('Picked Students (raw)'!$B$2:$B$824=$C33)*('Picked Students (raw)'!$C$2:$C$824&lt;&gt;"")*(('Picked Students (raw)'!$C$2:$C$824-$E33)&lt;60)),SUMPRODUCT(('Picked Students (raw)'!$B$2:$B$824=$C33)*('Picked Students (raw)'!$D$2:$D$824=$D33)*('Picked Students (raw)'!$C$2:$C$824&lt;&gt;"")*(('Picked Students (raw)'!$C$2:$C$824-$E33)&lt;60))))))</f>
        <v/>
      </c>
      <c r="L33" s="5">
        <f>IF($A33="","",IF(K33="-","-",IF($G33=0,0,K33/$G33)))</f>
        <v/>
      </c>
      <c r="M33" s="3">
        <f>IF($A33="","",IF($E33="","",IF(TODAY()&lt;$E33+90,"-",IF($D33="",SUMPRODUCT(('Picked Students (raw)'!$B$2:$B$824=$C33)*('Picked Students (raw)'!$C$2:$C$824&lt;&gt;"")*(('Picked Students (raw)'!$C$2:$C$824-$E33)&lt;90)),SUMPRODUCT(('Picked Students (raw)'!$B$2:$B$824=$C33)*('Picked Students (raw)'!$D$2:$D$824=$D33)*('Picked Students (raw)'!$C$2:$C$824&lt;&gt;"")*(('Picked Students (raw)'!$C$2:$C$824-$E33)&lt;90))))))</f>
        <v/>
      </c>
      <c r="N33" s="5">
        <f>IF($A33="","",IF(M33="-","-",IF($G33=0,0,M33/$G33)))</f>
        <v/>
      </c>
      <c r="O33" s="3">
        <f>IF($A33="","",IF($E33="","",IF(TODAY()&lt;$E33+120,"-",IF($D33="",SUMPRODUCT(('Picked Students (raw)'!$B$2:$B$824=$C33)*('Picked Students (raw)'!$C$2:$C$824&lt;&gt;"")*(('Picked Students (raw)'!$C$2:$C$824-$E33)&lt;120)),SUMPRODUCT(('Picked Students (raw)'!$B$2:$B$824=$C33)*('Picked Students (raw)'!$D$2:$D$824=$D33)*('Picked Students (raw)'!$C$2:$C$824&lt;&gt;"")*(('Picked Students (raw)'!$C$2:$C$824-$E33)&lt;120))))))</f>
        <v/>
      </c>
      <c r="P33" s="5">
        <f>IF($A33="","",IF(O33="-","-",IF($G33=0,0,O33/$G33)))</f>
        <v/>
      </c>
      <c r="Q33" s="3">
        <f>IF($A33="","",IF($E33="","",IF(TODAY()&lt;$E33+150,"-",IF($D33="",SUMPRODUCT(('Picked Students (raw)'!$B$2:$B$824=$C33)*('Picked Students (raw)'!$C$2:$C$824&lt;&gt;"")*(('Picked Students (raw)'!$C$2:$C$824-$E33)&lt;150)),SUMPRODUCT(('Picked Students (raw)'!$B$2:$B$824=$C33)*('Picked Students (raw)'!$D$2:$D$824=$D33)*('Picked Students (raw)'!$C$2:$C$824&lt;&gt;"")*(('Picked Students (raw)'!$C$2:$C$824-$E33)&lt;150))))))</f>
        <v/>
      </c>
      <c r="R33" s="5">
        <f>IF($A33="","",IF(Q33="-","-",IF($G33=0,0,Q33/$G33)))</f>
        <v/>
      </c>
      <c r="S33" s="3">
        <f>IF($A33="","",IF($E33="","",IF(TODAY()&lt;$E33+180,"-",IF($D33="",SUMPRODUCT(('Picked Students (raw)'!$B$2:$B$824=$C33)*('Picked Students (raw)'!$C$2:$C$824&lt;&gt;"")*(('Picked Students (raw)'!$C$2:$C$824-$E33)&lt;180)),SUMPRODUCT(('Picked Students (raw)'!$B$2:$B$824=$C33)*('Picked Students (raw)'!$D$2:$D$824=$D33)*('Picked Students (raw)'!$C$2:$C$824&lt;&gt;"")*(('Picked Students (raw)'!$C$2:$C$824-$E33)&lt;180))))))</f>
        <v/>
      </c>
      <c r="T33" s="5">
        <f>IF($A33="","",IF(S33="-","-",IF($G33=0,0,S33/$G33)))</f>
        <v/>
      </c>
      <c r="U33" s="3">
        <f>IF($A33="","",IF($E33="","",IF(TODAY()&lt;$E33+210,"-",IF($D33="",SUMPRODUCT(('Picked Students (raw)'!$B$2:$B$824=$C33)*('Picked Students (raw)'!$C$2:$C$824&lt;&gt;"")*(('Picked Students (raw)'!$C$2:$C$824-$E33)&lt;210)),SUMPRODUCT(('Picked Students (raw)'!$B$2:$B$824=$C33)*('Picked Students (raw)'!$D$2:$D$824=$D33)*('Picked Students (raw)'!$C$2:$C$824&lt;&gt;"")*(('Picked Students (raw)'!$C$2:$C$824-$E33)&lt;210))))))</f>
        <v/>
      </c>
      <c r="V33" s="5">
        <f>IF($A33="","",IF(U33="-","-",IF($G33=0,0,U33/$G33)))</f>
        <v/>
      </c>
      <c r="W33" s="3">
        <f>IF($A33="","",IF($E33="","",IF(TODAY()&lt;$E33+240,"-",IF($D33="",SUMPRODUCT(('Picked Students (raw)'!$B$2:$B$824=$C33)*('Picked Students (raw)'!$C$2:$C$824&lt;&gt;"")*(('Picked Students (raw)'!$C$2:$C$824-$E33)&lt;240)),SUMPRODUCT(('Picked Students (raw)'!$B$2:$B$824=$C33)*('Picked Students (raw)'!$D$2:$D$824=$D33)*('Picked Students (raw)'!$C$2:$C$824&lt;&gt;"")*(('Picked Students (raw)'!$C$2:$C$824-$E33)&lt;240))))))</f>
        <v/>
      </c>
      <c r="X33" s="5">
        <f>IF($A33="","",IF(W33="-","-",IF($G33=0,0,W33/$G33)))</f>
        <v/>
      </c>
      <c r="Y33" s="3">
        <f>IF($A33="","",IF($E33="","",IF(TODAY()&lt;$E33+270,"-",IF($D33="",SUMPRODUCT(('Picked Students (raw)'!$B$2:$B$824=$C33)*('Picked Students (raw)'!$C$2:$C$824&lt;&gt;"")*(('Picked Students (raw)'!$C$2:$C$824-$E33)&lt;270)),SUMPRODUCT(('Picked Students (raw)'!$B$2:$B$824=$C33)*('Picked Students (raw)'!$D$2:$D$824=$D33)*('Picked Students (raw)'!$C$2:$C$824&lt;&gt;"")*(('Picked Students (raw)'!$C$2:$C$824-$E33)&lt;270))))))</f>
        <v/>
      </c>
      <c r="Z33" s="5">
        <f>IF($A33="","",IF(Y33="-","-",IF($G33=0,0,Y33/$G33)))</f>
        <v/>
      </c>
      <c r="AA33" s="3">
        <f>IF($A33="","",IF($E33="","",IF(TODAY()&lt;$E33+300,"-",IF($D33="",SUMPRODUCT(('Picked Students (raw)'!$B$2:$B$824=$C33)*('Picked Students (raw)'!$C$2:$C$824&lt;&gt;"")*(('Picked Students (raw)'!$C$2:$C$824-$E33)&lt;300)),SUMPRODUCT(('Picked Students (raw)'!$B$2:$B$824=$C33)*('Picked Students (raw)'!$D$2:$D$824=$D33)*('Picked Students (raw)'!$C$2:$C$824&lt;&gt;"")*(('Picked Students (raw)'!$C$2:$C$824-$E33)&lt;300))))))</f>
        <v/>
      </c>
      <c r="AB33" s="5">
        <f>IF($A33="","",IF(AA33="-","-",IF($G33=0,0,AA33/$G33)))</f>
        <v/>
      </c>
      <c r="AC33" s="3">
        <f>IF($A33="","",IF($E33="","",IF(TODAY()&lt;$E33+330,"-",IF($D33="",SUMPRODUCT(('Picked Students (raw)'!$B$2:$B$824=$C33)*('Picked Students (raw)'!$C$2:$C$824&lt;&gt;"")*(('Picked Students (raw)'!$C$2:$C$824-$E33)&lt;330)),SUMPRODUCT(('Picked Students (raw)'!$B$2:$B$824=$C33)*('Picked Students (raw)'!$D$2:$D$824=$D33)*('Picked Students (raw)'!$C$2:$C$824&lt;&gt;"")*(('Picked Students (raw)'!$C$2:$C$824-$E33)&lt;330))))))</f>
        <v/>
      </c>
      <c r="AD33" s="5">
        <f>IF($A33="","",IF(AC33="-","-",IF($G33=0,0,AC33/$G33)))</f>
        <v/>
      </c>
      <c r="AE33" s="3">
        <f>IF($A33="","",IF($E33="","",IF(TODAY()&lt;$E33+360,"-",IF($D33="",SUMPRODUCT(('Picked Students (raw)'!$B$2:$B$824=$C33)*('Picked Students (raw)'!$C$2:$C$824&lt;&gt;"")*(('Picked Students (raw)'!$C$2:$C$824-$E33)&lt;360)),SUMPRODUCT(('Picked Students (raw)'!$B$2:$B$824=$C33)*('Picked Students (raw)'!$D$2:$D$824=$D33)*('Picked Students (raw)'!$C$2:$C$824&lt;&gt;"")*(('Picked Students (raw)'!$C$2:$C$824-$E33)&lt;360))))))</f>
        <v/>
      </c>
      <c r="AF33" s="5">
        <f>IF($A33="","",IF(AE33="-","-",IF($G33=0,0,AE33/$G33)))</f>
        <v/>
      </c>
      <c r="AG33" s="3">
        <f>IF($A33="","",IF($E33="","",IF(TODAY()&lt;$E33+390,"-",IF($D33="",SUMPRODUCT(('Picked Students (raw)'!$B$2:$B$824=$C33)*('Picked Students (raw)'!$C$2:$C$824&lt;&gt;"")*(('Picked Students (raw)'!$C$2:$C$824-$E33)&lt;390)),SUMPRODUCT(('Picked Students (raw)'!$B$2:$B$824=$C33)*('Picked Students (raw)'!$D$2:$D$824=$D33)*('Picked Students (raw)'!$C$2:$C$824&lt;&gt;"")*(('Picked Students (raw)'!$C$2:$C$824-$E33)&lt;390))))))</f>
        <v/>
      </c>
      <c r="AH33" s="5">
        <f>IF($A33="","",IF(AG33="-","-",IF($G33=0,0,AG33/$G33)))</f>
        <v/>
      </c>
      <c r="AI33" s="3">
        <f>IF($A33="","",IF($E33="","",IF(TODAY()&lt;$E33+420,"-",IF($D33="",SUMPRODUCT(('Picked Students (raw)'!$B$2:$B$824=$C33)*('Picked Students (raw)'!$C$2:$C$824&lt;&gt;"")*(('Picked Students (raw)'!$C$2:$C$824-$E33)&lt;420)),SUMPRODUCT(('Picked Students (raw)'!$B$2:$B$824=$C33)*('Picked Students (raw)'!$D$2:$D$824=$D33)*('Picked Students (raw)'!$C$2:$C$824&lt;&gt;"")*(('Picked Students (raw)'!$C$2:$C$824-$E33)&lt;420))))))</f>
        <v/>
      </c>
      <c r="AJ33" s="5">
        <f>IF($A33="","",IF(AI33="-","-",IF($G33=0,0,AI33/$G33)))</f>
        <v/>
      </c>
      <c r="AK33" s="3">
        <f>IF($A33="","",IF($E33="","",IF(TODAY()&lt;$E33+450,"-",IF($D33="",SUMPRODUCT(('Picked Students (raw)'!$B$2:$B$824=$C33)*('Picked Students (raw)'!$C$2:$C$824&lt;&gt;"")*(('Picked Students (raw)'!$C$2:$C$824-$E33)&lt;450)),SUMPRODUCT(('Picked Students (raw)'!$B$2:$B$824=$C33)*('Picked Students (raw)'!$D$2:$D$824=$D33)*('Picked Students (raw)'!$C$2:$C$824&lt;&gt;"")*(('Picked Students (raw)'!$C$2:$C$824-$E33)&lt;450))))))</f>
        <v/>
      </c>
      <c r="AL33" s="5">
        <f>IF($A33="","",IF(AK33="-","-",IF($G33=0,0,AK33/$G33)))</f>
        <v/>
      </c>
      <c r="AM33" s="3">
        <f>IF($A33="","",IF($E33="","",IF(TODAY()&lt;$E33+480,"-",IF($D33="",SUMPRODUCT(('Picked Students (raw)'!$B$2:$B$824=$C33)*('Picked Students (raw)'!$C$2:$C$824&lt;&gt;"")*(('Picked Students (raw)'!$C$2:$C$824-$E33)&lt;480)),SUMPRODUCT(('Picked Students (raw)'!$B$2:$B$824=$C33)*('Picked Students (raw)'!$D$2:$D$824=$D33)*('Picked Students (raw)'!$C$2:$C$824&lt;&gt;"")*(('Picked Students (raw)'!$C$2:$C$824-$E33)&lt;480))))))</f>
        <v/>
      </c>
      <c r="AN33" s="5">
        <f>IF($A33="","",IF(AM33="-","-",IF($G33=0,0,AM33/$G33)))</f>
        <v/>
      </c>
      <c r="AO33" s="3">
        <f>IF($A33="","",IF($E33="","",IF(TODAY()&lt;$E33+510,"-",IF($D33="",SUMPRODUCT(('Picked Students (raw)'!$B$2:$B$824=$C33)*('Picked Students (raw)'!$C$2:$C$824&lt;&gt;"")*(('Picked Students (raw)'!$C$2:$C$824-$E33)&lt;510)),SUMPRODUCT(('Picked Students (raw)'!$B$2:$B$824=$C33)*('Picked Students (raw)'!$D$2:$D$824=$D33)*('Picked Students (raw)'!$C$2:$C$824&lt;&gt;"")*(('Picked Students (raw)'!$C$2:$C$824-$E33)&lt;510))))))</f>
        <v/>
      </c>
      <c r="AP33" s="5">
        <f>IF($A33="","",IF(AO33="-","-",IF($G33=0,0,AO33/$G33)))</f>
        <v/>
      </c>
      <c r="AQ33" s="3">
        <f>IF($A33="","",IF($E33="","",IF(TODAY()&lt;$E33+540,"-",IF($D33="",SUMPRODUCT(('Picked Students (raw)'!$B$2:$B$824=$C33)*('Picked Students (raw)'!$C$2:$C$824&lt;&gt;"")*(('Picked Students (raw)'!$C$2:$C$824-$E33)&lt;540)),SUMPRODUCT(('Picked Students (raw)'!$B$2:$B$824=$C33)*('Picked Students (raw)'!$D$2:$D$824=$D33)*('Picked Students (raw)'!$C$2:$C$824&lt;&gt;"")*(('Picked Students (raw)'!$C$2:$C$824-$E33)&lt;540))))))</f>
        <v/>
      </c>
      <c r="AR33" s="5">
        <f>IF($A33="","",IF(AQ33="-","-",IF($G33=0,0,AQ33/$G33)))</f>
        <v/>
      </c>
      <c r="AS33" s="3">
        <f>IF($A33="","",IF(AQ33="-","-",$H33-AQ33))</f>
        <v/>
      </c>
    </row>
    <row r="34">
      <c r="A34" s="3" t="inlineStr">
        <is>
          <t>Professional Certificate Course In Data Science September 2025</t>
        </is>
      </c>
      <c r="B34" s="3">
        <f>IF($A34="","",IFERROR(IF(INDEX('Batch Enrollment (Metabase)'!$C$2:$C$47,MATCH($A34,'Batch Enrollment (Metabase)'!$A$2:$A$47,0))="GEM","A",IF(INDEX('Batch Enrollment (Metabase)'!$C$2:$C$47,MATCH($A34,'Batch Enrollment (Metabase)'!$A$2:$A$47,0))="Non-GEM","B","")),""))</f>
        <v/>
      </c>
      <c r="C34" s="3">
        <f>IF($A34="","",IFERROR(INDEX('Batch Enrollment (Metabase)'!$B$2:$B$47,MATCH($A34,'Batch Enrollment (Metabase)'!$A$2:$A$47,0)),""))</f>
        <v/>
      </c>
      <c r="D34" s="3">
        <f>IF($A34="","",IFERROR(INDEX('Batch Enrollment (Metabase)'!$C$2:$C$47,MATCH($A34,'Batch Enrollment (Metabase)'!$A$2:$A$47,0)),""))</f>
        <v/>
      </c>
      <c r="E34" s="4">
        <f>IF($A34="","",IFERROR(INDEX('Batch Enrollment (Metabase)'!$D$2:$D$47,MATCH($A34,'Batch Enrollment (Metabase)'!$A$2:$A$47,0)),""))</f>
        <v/>
      </c>
      <c r="F34" s="3">
        <f>IF($A34="","",IFERROR(INDEX('Batch Enrollment (Metabase)'!$E$2:$E$47,MATCH($A34,'Batch Enrollment (Metabase)'!$A$2:$A$47,0)),""))</f>
        <v/>
      </c>
      <c r="G34" s="3">
        <f>IF($A34="","",IFERROR(INDEX('Batch Enrollment (Metabase)'!$F$2:$F$47,MATCH($A34,'Batch Enrollment (Metabase)'!$A$2:$A$47,0)),""))</f>
        <v/>
      </c>
      <c r="H34" s="3">
        <f>IF($A34="","",IF($D34="",COUNTIF('Picked Students (raw)'!$B$2:$B$824,$C34),COUNTIFS('Picked Students (raw)'!$B$2:$B$824,$C34,'Picked Students (raw)'!$D$2:$D$824,$D34)))</f>
        <v/>
      </c>
      <c r="I34" s="3">
        <f>IF($A34="","",IF($E34="","",IF(TODAY()&lt;$E34+30,"-",IF($D34="",SUMPRODUCT(('Picked Students (raw)'!$B$2:$B$824=$C34)*('Picked Students (raw)'!$C$2:$C$824&lt;&gt;"")*(('Picked Students (raw)'!$C$2:$C$824-$E34)&lt;30)),SUMPRODUCT(('Picked Students (raw)'!$B$2:$B$824=$C34)*('Picked Students (raw)'!$D$2:$D$824=$D34)*('Picked Students (raw)'!$C$2:$C$824&lt;&gt;"")*(('Picked Students (raw)'!$C$2:$C$824-$E34)&lt;30))))))</f>
        <v/>
      </c>
      <c r="J34" s="5">
        <f>IF($A34="","",IF(I34="-","-",IF($G34=0,0,I34/$G34)))</f>
        <v/>
      </c>
      <c r="K34" s="3">
        <f>IF($A34="","",IF($E34="","",IF(TODAY()&lt;$E34+60,"-",IF($D34="",SUMPRODUCT(('Picked Students (raw)'!$B$2:$B$824=$C34)*('Picked Students (raw)'!$C$2:$C$824&lt;&gt;"")*(('Picked Students (raw)'!$C$2:$C$824-$E34)&lt;60)),SUMPRODUCT(('Picked Students (raw)'!$B$2:$B$824=$C34)*('Picked Students (raw)'!$D$2:$D$824=$D34)*('Picked Students (raw)'!$C$2:$C$824&lt;&gt;"")*(('Picked Students (raw)'!$C$2:$C$824-$E34)&lt;60))))))</f>
        <v/>
      </c>
      <c r="L34" s="5">
        <f>IF($A34="","",IF(K34="-","-",IF($G34=0,0,K34/$G34)))</f>
        <v/>
      </c>
      <c r="M34" s="3">
        <f>IF($A34="","",IF($E34="","",IF(TODAY()&lt;$E34+90,"-",IF($D34="",SUMPRODUCT(('Picked Students (raw)'!$B$2:$B$824=$C34)*('Picked Students (raw)'!$C$2:$C$824&lt;&gt;"")*(('Picked Students (raw)'!$C$2:$C$824-$E34)&lt;90)),SUMPRODUCT(('Picked Students (raw)'!$B$2:$B$824=$C34)*('Picked Students (raw)'!$D$2:$D$824=$D34)*('Picked Students (raw)'!$C$2:$C$824&lt;&gt;"")*(('Picked Students (raw)'!$C$2:$C$824-$E34)&lt;90))))))</f>
        <v/>
      </c>
      <c r="N34" s="5">
        <f>IF($A34="","",IF(M34="-","-",IF($G34=0,0,M34/$G34)))</f>
        <v/>
      </c>
      <c r="O34" s="3">
        <f>IF($A34="","",IF($E34="","",IF(TODAY()&lt;$E34+120,"-",IF($D34="",SUMPRODUCT(('Picked Students (raw)'!$B$2:$B$824=$C34)*('Picked Students (raw)'!$C$2:$C$824&lt;&gt;"")*(('Picked Students (raw)'!$C$2:$C$824-$E34)&lt;120)),SUMPRODUCT(('Picked Students (raw)'!$B$2:$B$824=$C34)*('Picked Students (raw)'!$D$2:$D$824=$D34)*('Picked Students (raw)'!$C$2:$C$824&lt;&gt;"")*(('Picked Students (raw)'!$C$2:$C$824-$E34)&lt;120))))))</f>
        <v/>
      </c>
      <c r="P34" s="5">
        <f>IF($A34="","",IF(O34="-","-",IF($G34=0,0,O34/$G34)))</f>
        <v/>
      </c>
      <c r="Q34" s="3">
        <f>IF($A34="","",IF($E34="","",IF(TODAY()&lt;$E34+150,"-",IF($D34="",SUMPRODUCT(('Picked Students (raw)'!$B$2:$B$824=$C34)*('Picked Students (raw)'!$C$2:$C$824&lt;&gt;"")*(('Picked Students (raw)'!$C$2:$C$824-$E34)&lt;150)),SUMPRODUCT(('Picked Students (raw)'!$B$2:$B$824=$C34)*('Picked Students (raw)'!$D$2:$D$824=$D34)*('Picked Students (raw)'!$C$2:$C$824&lt;&gt;"")*(('Picked Students (raw)'!$C$2:$C$824-$E34)&lt;150))))))</f>
        <v/>
      </c>
      <c r="R34" s="5">
        <f>IF($A34="","",IF(Q34="-","-",IF($G34=0,0,Q34/$G34)))</f>
        <v/>
      </c>
      <c r="S34" s="3">
        <f>IF($A34="","",IF($E34="","",IF(TODAY()&lt;$E34+180,"-",IF($D34="",SUMPRODUCT(('Picked Students (raw)'!$B$2:$B$824=$C34)*('Picked Students (raw)'!$C$2:$C$824&lt;&gt;"")*(('Picked Students (raw)'!$C$2:$C$824-$E34)&lt;180)),SUMPRODUCT(('Picked Students (raw)'!$B$2:$B$824=$C34)*('Picked Students (raw)'!$D$2:$D$824=$D34)*('Picked Students (raw)'!$C$2:$C$824&lt;&gt;"")*(('Picked Students (raw)'!$C$2:$C$824-$E34)&lt;180))))))</f>
        <v/>
      </c>
      <c r="T34" s="5">
        <f>IF($A34="","",IF(S34="-","-",IF($G34=0,0,S34/$G34)))</f>
        <v/>
      </c>
      <c r="U34" s="3">
        <f>IF($A34="","",IF($E34="","",IF(TODAY()&lt;$E34+210,"-",IF($D34="",SUMPRODUCT(('Picked Students (raw)'!$B$2:$B$824=$C34)*('Picked Students (raw)'!$C$2:$C$824&lt;&gt;"")*(('Picked Students (raw)'!$C$2:$C$824-$E34)&lt;210)),SUMPRODUCT(('Picked Students (raw)'!$B$2:$B$824=$C34)*('Picked Students (raw)'!$D$2:$D$824=$D34)*('Picked Students (raw)'!$C$2:$C$824&lt;&gt;"")*(('Picked Students (raw)'!$C$2:$C$824-$E34)&lt;210))))))</f>
        <v/>
      </c>
      <c r="V34" s="5">
        <f>IF($A34="","",IF(U34="-","-",IF($G34=0,0,U34/$G34)))</f>
        <v/>
      </c>
      <c r="W34" s="3">
        <f>IF($A34="","",IF($E34="","",IF(TODAY()&lt;$E34+240,"-",IF($D34="",SUMPRODUCT(('Picked Students (raw)'!$B$2:$B$824=$C34)*('Picked Students (raw)'!$C$2:$C$824&lt;&gt;"")*(('Picked Students (raw)'!$C$2:$C$824-$E34)&lt;240)),SUMPRODUCT(('Picked Students (raw)'!$B$2:$B$824=$C34)*('Picked Students (raw)'!$D$2:$D$824=$D34)*('Picked Students (raw)'!$C$2:$C$824&lt;&gt;"")*(('Picked Students (raw)'!$C$2:$C$824-$E34)&lt;240))))))</f>
        <v/>
      </c>
      <c r="X34" s="5">
        <f>IF($A34="","",IF(W34="-","-",IF($G34=0,0,W34/$G34)))</f>
        <v/>
      </c>
      <c r="Y34" s="3">
        <f>IF($A34="","",IF($E34="","",IF(TODAY()&lt;$E34+270,"-",IF($D34="",SUMPRODUCT(('Picked Students (raw)'!$B$2:$B$824=$C34)*('Picked Students (raw)'!$C$2:$C$824&lt;&gt;"")*(('Picked Students (raw)'!$C$2:$C$824-$E34)&lt;270)),SUMPRODUCT(('Picked Students (raw)'!$B$2:$B$824=$C34)*('Picked Students (raw)'!$D$2:$D$824=$D34)*('Picked Students (raw)'!$C$2:$C$824&lt;&gt;"")*(('Picked Students (raw)'!$C$2:$C$824-$E34)&lt;270))))))</f>
        <v/>
      </c>
      <c r="Z34" s="5">
        <f>IF($A34="","",IF(Y34="-","-",IF($G34=0,0,Y34/$G34)))</f>
        <v/>
      </c>
      <c r="AA34" s="3">
        <f>IF($A34="","",IF($E34="","",IF(TODAY()&lt;$E34+300,"-",IF($D34="",SUMPRODUCT(('Picked Students (raw)'!$B$2:$B$824=$C34)*('Picked Students (raw)'!$C$2:$C$824&lt;&gt;"")*(('Picked Students (raw)'!$C$2:$C$824-$E34)&lt;300)),SUMPRODUCT(('Picked Students (raw)'!$B$2:$B$824=$C34)*('Picked Students (raw)'!$D$2:$D$824=$D34)*('Picked Students (raw)'!$C$2:$C$824&lt;&gt;"")*(('Picked Students (raw)'!$C$2:$C$824-$E34)&lt;300))))))</f>
        <v/>
      </c>
      <c r="AB34" s="5">
        <f>IF($A34="","",IF(AA34="-","-",IF($G34=0,0,AA34/$G34)))</f>
        <v/>
      </c>
      <c r="AC34" s="3">
        <f>IF($A34="","",IF($E34="","",IF(TODAY()&lt;$E34+330,"-",IF($D34="",SUMPRODUCT(('Picked Students (raw)'!$B$2:$B$824=$C34)*('Picked Students (raw)'!$C$2:$C$824&lt;&gt;"")*(('Picked Students (raw)'!$C$2:$C$824-$E34)&lt;330)),SUMPRODUCT(('Picked Students (raw)'!$B$2:$B$824=$C34)*('Picked Students (raw)'!$D$2:$D$824=$D34)*('Picked Students (raw)'!$C$2:$C$824&lt;&gt;"")*(('Picked Students (raw)'!$C$2:$C$824-$E34)&lt;330))))))</f>
        <v/>
      </c>
      <c r="AD34" s="5">
        <f>IF($A34="","",IF(AC34="-","-",IF($G34=0,0,AC34/$G34)))</f>
        <v/>
      </c>
      <c r="AE34" s="3">
        <f>IF($A34="","",IF($E34="","",IF(TODAY()&lt;$E34+360,"-",IF($D34="",SUMPRODUCT(('Picked Students (raw)'!$B$2:$B$824=$C34)*('Picked Students (raw)'!$C$2:$C$824&lt;&gt;"")*(('Picked Students (raw)'!$C$2:$C$824-$E34)&lt;360)),SUMPRODUCT(('Picked Students (raw)'!$B$2:$B$824=$C34)*('Picked Students (raw)'!$D$2:$D$824=$D34)*('Picked Students (raw)'!$C$2:$C$824&lt;&gt;"")*(('Picked Students (raw)'!$C$2:$C$824-$E34)&lt;360))))))</f>
        <v/>
      </c>
      <c r="AF34" s="5">
        <f>IF($A34="","",IF(AE34="-","-",IF($G34=0,0,AE34/$G34)))</f>
        <v/>
      </c>
      <c r="AG34" s="3">
        <f>IF($A34="","",IF($E34="","",IF(TODAY()&lt;$E34+390,"-",IF($D34="",SUMPRODUCT(('Picked Students (raw)'!$B$2:$B$824=$C34)*('Picked Students (raw)'!$C$2:$C$824&lt;&gt;"")*(('Picked Students (raw)'!$C$2:$C$824-$E34)&lt;390)),SUMPRODUCT(('Picked Students (raw)'!$B$2:$B$824=$C34)*('Picked Students (raw)'!$D$2:$D$824=$D34)*('Picked Students (raw)'!$C$2:$C$824&lt;&gt;"")*(('Picked Students (raw)'!$C$2:$C$824-$E34)&lt;390))))))</f>
        <v/>
      </c>
      <c r="AH34" s="5">
        <f>IF($A34="","",IF(AG34="-","-",IF($G34=0,0,AG34/$G34)))</f>
        <v/>
      </c>
      <c r="AI34" s="3">
        <f>IF($A34="","",IF($E34="","",IF(TODAY()&lt;$E34+420,"-",IF($D34="",SUMPRODUCT(('Picked Students (raw)'!$B$2:$B$824=$C34)*('Picked Students (raw)'!$C$2:$C$824&lt;&gt;"")*(('Picked Students (raw)'!$C$2:$C$824-$E34)&lt;420)),SUMPRODUCT(('Picked Students (raw)'!$B$2:$B$824=$C34)*('Picked Students (raw)'!$D$2:$D$824=$D34)*('Picked Students (raw)'!$C$2:$C$824&lt;&gt;"")*(('Picked Students (raw)'!$C$2:$C$824-$E34)&lt;420))))))</f>
        <v/>
      </c>
      <c r="AJ34" s="5">
        <f>IF($A34="","",IF(AI34="-","-",IF($G34=0,0,AI34/$G34)))</f>
        <v/>
      </c>
      <c r="AK34" s="3">
        <f>IF($A34="","",IF($E34="","",IF(TODAY()&lt;$E34+450,"-",IF($D34="",SUMPRODUCT(('Picked Students (raw)'!$B$2:$B$824=$C34)*('Picked Students (raw)'!$C$2:$C$824&lt;&gt;"")*(('Picked Students (raw)'!$C$2:$C$824-$E34)&lt;450)),SUMPRODUCT(('Picked Students (raw)'!$B$2:$B$824=$C34)*('Picked Students (raw)'!$D$2:$D$824=$D34)*('Picked Students (raw)'!$C$2:$C$824&lt;&gt;"")*(('Picked Students (raw)'!$C$2:$C$824-$E34)&lt;450))))))</f>
        <v/>
      </c>
      <c r="AL34" s="5">
        <f>IF($A34="","",IF(AK34="-","-",IF($G34=0,0,AK34/$G34)))</f>
        <v/>
      </c>
      <c r="AM34" s="3">
        <f>IF($A34="","",IF($E34="","",IF(TODAY()&lt;$E34+480,"-",IF($D34="",SUMPRODUCT(('Picked Students (raw)'!$B$2:$B$824=$C34)*('Picked Students (raw)'!$C$2:$C$824&lt;&gt;"")*(('Picked Students (raw)'!$C$2:$C$824-$E34)&lt;480)),SUMPRODUCT(('Picked Students (raw)'!$B$2:$B$824=$C34)*('Picked Students (raw)'!$D$2:$D$824=$D34)*('Picked Students (raw)'!$C$2:$C$824&lt;&gt;"")*(('Picked Students (raw)'!$C$2:$C$824-$E34)&lt;480))))))</f>
        <v/>
      </c>
      <c r="AN34" s="5">
        <f>IF($A34="","",IF(AM34="-","-",IF($G34=0,0,AM34/$G34)))</f>
        <v/>
      </c>
      <c r="AO34" s="3">
        <f>IF($A34="","",IF($E34="","",IF(TODAY()&lt;$E34+510,"-",IF($D34="",SUMPRODUCT(('Picked Students (raw)'!$B$2:$B$824=$C34)*('Picked Students (raw)'!$C$2:$C$824&lt;&gt;"")*(('Picked Students (raw)'!$C$2:$C$824-$E34)&lt;510)),SUMPRODUCT(('Picked Students (raw)'!$B$2:$B$824=$C34)*('Picked Students (raw)'!$D$2:$D$824=$D34)*('Picked Students (raw)'!$C$2:$C$824&lt;&gt;"")*(('Picked Students (raw)'!$C$2:$C$824-$E34)&lt;510))))))</f>
        <v/>
      </c>
      <c r="AP34" s="5">
        <f>IF($A34="","",IF(AO34="-","-",IF($G34=0,0,AO34/$G34)))</f>
        <v/>
      </c>
      <c r="AQ34" s="3">
        <f>IF($A34="","",IF($E34="","",IF(TODAY()&lt;$E34+540,"-",IF($D34="",SUMPRODUCT(('Picked Students (raw)'!$B$2:$B$824=$C34)*('Picked Students (raw)'!$C$2:$C$824&lt;&gt;"")*(('Picked Students (raw)'!$C$2:$C$824-$E34)&lt;540)),SUMPRODUCT(('Picked Students (raw)'!$B$2:$B$824=$C34)*('Picked Students (raw)'!$D$2:$D$824=$D34)*('Picked Students (raw)'!$C$2:$C$824&lt;&gt;"")*(('Picked Students (raw)'!$C$2:$C$824-$E34)&lt;540))))))</f>
        <v/>
      </c>
      <c r="AR34" s="5">
        <f>IF($A34="","",IF(AQ34="-","-",IF($G34=0,0,AQ34/$G34)))</f>
        <v/>
      </c>
      <c r="AS34" s="3">
        <f>IF($A34="","",IF(AQ34="-","-",$H34-AQ34))</f>
        <v/>
      </c>
    </row>
    <row r="35">
      <c r="A35" s="3" t="inlineStr">
        <is>
          <t>Professional Certificate Course In Data Science October 2025</t>
        </is>
      </c>
      <c r="B35" s="3">
        <f>IF($A35="","",IFERROR(IF(INDEX('Batch Enrollment (Metabase)'!$C$2:$C$47,MATCH($A35,'Batch Enrollment (Metabase)'!$A$2:$A$47,0))="GEM","A",IF(INDEX('Batch Enrollment (Metabase)'!$C$2:$C$47,MATCH($A35,'Batch Enrollment (Metabase)'!$A$2:$A$47,0))="Non-GEM","B","")),""))</f>
        <v/>
      </c>
      <c r="C35" s="3">
        <f>IF($A35="","",IFERROR(INDEX('Batch Enrollment (Metabase)'!$B$2:$B$47,MATCH($A35,'Batch Enrollment (Metabase)'!$A$2:$A$47,0)),""))</f>
        <v/>
      </c>
      <c r="D35" s="3">
        <f>IF($A35="","",IFERROR(INDEX('Batch Enrollment (Metabase)'!$C$2:$C$47,MATCH($A35,'Batch Enrollment (Metabase)'!$A$2:$A$47,0)),""))</f>
        <v/>
      </c>
      <c r="E35" s="4">
        <f>IF($A35="","",IFERROR(INDEX('Batch Enrollment (Metabase)'!$D$2:$D$47,MATCH($A35,'Batch Enrollment (Metabase)'!$A$2:$A$47,0)),""))</f>
        <v/>
      </c>
      <c r="F35" s="3">
        <f>IF($A35="","",IFERROR(INDEX('Batch Enrollment (Metabase)'!$E$2:$E$47,MATCH($A35,'Batch Enrollment (Metabase)'!$A$2:$A$47,0)),""))</f>
        <v/>
      </c>
      <c r="G35" s="3">
        <f>IF($A35="","",IFERROR(INDEX('Batch Enrollment (Metabase)'!$F$2:$F$47,MATCH($A35,'Batch Enrollment (Metabase)'!$A$2:$A$47,0)),""))</f>
        <v/>
      </c>
      <c r="H35" s="3">
        <f>IF($A35="","",IF($D35="",COUNTIF('Picked Students (raw)'!$B$2:$B$824,$C35),COUNTIFS('Picked Students (raw)'!$B$2:$B$824,$C35,'Picked Students (raw)'!$D$2:$D$824,$D35)))</f>
        <v/>
      </c>
      <c r="I35" s="3">
        <f>IF($A35="","",IF($E35="","",IF(TODAY()&lt;$E35+30,"-",IF($D35="",SUMPRODUCT(('Picked Students (raw)'!$B$2:$B$824=$C35)*('Picked Students (raw)'!$C$2:$C$824&lt;&gt;"")*(('Picked Students (raw)'!$C$2:$C$824-$E35)&lt;30)),SUMPRODUCT(('Picked Students (raw)'!$B$2:$B$824=$C35)*('Picked Students (raw)'!$D$2:$D$824=$D35)*('Picked Students (raw)'!$C$2:$C$824&lt;&gt;"")*(('Picked Students (raw)'!$C$2:$C$824-$E35)&lt;30))))))</f>
        <v/>
      </c>
      <c r="J35" s="5">
        <f>IF($A35="","",IF(I35="-","-",IF($G35=0,0,I35/$G35)))</f>
        <v/>
      </c>
      <c r="K35" s="3">
        <f>IF($A35="","",IF($E35="","",IF(TODAY()&lt;$E35+60,"-",IF($D35="",SUMPRODUCT(('Picked Students (raw)'!$B$2:$B$824=$C35)*('Picked Students (raw)'!$C$2:$C$824&lt;&gt;"")*(('Picked Students (raw)'!$C$2:$C$824-$E35)&lt;60)),SUMPRODUCT(('Picked Students (raw)'!$B$2:$B$824=$C35)*('Picked Students (raw)'!$D$2:$D$824=$D35)*('Picked Students (raw)'!$C$2:$C$824&lt;&gt;"")*(('Picked Students (raw)'!$C$2:$C$824-$E35)&lt;60))))))</f>
        <v/>
      </c>
      <c r="L35" s="5">
        <f>IF($A35="","",IF(K35="-","-",IF($G35=0,0,K35/$G35)))</f>
        <v/>
      </c>
      <c r="M35" s="3">
        <f>IF($A35="","",IF($E35="","",IF(TODAY()&lt;$E35+90,"-",IF($D35="",SUMPRODUCT(('Picked Students (raw)'!$B$2:$B$824=$C35)*('Picked Students (raw)'!$C$2:$C$824&lt;&gt;"")*(('Picked Students (raw)'!$C$2:$C$824-$E35)&lt;90)),SUMPRODUCT(('Picked Students (raw)'!$B$2:$B$824=$C35)*('Picked Students (raw)'!$D$2:$D$824=$D35)*('Picked Students (raw)'!$C$2:$C$824&lt;&gt;"")*(('Picked Students (raw)'!$C$2:$C$824-$E35)&lt;90))))))</f>
        <v/>
      </c>
      <c r="N35" s="5">
        <f>IF($A35="","",IF(M35="-","-",IF($G35=0,0,M35/$G35)))</f>
        <v/>
      </c>
      <c r="O35" s="3">
        <f>IF($A35="","",IF($E35="","",IF(TODAY()&lt;$E35+120,"-",IF($D35="",SUMPRODUCT(('Picked Students (raw)'!$B$2:$B$824=$C35)*('Picked Students (raw)'!$C$2:$C$824&lt;&gt;"")*(('Picked Students (raw)'!$C$2:$C$824-$E35)&lt;120)),SUMPRODUCT(('Picked Students (raw)'!$B$2:$B$824=$C35)*('Picked Students (raw)'!$D$2:$D$824=$D35)*('Picked Students (raw)'!$C$2:$C$824&lt;&gt;"")*(('Picked Students (raw)'!$C$2:$C$824-$E35)&lt;120))))))</f>
        <v/>
      </c>
      <c r="P35" s="5">
        <f>IF($A35="","",IF(O35="-","-",IF($G35=0,0,O35/$G35)))</f>
        <v/>
      </c>
      <c r="Q35" s="3">
        <f>IF($A35="","",IF($E35="","",IF(TODAY()&lt;$E35+150,"-",IF($D35="",SUMPRODUCT(('Picked Students (raw)'!$B$2:$B$824=$C35)*('Picked Students (raw)'!$C$2:$C$824&lt;&gt;"")*(('Picked Students (raw)'!$C$2:$C$824-$E35)&lt;150)),SUMPRODUCT(('Picked Students (raw)'!$B$2:$B$824=$C35)*('Picked Students (raw)'!$D$2:$D$824=$D35)*('Picked Students (raw)'!$C$2:$C$824&lt;&gt;"")*(('Picked Students (raw)'!$C$2:$C$824-$E35)&lt;150))))))</f>
        <v/>
      </c>
      <c r="R35" s="5">
        <f>IF($A35="","",IF(Q35="-","-",IF($G35=0,0,Q35/$G35)))</f>
        <v/>
      </c>
      <c r="S35" s="3">
        <f>IF($A35="","",IF($E35="","",IF(TODAY()&lt;$E35+180,"-",IF($D35="",SUMPRODUCT(('Picked Students (raw)'!$B$2:$B$824=$C35)*('Picked Students (raw)'!$C$2:$C$824&lt;&gt;"")*(('Picked Students (raw)'!$C$2:$C$824-$E35)&lt;180)),SUMPRODUCT(('Picked Students (raw)'!$B$2:$B$824=$C35)*('Picked Students (raw)'!$D$2:$D$824=$D35)*('Picked Students (raw)'!$C$2:$C$824&lt;&gt;"")*(('Picked Students (raw)'!$C$2:$C$824-$E35)&lt;180))))))</f>
        <v/>
      </c>
      <c r="T35" s="5">
        <f>IF($A35="","",IF(S35="-","-",IF($G35=0,0,S35/$G35)))</f>
        <v/>
      </c>
      <c r="U35" s="3">
        <f>IF($A35="","",IF($E35="","",IF(TODAY()&lt;$E35+210,"-",IF($D35="",SUMPRODUCT(('Picked Students (raw)'!$B$2:$B$824=$C35)*('Picked Students (raw)'!$C$2:$C$824&lt;&gt;"")*(('Picked Students (raw)'!$C$2:$C$824-$E35)&lt;210)),SUMPRODUCT(('Picked Students (raw)'!$B$2:$B$824=$C35)*('Picked Students (raw)'!$D$2:$D$824=$D35)*('Picked Students (raw)'!$C$2:$C$824&lt;&gt;"")*(('Picked Students (raw)'!$C$2:$C$824-$E35)&lt;210))))))</f>
        <v/>
      </c>
      <c r="V35" s="5">
        <f>IF($A35="","",IF(U35="-","-",IF($G35=0,0,U35/$G35)))</f>
        <v/>
      </c>
      <c r="W35" s="3">
        <f>IF($A35="","",IF($E35="","",IF(TODAY()&lt;$E35+240,"-",IF($D35="",SUMPRODUCT(('Picked Students (raw)'!$B$2:$B$824=$C35)*('Picked Students (raw)'!$C$2:$C$824&lt;&gt;"")*(('Picked Students (raw)'!$C$2:$C$824-$E35)&lt;240)),SUMPRODUCT(('Picked Students (raw)'!$B$2:$B$824=$C35)*('Picked Students (raw)'!$D$2:$D$824=$D35)*('Picked Students (raw)'!$C$2:$C$824&lt;&gt;"")*(('Picked Students (raw)'!$C$2:$C$824-$E35)&lt;240))))))</f>
        <v/>
      </c>
      <c r="X35" s="5">
        <f>IF($A35="","",IF(W35="-","-",IF($G35=0,0,W35/$G35)))</f>
        <v/>
      </c>
      <c r="Y35" s="3">
        <f>IF($A35="","",IF($E35="","",IF(TODAY()&lt;$E35+270,"-",IF($D35="",SUMPRODUCT(('Picked Students (raw)'!$B$2:$B$824=$C35)*('Picked Students (raw)'!$C$2:$C$824&lt;&gt;"")*(('Picked Students (raw)'!$C$2:$C$824-$E35)&lt;270)),SUMPRODUCT(('Picked Students (raw)'!$B$2:$B$824=$C35)*('Picked Students (raw)'!$D$2:$D$824=$D35)*('Picked Students (raw)'!$C$2:$C$824&lt;&gt;"")*(('Picked Students (raw)'!$C$2:$C$824-$E35)&lt;270))))))</f>
        <v/>
      </c>
      <c r="Z35" s="5">
        <f>IF($A35="","",IF(Y35="-","-",IF($G35=0,0,Y35/$G35)))</f>
        <v/>
      </c>
      <c r="AA35" s="3">
        <f>IF($A35="","",IF($E35="","",IF(TODAY()&lt;$E35+300,"-",IF($D35="",SUMPRODUCT(('Picked Students (raw)'!$B$2:$B$824=$C35)*('Picked Students (raw)'!$C$2:$C$824&lt;&gt;"")*(('Picked Students (raw)'!$C$2:$C$824-$E35)&lt;300)),SUMPRODUCT(('Picked Students (raw)'!$B$2:$B$824=$C35)*('Picked Students (raw)'!$D$2:$D$824=$D35)*('Picked Students (raw)'!$C$2:$C$824&lt;&gt;"")*(('Picked Students (raw)'!$C$2:$C$824-$E35)&lt;300))))))</f>
        <v/>
      </c>
      <c r="AB35" s="5">
        <f>IF($A35="","",IF(AA35="-","-",IF($G35=0,0,AA35/$G35)))</f>
        <v/>
      </c>
      <c r="AC35" s="3">
        <f>IF($A35="","",IF($E35="","",IF(TODAY()&lt;$E35+330,"-",IF($D35="",SUMPRODUCT(('Picked Students (raw)'!$B$2:$B$824=$C35)*('Picked Students (raw)'!$C$2:$C$824&lt;&gt;"")*(('Picked Students (raw)'!$C$2:$C$824-$E35)&lt;330)),SUMPRODUCT(('Picked Students (raw)'!$B$2:$B$824=$C35)*('Picked Students (raw)'!$D$2:$D$824=$D35)*('Picked Students (raw)'!$C$2:$C$824&lt;&gt;"")*(('Picked Students (raw)'!$C$2:$C$824-$E35)&lt;330))))))</f>
        <v/>
      </c>
      <c r="AD35" s="5">
        <f>IF($A35="","",IF(AC35="-","-",IF($G35=0,0,AC35/$G35)))</f>
        <v/>
      </c>
      <c r="AE35" s="3">
        <f>IF($A35="","",IF($E35="","",IF(TODAY()&lt;$E35+360,"-",IF($D35="",SUMPRODUCT(('Picked Students (raw)'!$B$2:$B$824=$C35)*('Picked Students (raw)'!$C$2:$C$824&lt;&gt;"")*(('Picked Students (raw)'!$C$2:$C$824-$E35)&lt;360)),SUMPRODUCT(('Picked Students (raw)'!$B$2:$B$824=$C35)*('Picked Students (raw)'!$D$2:$D$824=$D35)*('Picked Students (raw)'!$C$2:$C$824&lt;&gt;"")*(('Picked Students (raw)'!$C$2:$C$824-$E35)&lt;360))))))</f>
        <v/>
      </c>
      <c r="AF35" s="5">
        <f>IF($A35="","",IF(AE35="-","-",IF($G35=0,0,AE35/$G35)))</f>
        <v/>
      </c>
      <c r="AG35" s="3">
        <f>IF($A35="","",IF($E35="","",IF(TODAY()&lt;$E35+390,"-",IF($D35="",SUMPRODUCT(('Picked Students (raw)'!$B$2:$B$824=$C35)*('Picked Students (raw)'!$C$2:$C$824&lt;&gt;"")*(('Picked Students (raw)'!$C$2:$C$824-$E35)&lt;390)),SUMPRODUCT(('Picked Students (raw)'!$B$2:$B$824=$C35)*('Picked Students (raw)'!$D$2:$D$824=$D35)*('Picked Students (raw)'!$C$2:$C$824&lt;&gt;"")*(('Picked Students (raw)'!$C$2:$C$824-$E35)&lt;390))))))</f>
        <v/>
      </c>
      <c r="AH35" s="5">
        <f>IF($A35="","",IF(AG35="-","-",IF($G35=0,0,AG35/$G35)))</f>
        <v/>
      </c>
      <c r="AI35" s="3">
        <f>IF($A35="","",IF($E35="","",IF(TODAY()&lt;$E35+420,"-",IF($D35="",SUMPRODUCT(('Picked Students (raw)'!$B$2:$B$824=$C35)*('Picked Students (raw)'!$C$2:$C$824&lt;&gt;"")*(('Picked Students (raw)'!$C$2:$C$824-$E35)&lt;420)),SUMPRODUCT(('Picked Students (raw)'!$B$2:$B$824=$C35)*('Picked Students (raw)'!$D$2:$D$824=$D35)*('Picked Students (raw)'!$C$2:$C$824&lt;&gt;"")*(('Picked Students (raw)'!$C$2:$C$824-$E35)&lt;420))))))</f>
        <v/>
      </c>
      <c r="AJ35" s="5">
        <f>IF($A35="","",IF(AI35="-","-",IF($G35=0,0,AI35/$G35)))</f>
        <v/>
      </c>
      <c r="AK35" s="3">
        <f>IF($A35="","",IF($E35="","",IF(TODAY()&lt;$E35+450,"-",IF($D35="",SUMPRODUCT(('Picked Students (raw)'!$B$2:$B$824=$C35)*('Picked Students (raw)'!$C$2:$C$824&lt;&gt;"")*(('Picked Students (raw)'!$C$2:$C$824-$E35)&lt;450)),SUMPRODUCT(('Picked Students (raw)'!$B$2:$B$824=$C35)*('Picked Students (raw)'!$D$2:$D$824=$D35)*('Picked Students (raw)'!$C$2:$C$824&lt;&gt;"")*(('Picked Students (raw)'!$C$2:$C$824-$E35)&lt;450))))))</f>
        <v/>
      </c>
      <c r="AL35" s="5">
        <f>IF($A35="","",IF(AK35="-","-",IF($G35=0,0,AK35/$G35)))</f>
        <v/>
      </c>
      <c r="AM35" s="3">
        <f>IF($A35="","",IF($E35="","",IF(TODAY()&lt;$E35+480,"-",IF($D35="",SUMPRODUCT(('Picked Students (raw)'!$B$2:$B$824=$C35)*('Picked Students (raw)'!$C$2:$C$824&lt;&gt;"")*(('Picked Students (raw)'!$C$2:$C$824-$E35)&lt;480)),SUMPRODUCT(('Picked Students (raw)'!$B$2:$B$824=$C35)*('Picked Students (raw)'!$D$2:$D$824=$D35)*('Picked Students (raw)'!$C$2:$C$824&lt;&gt;"")*(('Picked Students (raw)'!$C$2:$C$824-$E35)&lt;480))))))</f>
        <v/>
      </c>
      <c r="AN35" s="5">
        <f>IF($A35="","",IF(AM35="-","-",IF($G35=0,0,AM35/$G35)))</f>
        <v/>
      </c>
      <c r="AO35" s="3">
        <f>IF($A35="","",IF($E35="","",IF(TODAY()&lt;$E35+510,"-",IF($D35="",SUMPRODUCT(('Picked Students (raw)'!$B$2:$B$824=$C35)*('Picked Students (raw)'!$C$2:$C$824&lt;&gt;"")*(('Picked Students (raw)'!$C$2:$C$824-$E35)&lt;510)),SUMPRODUCT(('Picked Students (raw)'!$B$2:$B$824=$C35)*('Picked Students (raw)'!$D$2:$D$824=$D35)*('Picked Students (raw)'!$C$2:$C$824&lt;&gt;"")*(('Picked Students (raw)'!$C$2:$C$824-$E35)&lt;510))))))</f>
        <v/>
      </c>
      <c r="AP35" s="5">
        <f>IF($A35="","",IF(AO35="-","-",IF($G35=0,0,AO35/$G35)))</f>
        <v/>
      </c>
      <c r="AQ35" s="3">
        <f>IF($A35="","",IF($E35="","",IF(TODAY()&lt;$E35+540,"-",IF($D35="",SUMPRODUCT(('Picked Students (raw)'!$B$2:$B$824=$C35)*('Picked Students (raw)'!$C$2:$C$824&lt;&gt;"")*(('Picked Students (raw)'!$C$2:$C$824-$E35)&lt;540)),SUMPRODUCT(('Picked Students (raw)'!$B$2:$B$824=$C35)*('Picked Students (raw)'!$D$2:$D$824=$D35)*('Picked Students (raw)'!$C$2:$C$824&lt;&gt;"")*(('Picked Students (raw)'!$C$2:$C$824-$E35)&lt;540))))))</f>
        <v/>
      </c>
      <c r="AR35" s="5">
        <f>IF($A35="","",IF(AQ35="-","-",IF($G35=0,0,AQ35/$G35)))</f>
        <v/>
      </c>
      <c r="AS35" s="3">
        <f>IF($A35="","",IF(AQ35="-","-",$H35-AQ35))</f>
        <v/>
      </c>
    </row>
    <row r="36">
      <c r="A36" s="3" t="inlineStr">
        <is>
          <t>Professional Certificate Course In Data Science November 2025</t>
        </is>
      </c>
      <c r="B36" s="3">
        <f>IF($A36="","",IFERROR(IF(INDEX('Batch Enrollment (Metabase)'!$C$2:$C$47,MATCH($A36,'Batch Enrollment (Metabase)'!$A$2:$A$47,0))="GEM","A",IF(INDEX('Batch Enrollment (Metabase)'!$C$2:$C$47,MATCH($A36,'Batch Enrollment (Metabase)'!$A$2:$A$47,0))="Non-GEM","B","")),""))</f>
        <v/>
      </c>
      <c r="C36" s="3">
        <f>IF($A36="","",IFERROR(INDEX('Batch Enrollment (Metabase)'!$B$2:$B$47,MATCH($A36,'Batch Enrollment (Metabase)'!$A$2:$A$47,0)),""))</f>
        <v/>
      </c>
      <c r="D36" s="3">
        <f>IF($A36="","",IFERROR(INDEX('Batch Enrollment (Metabase)'!$C$2:$C$47,MATCH($A36,'Batch Enrollment (Metabase)'!$A$2:$A$47,0)),""))</f>
        <v/>
      </c>
      <c r="E36" s="4">
        <f>IF($A36="","",IFERROR(INDEX('Batch Enrollment (Metabase)'!$D$2:$D$47,MATCH($A36,'Batch Enrollment (Metabase)'!$A$2:$A$47,0)),""))</f>
        <v/>
      </c>
      <c r="F36" s="3">
        <f>IF($A36="","",IFERROR(INDEX('Batch Enrollment (Metabase)'!$E$2:$E$47,MATCH($A36,'Batch Enrollment (Metabase)'!$A$2:$A$47,0)),""))</f>
        <v/>
      </c>
      <c r="G36" s="3">
        <f>IF($A36="","",IFERROR(INDEX('Batch Enrollment (Metabase)'!$F$2:$F$47,MATCH($A36,'Batch Enrollment (Metabase)'!$A$2:$A$47,0)),""))</f>
        <v/>
      </c>
      <c r="H36" s="3">
        <f>IF($A36="","",IF($D36="",COUNTIF('Picked Students (raw)'!$B$2:$B$824,$C36),COUNTIFS('Picked Students (raw)'!$B$2:$B$824,$C36,'Picked Students (raw)'!$D$2:$D$824,$D36)))</f>
        <v/>
      </c>
      <c r="I36" s="3">
        <f>IF($A36="","",IF($E36="","",IF(TODAY()&lt;$E36+30,"-",IF($D36="",SUMPRODUCT(('Picked Students (raw)'!$B$2:$B$824=$C36)*('Picked Students (raw)'!$C$2:$C$824&lt;&gt;"")*(('Picked Students (raw)'!$C$2:$C$824-$E36)&lt;30)),SUMPRODUCT(('Picked Students (raw)'!$B$2:$B$824=$C36)*('Picked Students (raw)'!$D$2:$D$824=$D36)*('Picked Students (raw)'!$C$2:$C$824&lt;&gt;"")*(('Picked Students (raw)'!$C$2:$C$824-$E36)&lt;30))))))</f>
        <v/>
      </c>
      <c r="J36" s="5">
        <f>IF($A36="","",IF(I36="-","-",IF($G36=0,0,I36/$G36)))</f>
        <v/>
      </c>
      <c r="K36" s="3">
        <f>IF($A36="","",IF($E36="","",IF(TODAY()&lt;$E36+60,"-",IF($D36="",SUMPRODUCT(('Picked Students (raw)'!$B$2:$B$824=$C36)*('Picked Students (raw)'!$C$2:$C$824&lt;&gt;"")*(('Picked Students (raw)'!$C$2:$C$824-$E36)&lt;60)),SUMPRODUCT(('Picked Students (raw)'!$B$2:$B$824=$C36)*('Picked Students (raw)'!$D$2:$D$824=$D36)*('Picked Students (raw)'!$C$2:$C$824&lt;&gt;"")*(('Picked Students (raw)'!$C$2:$C$824-$E36)&lt;60))))))</f>
        <v/>
      </c>
      <c r="L36" s="5">
        <f>IF($A36="","",IF(K36="-","-",IF($G36=0,0,K36/$G36)))</f>
        <v/>
      </c>
      <c r="M36" s="3">
        <f>IF($A36="","",IF($E36="","",IF(TODAY()&lt;$E36+90,"-",IF($D36="",SUMPRODUCT(('Picked Students (raw)'!$B$2:$B$824=$C36)*('Picked Students (raw)'!$C$2:$C$824&lt;&gt;"")*(('Picked Students (raw)'!$C$2:$C$824-$E36)&lt;90)),SUMPRODUCT(('Picked Students (raw)'!$B$2:$B$824=$C36)*('Picked Students (raw)'!$D$2:$D$824=$D36)*('Picked Students (raw)'!$C$2:$C$824&lt;&gt;"")*(('Picked Students (raw)'!$C$2:$C$824-$E36)&lt;90))))))</f>
        <v/>
      </c>
      <c r="N36" s="5">
        <f>IF($A36="","",IF(M36="-","-",IF($G36=0,0,M36/$G36)))</f>
        <v/>
      </c>
      <c r="O36" s="3">
        <f>IF($A36="","",IF($E36="","",IF(TODAY()&lt;$E36+120,"-",IF($D36="",SUMPRODUCT(('Picked Students (raw)'!$B$2:$B$824=$C36)*('Picked Students (raw)'!$C$2:$C$824&lt;&gt;"")*(('Picked Students (raw)'!$C$2:$C$824-$E36)&lt;120)),SUMPRODUCT(('Picked Students (raw)'!$B$2:$B$824=$C36)*('Picked Students (raw)'!$D$2:$D$824=$D36)*('Picked Students (raw)'!$C$2:$C$824&lt;&gt;"")*(('Picked Students (raw)'!$C$2:$C$824-$E36)&lt;120))))))</f>
        <v/>
      </c>
      <c r="P36" s="5">
        <f>IF($A36="","",IF(O36="-","-",IF($G36=0,0,O36/$G36)))</f>
        <v/>
      </c>
      <c r="Q36" s="3">
        <f>IF($A36="","",IF($E36="","",IF(TODAY()&lt;$E36+150,"-",IF($D36="",SUMPRODUCT(('Picked Students (raw)'!$B$2:$B$824=$C36)*('Picked Students (raw)'!$C$2:$C$824&lt;&gt;"")*(('Picked Students (raw)'!$C$2:$C$824-$E36)&lt;150)),SUMPRODUCT(('Picked Students (raw)'!$B$2:$B$824=$C36)*('Picked Students (raw)'!$D$2:$D$824=$D36)*('Picked Students (raw)'!$C$2:$C$824&lt;&gt;"")*(('Picked Students (raw)'!$C$2:$C$824-$E36)&lt;150))))))</f>
        <v/>
      </c>
      <c r="R36" s="5">
        <f>IF($A36="","",IF(Q36="-","-",IF($G36=0,0,Q36/$G36)))</f>
        <v/>
      </c>
      <c r="S36" s="3">
        <f>IF($A36="","",IF($E36="","",IF(TODAY()&lt;$E36+180,"-",IF($D36="",SUMPRODUCT(('Picked Students (raw)'!$B$2:$B$824=$C36)*('Picked Students (raw)'!$C$2:$C$824&lt;&gt;"")*(('Picked Students (raw)'!$C$2:$C$824-$E36)&lt;180)),SUMPRODUCT(('Picked Students (raw)'!$B$2:$B$824=$C36)*('Picked Students (raw)'!$D$2:$D$824=$D36)*('Picked Students (raw)'!$C$2:$C$824&lt;&gt;"")*(('Picked Students (raw)'!$C$2:$C$824-$E36)&lt;180))))))</f>
        <v/>
      </c>
      <c r="T36" s="5">
        <f>IF($A36="","",IF(S36="-","-",IF($G36=0,0,S36/$G36)))</f>
        <v/>
      </c>
      <c r="U36" s="3">
        <f>IF($A36="","",IF($E36="","",IF(TODAY()&lt;$E36+210,"-",IF($D36="",SUMPRODUCT(('Picked Students (raw)'!$B$2:$B$824=$C36)*('Picked Students (raw)'!$C$2:$C$824&lt;&gt;"")*(('Picked Students (raw)'!$C$2:$C$824-$E36)&lt;210)),SUMPRODUCT(('Picked Students (raw)'!$B$2:$B$824=$C36)*('Picked Students (raw)'!$D$2:$D$824=$D36)*('Picked Students (raw)'!$C$2:$C$824&lt;&gt;"")*(('Picked Students (raw)'!$C$2:$C$824-$E36)&lt;210))))))</f>
        <v/>
      </c>
      <c r="V36" s="5">
        <f>IF($A36="","",IF(U36="-","-",IF($G36=0,0,U36/$G36)))</f>
        <v/>
      </c>
      <c r="W36" s="3">
        <f>IF($A36="","",IF($E36="","",IF(TODAY()&lt;$E36+240,"-",IF($D36="",SUMPRODUCT(('Picked Students (raw)'!$B$2:$B$824=$C36)*('Picked Students (raw)'!$C$2:$C$824&lt;&gt;"")*(('Picked Students (raw)'!$C$2:$C$824-$E36)&lt;240)),SUMPRODUCT(('Picked Students (raw)'!$B$2:$B$824=$C36)*('Picked Students (raw)'!$D$2:$D$824=$D36)*('Picked Students (raw)'!$C$2:$C$824&lt;&gt;"")*(('Picked Students (raw)'!$C$2:$C$824-$E36)&lt;240))))))</f>
        <v/>
      </c>
      <c r="X36" s="5">
        <f>IF($A36="","",IF(W36="-","-",IF($G36=0,0,W36/$G36)))</f>
        <v/>
      </c>
      <c r="Y36" s="3">
        <f>IF($A36="","",IF($E36="","",IF(TODAY()&lt;$E36+270,"-",IF($D36="",SUMPRODUCT(('Picked Students (raw)'!$B$2:$B$824=$C36)*('Picked Students (raw)'!$C$2:$C$824&lt;&gt;"")*(('Picked Students (raw)'!$C$2:$C$824-$E36)&lt;270)),SUMPRODUCT(('Picked Students (raw)'!$B$2:$B$824=$C36)*('Picked Students (raw)'!$D$2:$D$824=$D36)*('Picked Students (raw)'!$C$2:$C$824&lt;&gt;"")*(('Picked Students (raw)'!$C$2:$C$824-$E36)&lt;270))))))</f>
        <v/>
      </c>
      <c r="Z36" s="5">
        <f>IF($A36="","",IF(Y36="-","-",IF($G36=0,0,Y36/$G36)))</f>
        <v/>
      </c>
      <c r="AA36" s="3">
        <f>IF($A36="","",IF($E36="","",IF(TODAY()&lt;$E36+300,"-",IF($D36="",SUMPRODUCT(('Picked Students (raw)'!$B$2:$B$824=$C36)*('Picked Students (raw)'!$C$2:$C$824&lt;&gt;"")*(('Picked Students (raw)'!$C$2:$C$824-$E36)&lt;300)),SUMPRODUCT(('Picked Students (raw)'!$B$2:$B$824=$C36)*('Picked Students (raw)'!$D$2:$D$824=$D36)*('Picked Students (raw)'!$C$2:$C$824&lt;&gt;"")*(('Picked Students (raw)'!$C$2:$C$824-$E36)&lt;300))))))</f>
        <v/>
      </c>
      <c r="AB36" s="5">
        <f>IF($A36="","",IF(AA36="-","-",IF($G36=0,0,AA36/$G36)))</f>
        <v/>
      </c>
      <c r="AC36" s="3">
        <f>IF($A36="","",IF($E36="","",IF(TODAY()&lt;$E36+330,"-",IF($D36="",SUMPRODUCT(('Picked Students (raw)'!$B$2:$B$824=$C36)*('Picked Students (raw)'!$C$2:$C$824&lt;&gt;"")*(('Picked Students (raw)'!$C$2:$C$824-$E36)&lt;330)),SUMPRODUCT(('Picked Students (raw)'!$B$2:$B$824=$C36)*('Picked Students (raw)'!$D$2:$D$824=$D36)*('Picked Students (raw)'!$C$2:$C$824&lt;&gt;"")*(('Picked Students (raw)'!$C$2:$C$824-$E36)&lt;330))))))</f>
        <v/>
      </c>
      <c r="AD36" s="5">
        <f>IF($A36="","",IF(AC36="-","-",IF($G36=0,0,AC36/$G36)))</f>
        <v/>
      </c>
      <c r="AE36" s="3">
        <f>IF($A36="","",IF($E36="","",IF(TODAY()&lt;$E36+360,"-",IF($D36="",SUMPRODUCT(('Picked Students (raw)'!$B$2:$B$824=$C36)*('Picked Students (raw)'!$C$2:$C$824&lt;&gt;"")*(('Picked Students (raw)'!$C$2:$C$824-$E36)&lt;360)),SUMPRODUCT(('Picked Students (raw)'!$B$2:$B$824=$C36)*('Picked Students (raw)'!$D$2:$D$824=$D36)*('Picked Students (raw)'!$C$2:$C$824&lt;&gt;"")*(('Picked Students (raw)'!$C$2:$C$824-$E36)&lt;360))))))</f>
        <v/>
      </c>
      <c r="AF36" s="5">
        <f>IF($A36="","",IF(AE36="-","-",IF($G36=0,0,AE36/$G36)))</f>
        <v/>
      </c>
      <c r="AG36" s="3">
        <f>IF($A36="","",IF($E36="","",IF(TODAY()&lt;$E36+390,"-",IF($D36="",SUMPRODUCT(('Picked Students (raw)'!$B$2:$B$824=$C36)*('Picked Students (raw)'!$C$2:$C$824&lt;&gt;"")*(('Picked Students (raw)'!$C$2:$C$824-$E36)&lt;390)),SUMPRODUCT(('Picked Students (raw)'!$B$2:$B$824=$C36)*('Picked Students (raw)'!$D$2:$D$824=$D36)*('Picked Students (raw)'!$C$2:$C$824&lt;&gt;"")*(('Picked Students (raw)'!$C$2:$C$824-$E36)&lt;390))))))</f>
        <v/>
      </c>
      <c r="AH36" s="5">
        <f>IF($A36="","",IF(AG36="-","-",IF($G36=0,0,AG36/$G36)))</f>
        <v/>
      </c>
      <c r="AI36" s="3">
        <f>IF($A36="","",IF($E36="","",IF(TODAY()&lt;$E36+420,"-",IF($D36="",SUMPRODUCT(('Picked Students (raw)'!$B$2:$B$824=$C36)*('Picked Students (raw)'!$C$2:$C$824&lt;&gt;"")*(('Picked Students (raw)'!$C$2:$C$824-$E36)&lt;420)),SUMPRODUCT(('Picked Students (raw)'!$B$2:$B$824=$C36)*('Picked Students (raw)'!$D$2:$D$824=$D36)*('Picked Students (raw)'!$C$2:$C$824&lt;&gt;"")*(('Picked Students (raw)'!$C$2:$C$824-$E36)&lt;420))))))</f>
        <v/>
      </c>
      <c r="AJ36" s="5">
        <f>IF($A36="","",IF(AI36="-","-",IF($G36=0,0,AI36/$G36)))</f>
        <v/>
      </c>
      <c r="AK36" s="3">
        <f>IF($A36="","",IF($E36="","",IF(TODAY()&lt;$E36+450,"-",IF($D36="",SUMPRODUCT(('Picked Students (raw)'!$B$2:$B$824=$C36)*('Picked Students (raw)'!$C$2:$C$824&lt;&gt;"")*(('Picked Students (raw)'!$C$2:$C$824-$E36)&lt;450)),SUMPRODUCT(('Picked Students (raw)'!$B$2:$B$824=$C36)*('Picked Students (raw)'!$D$2:$D$824=$D36)*('Picked Students (raw)'!$C$2:$C$824&lt;&gt;"")*(('Picked Students (raw)'!$C$2:$C$824-$E36)&lt;450))))))</f>
        <v/>
      </c>
      <c r="AL36" s="5">
        <f>IF($A36="","",IF(AK36="-","-",IF($G36=0,0,AK36/$G36)))</f>
        <v/>
      </c>
      <c r="AM36" s="3">
        <f>IF($A36="","",IF($E36="","",IF(TODAY()&lt;$E36+480,"-",IF($D36="",SUMPRODUCT(('Picked Students (raw)'!$B$2:$B$824=$C36)*('Picked Students (raw)'!$C$2:$C$824&lt;&gt;"")*(('Picked Students (raw)'!$C$2:$C$824-$E36)&lt;480)),SUMPRODUCT(('Picked Students (raw)'!$B$2:$B$824=$C36)*('Picked Students (raw)'!$D$2:$D$824=$D36)*('Picked Students (raw)'!$C$2:$C$824&lt;&gt;"")*(('Picked Students (raw)'!$C$2:$C$824-$E36)&lt;480))))))</f>
        <v/>
      </c>
      <c r="AN36" s="5">
        <f>IF($A36="","",IF(AM36="-","-",IF($G36=0,0,AM36/$G36)))</f>
        <v/>
      </c>
      <c r="AO36" s="3">
        <f>IF($A36="","",IF($E36="","",IF(TODAY()&lt;$E36+510,"-",IF($D36="",SUMPRODUCT(('Picked Students (raw)'!$B$2:$B$824=$C36)*('Picked Students (raw)'!$C$2:$C$824&lt;&gt;"")*(('Picked Students (raw)'!$C$2:$C$824-$E36)&lt;510)),SUMPRODUCT(('Picked Students (raw)'!$B$2:$B$824=$C36)*('Picked Students (raw)'!$D$2:$D$824=$D36)*('Picked Students (raw)'!$C$2:$C$824&lt;&gt;"")*(('Picked Students (raw)'!$C$2:$C$824-$E36)&lt;510))))))</f>
        <v/>
      </c>
      <c r="AP36" s="5">
        <f>IF($A36="","",IF(AO36="-","-",IF($G36=0,0,AO36/$G36)))</f>
        <v/>
      </c>
      <c r="AQ36" s="3">
        <f>IF($A36="","",IF($E36="","",IF(TODAY()&lt;$E36+540,"-",IF($D36="",SUMPRODUCT(('Picked Students (raw)'!$B$2:$B$824=$C36)*('Picked Students (raw)'!$C$2:$C$824&lt;&gt;"")*(('Picked Students (raw)'!$C$2:$C$824-$E36)&lt;540)),SUMPRODUCT(('Picked Students (raw)'!$B$2:$B$824=$C36)*('Picked Students (raw)'!$D$2:$D$824=$D36)*('Picked Students (raw)'!$C$2:$C$824&lt;&gt;"")*(('Picked Students (raw)'!$C$2:$C$824-$E36)&lt;540))))))</f>
        <v/>
      </c>
      <c r="AR36" s="5">
        <f>IF($A36="","",IF(AQ36="-","-",IF($G36=0,0,AQ36/$G36)))</f>
        <v/>
      </c>
      <c r="AS36" s="3">
        <f>IF($A36="","",IF(AQ36="-","-",$H36-AQ36))</f>
        <v/>
      </c>
    </row>
    <row r="37">
      <c r="A37" s="3" t="inlineStr">
        <is>
          <t>Professional Certificate Course In Data Science December 2025</t>
        </is>
      </c>
      <c r="B37" s="3">
        <f>IF($A37="","",IFERROR(IF(INDEX('Batch Enrollment (Metabase)'!$C$2:$C$47,MATCH($A37,'Batch Enrollment (Metabase)'!$A$2:$A$47,0))="GEM","A",IF(INDEX('Batch Enrollment (Metabase)'!$C$2:$C$47,MATCH($A37,'Batch Enrollment (Metabase)'!$A$2:$A$47,0))="Non-GEM","B","")),""))</f>
        <v/>
      </c>
      <c r="C37" s="3">
        <f>IF($A37="","",IFERROR(INDEX('Batch Enrollment (Metabase)'!$B$2:$B$47,MATCH($A37,'Batch Enrollment (Metabase)'!$A$2:$A$47,0)),""))</f>
        <v/>
      </c>
      <c r="D37" s="3">
        <f>IF($A37="","",IFERROR(INDEX('Batch Enrollment (Metabase)'!$C$2:$C$47,MATCH($A37,'Batch Enrollment (Metabase)'!$A$2:$A$47,0)),""))</f>
        <v/>
      </c>
      <c r="E37" s="4">
        <f>IF($A37="","",IFERROR(INDEX('Batch Enrollment (Metabase)'!$D$2:$D$47,MATCH($A37,'Batch Enrollment (Metabase)'!$A$2:$A$47,0)),""))</f>
        <v/>
      </c>
      <c r="F37" s="3">
        <f>IF($A37="","",IFERROR(INDEX('Batch Enrollment (Metabase)'!$E$2:$E$47,MATCH($A37,'Batch Enrollment (Metabase)'!$A$2:$A$47,0)),""))</f>
        <v/>
      </c>
      <c r="G37" s="3">
        <f>IF($A37="","",IFERROR(INDEX('Batch Enrollment (Metabase)'!$F$2:$F$47,MATCH($A37,'Batch Enrollment (Metabase)'!$A$2:$A$47,0)),""))</f>
        <v/>
      </c>
      <c r="H37" s="3">
        <f>IF($A37="","",IF($D37="",COUNTIF('Picked Students (raw)'!$B$2:$B$824,$C37),COUNTIFS('Picked Students (raw)'!$B$2:$B$824,$C37,'Picked Students (raw)'!$D$2:$D$824,$D37)))</f>
        <v/>
      </c>
      <c r="I37" s="3">
        <f>IF($A37="","",IF($E37="","",IF(TODAY()&lt;$E37+30,"-",IF($D37="",SUMPRODUCT(('Picked Students (raw)'!$B$2:$B$824=$C37)*('Picked Students (raw)'!$C$2:$C$824&lt;&gt;"")*(('Picked Students (raw)'!$C$2:$C$824-$E37)&lt;30)),SUMPRODUCT(('Picked Students (raw)'!$B$2:$B$824=$C37)*('Picked Students (raw)'!$D$2:$D$824=$D37)*('Picked Students (raw)'!$C$2:$C$824&lt;&gt;"")*(('Picked Students (raw)'!$C$2:$C$824-$E37)&lt;30))))))</f>
        <v/>
      </c>
      <c r="J37" s="5">
        <f>IF($A37="","",IF(I37="-","-",IF($G37=0,0,I37/$G37)))</f>
        <v/>
      </c>
      <c r="K37" s="3">
        <f>IF($A37="","",IF($E37="","",IF(TODAY()&lt;$E37+60,"-",IF($D37="",SUMPRODUCT(('Picked Students (raw)'!$B$2:$B$824=$C37)*('Picked Students (raw)'!$C$2:$C$824&lt;&gt;"")*(('Picked Students (raw)'!$C$2:$C$824-$E37)&lt;60)),SUMPRODUCT(('Picked Students (raw)'!$B$2:$B$824=$C37)*('Picked Students (raw)'!$D$2:$D$824=$D37)*('Picked Students (raw)'!$C$2:$C$824&lt;&gt;"")*(('Picked Students (raw)'!$C$2:$C$824-$E37)&lt;60))))))</f>
        <v/>
      </c>
      <c r="L37" s="5">
        <f>IF($A37="","",IF(K37="-","-",IF($G37=0,0,K37/$G37)))</f>
        <v/>
      </c>
      <c r="M37" s="3">
        <f>IF($A37="","",IF($E37="","",IF(TODAY()&lt;$E37+90,"-",IF($D37="",SUMPRODUCT(('Picked Students (raw)'!$B$2:$B$824=$C37)*('Picked Students (raw)'!$C$2:$C$824&lt;&gt;"")*(('Picked Students (raw)'!$C$2:$C$824-$E37)&lt;90)),SUMPRODUCT(('Picked Students (raw)'!$B$2:$B$824=$C37)*('Picked Students (raw)'!$D$2:$D$824=$D37)*('Picked Students (raw)'!$C$2:$C$824&lt;&gt;"")*(('Picked Students (raw)'!$C$2:$C$824-$E37)&lt;90))))))</f>
        <v/>
      </c>
      <c r="N37" s="5">
        <f>IF($A37="","",IF(M37="-","-",IF($G37=0,0,M37/$G37)))</f>
        <v/>
      </c>
      <c r="O37" s="3">
        <f>IF($A37="","",IF($E37="","",IF(TODAY()&lt;$E37+120,"-",IF($D37="",SUMPRODUCT(('Picked Students (raw)'!$B$2:$B$824=$C37)*('Picked Students (raw)'!$C$2:$C$824&lt;&gt;"")*(('Picked Students (raw)'!$C$2:$C$824-$E37)&lt;120)),SUMPRODUCT(('Picked Students (raw)'!$B$2:$B$824=$C37)*('Picked Students (raw)'!$D$2:$D$824=$D37)*('Picked Students (raw)'!$C$2:$C$824&lt;&gt;"")*(('Picked Students (raw)'!$C$2:$C$824-$E37)&lt;120))))))</f>
        <v/>
      </c>
      <c r="P37" s="5">
        <f>IF($A37="","",IF(O37="-","-",IF($G37=0,0,O37/$G37)))</f>
        <v/>
      </c>
      <c r="Q37" s="3">
        <f>IF($A37="","",IF($E37="","",IF(TODAY()&lt;$E37+150,"-",IF($D37="",SUMPRODUCT(('Picked Students (raw)'!$B$2:$B$824=$C37)*('Picked Students (raw)'!$C$2:$C$824&lt;&gt;"")*(('Picked Students (raw)'!$C$2:$C$824-$E37)&lt;150)),SUMPRODUCT(('Picked Students (raw)'!$B$2:$B$824=$C37)*('Picked Students (raw)'!$D$2:$D$824=$D37)*('Picked Students (raw)'!$C$2:$C$824&lt;&gt;"")*(('Picked Students (raw)'!$C$2:$C$824-$E37)&lt;150))))))</f>
        <v/>
      </c>
      <c r="R37" s="5">
        <f>IF($A37="","",IF(Q37="-","-",IF($G37=0,0,Q37/$G37)))</f>
        <v/>
      </c>
      <c r="S37" s="3">
        <f>IF($A37="","",IF($E37="","",IF(TODAY()&lt;$E37+180,"-",IF($D37="",SUMPRODUCT(('Picked Students (raw)'!$B$2:$B$824=$C37)*('Picked Students (raw)'!$C$2:$C$824&lt;&gt;"")*(('Picked Students (raw)'!$C$2:$C$824-$E37)&lt;180)),SUMPRODUCT(('Picked Students (raw)'!$B$2:$B$824=$C37)*('Picked Students (raw)'!$D$2:$D$824=$D37)*('Picked Students (raw)'!$C$2:$C$824&lt;&gt;"")*(('Picked Students (raw)'!$C$2:$C$824-$E37)&lt;180))))))</f>
        <v/>
      </c>
      <c r="T37" s="5">
        <f>IF($A37="","",IF(S37="-","-",IF($G37=0,0,S37/$G37)))</f>
        <v/>
      </c>
      <c r="U37" s="3">
        <f>IF($A37="","",IF($E37="","",IF(TODAY()&lt;$E37+210,"-",IF($D37="",SUMPRODUCT(('Picked Students (raw)'!$B$2:$B$824=$C37)*('Picked Students (raw)'!$C$2:$C$824&lt;&gt;"")*(('Picked Students (raw)'!$C$2:$C$824-$E37)&lt;210)),SUMPRODUCT(('Picked Students (raw)'!$B$2:$B$824=$C37)*('Picked Students (raw)'!$D$2:$D$824=$D37)*('Picked Students (raw)'!$C$2:$C$824&lt;&gt;"")*(('Picked Students (raw)'!$C$2:$C$824-$E37)&lt;210))))))</f>
        <v/>
      </c>
      <c r="V37" s="5">
        <f>IF($A37="","",IF(U37="-","-",IF($G37=0,0,U37/$G37)))</f>
        <v/>
      </c>
      <c r="W37" s="3">
        <f>IF($A37="","",IF($E37="","",IF(TODAY()&lt;$E37+240,"-",IF($D37="",SUMPRODUCT(('Picked Students (raw)'!$B$2:$B$824=$C37)*('Picked Students (raw)'!$C$2:$C$824&lt;&gt;"")*(('Picked Students (raw)'!$C$2:$C$824-$E37)&lt;240)),SUMPRODUCT(('Picked Students (raw)'!$B$2:$B$824=$C37)*('Picked Students (raw)'!$D$2:$D$824=$D37)*('Picked Students (raw)'!$C$2:$C$824&lt;&gt;"")*(('Picked Students (raw)'!$C$2:$C$824-$E37)&lt;240))))))</f>
        <v/>
      </c>
      <c r="X37" s="5">
        <f>IF($A37="","",IF(W37="-","-",IF($G37=0,0,W37/$G37)))</f>
        <v/>
      </c>
      <c r="Y37" s="3">
        <f>IF($A37="","",IF($E37="","",IF(TODAY()&lt;$E37+270,"-",IF($D37="",SUMPRODUCT(('Picked Students (raw)'!$B$2:$B$824=$C37)*('Picked Students (raw)'!$C$2:$C$824&lt;&gt;"")*(('Picked Students (raw)'!$C$2:$C$824-$E37)&lt;270)),SUMPRODUCT(('Picked Students (raw)'!$B$2:$B$824=$C37)*('Picked Students (raw)'!$D$2:$D$824=$D37)*('Picked Students (raw)'!$C$2:$C$824&lt;&gt;"")*(('Picked Students (raw)'!$C$2:$C$824-$E37)&lt;270))))))</f>
        <v/>
      </c>
      <c r="Z37" s="5">
        <f>IF($A37="","",IF(Y37="-","-",IF($G37=0,0,Y37/$G37)))</f>
        <v/>
      </c>
      <c r="AA37" s="3">
        <f>IF($A37="","",IF($E37="","",IF(TODAY()&lt;$E37+300,"-",IF($D37="",SUMPRODUCT(('Picked Students (raw)'!$B$2:$B$824=$C37)*('Picked Students (raw)'!$C$2:$C$824&lt;&gt;"")*(('Picked Students (raw)'!$C$2:$C$824-$E37)&lt;300)),SUMPRODUCT(('Picked Students (raw)'!$B$2:$B$824=$C37)*('Picked Students (raw)'!$D$2:$D$824=$D37)*('Picked Students (raw)'!$C$2:$C$824&lt;&gt;"")*(('Picked Students (raw)'!$C$2:$C$824-$E37)&lt;300))))))</f>
        <v/>
      </c>
      <c r="AB37" s="5">
        <f>IF($A37="","",IF(AA37="-","-",IF($G37=0,0,AA37/$G37)))</f>
        <v/>
      </c>
      <c r="AC37" s="3">
        <f>IF($A37="","",IF($E37="","",IF(TODAY()&lt;$E37+330,"-",IF($D37="",SUMPRODUCT(('Picked Students (raw)'!$B$2:$B$824=$C37)*('Picked Students (raw)'!$C$2:$C$824&lt;&gt;"")*(('Picked Students (raw)'!$C$2:$C$824-$E37)&lt;330)),SUMPRODUCT(('Picked Students (raw)'!$B$2:$B$824=$C37)*('Picked Students (raw)'!$D$2:$D$824=$D37)*('Picked Students (raw)'!$C$2:$C$824&lt;&gt;"")*(('Picked Students (raw)'!$C$2:$C$824-$E37)&lt;330))))))</f>
        <v/>
      </c>
      <c r="AD37" s="5">
        <f>IF($A37="","",IF(AC37="-","-",IF($G37=0,0,AC37/$G37)))</f>
        <v/>
      </c>
      <c r="AE37" s="3">
        <f>IF($A37="","",IF($E37="","",IF(TODAY()&lt;$E37+360,"-",IF($D37="",SUMPRODUCT(('Picked Students (raw)'!$B$2:$B$824=$C37)*('Picked Students (raw)'!$C$2:$C$824&lt;&gt;"")*(('Picked Students (raw)'!$C$2:$C$824-$E37)&lt;360)),SUMPRODUCT(('Picked Students (raw)'!$B$2:$B$824=$C37)*('Picked Students (raw)'!$D$2:$D$824=$D37)*('Picked Students (raw)'!$C$2:$C$824&lt;&gt;"")*(('Picked Students (raw)'!$C$2:$C$824-$E37)&lt;360))))))</f>
        <v/>
      </c>
      <c r="AF37" s="5">
        <f>IF($A37="","",IF(AE37="-","-",IF($G37=0,0,AE37/$G37)))</f>
        <v/>
      </c>
      <c r="AG37" s="3">
        <f>IF($A37="","",IF($E37="","",IF(TODAY()&lt;$E37+390,"-",IF($D37="",SUMPRODUCT(('Picked Students (raw)'!$B$2:$B$824=$C37)*('Picked Students (raw)'!$C$2:$C$824&lt;&gt;"")*(('Picked Students (raw)'!$C$2:$C$824-$E37)&lt;390)),SUMPRODUCT(('Picked Students (raw)'!$B$2:$B$824=$C37)*('Picked Students (raw)'!$D$2:$D$824=$D37)*('Picked Students (raw)'!$C$2:$C$824&lt;&gt;"")*(('Picked Students (raw)'!$C$2:$C$824-$E37)&lt;390))))))</f>
        <v/>
      </c>
      <c r="AH37" s="5">
        <f>IF($A37="","",IF(AG37="-","-",IF($G37=0,0,AG37/$G37)))</f>
        <v/>
      </c>
      <c r="AI37" s="3">
        <f>IF($A37="","",IF($E37="","",IF(TODAY()&lt;$E37+420,"-",IF($D37="",SUMPRODUCT(('Picked Students (raw)'!$B$2:$B$824=$C37)*('Picked Students (raw)'!$C$2:$C$824&lt;&gt;"")*(('Picked Students (raw)'!$C$2:$C$824-$E37)&lt;420)),SUMPRODUCT(('Picked Students (raw)'!$B$2:$B$824=$C37)*('Picked Students (raw)'!$D$2:$D$824=$D37)*('Picked Students (raw)'!$C$2:$C$824&lt;&gt;"")*(('Picked Students (raw)'!$C$2:$C$824-$E37)&lt;420))))))</f>
        <v/>
      </c>
      <c r="AJ37" s="5">
        <f>IF($A37="","",IF(AI37="-","-",IF($G37=0,0,AI37/$G37)))</f>
        <v/>
      </c>
      <c r="AK37" s="3">
        <f>IF($A37="","",IF($E37="","",IF(TODAY()&lt;$E37+450,"-",IF($D37="",SUMPRODUCT(('Picked Students (raw)'!$B$2:$B$824=$C37)*('Picked Students (raw)'!$C$2:$C$824&lt;&gt;"")*(('Picked Students (raw)'!$C$2:$C$824-$E37)&lt;450)),SUMPRODUCT(('Picked Students (raw)'!$B$2:$B$824=$C37)*('Picked Students (raw)'!$D$2:$D$824=$D37)*('Picked Students (raw)'!$C$2:$C$824&lt;&gt;"")*(('Picked Students (raw)'!$C$2:$C$824-$E37)&lt;450))))))</f>
        <v/>
      </c>
      <c r="AL37" s="5">
        <f>IF($A37="","",IF(AK37="-","-",IF($G37=0,0,AK37/$G37)))</f>
        <v/>
      </c>
      <c r="AM37" s="3">
        <f>IF($A37="","",IF($E37="","",IF(TODAY()&lt;$E37+480,"-",IF($D37="",SUMPRODUCT(('Picked Students (raw)'!$B$2:$B$824=$C37)*('Picked Students (raw)'!$C$2:$C$824&lt;&gt;"")*(('Picked Students (raw)'!$C$2:$C$824-$E37)&lt;480)),SUMPRODUCT(('Picked Students (raw)'!$B$2:$B$824=$C37)*('Picked Students (raw)'!$D$2:$D$824=$D37)*('Picked Students (raw)'!$C$2:$C$824&lt;&gt;"")*(('Picked Students (raw)'!$C$2:$C$824-$E37)&lt;480))))))</f>
        <v/>
      </c>
      <c r="AN37" s="5">
        <f>IF($A37="","",IF(AM37="-","-",IF($G37=0,0,AM37/$G37)))</f>
        <v/>
      </c>
      <c r="AO37" s="3">
        <f>IF($A37="","",IF($E37="","",IF(TODAY()&lt;$E37+510,"-",IF($D37="",SUMPRODUCT(('Picked Students (raw)'!$B$2:$B$824=$C37)*('Picked Students (raw)'!$C$2:$C$824&lt;&gt;"")*(('Picked Students (raw)'!$C$2:$C$824-$E37)&lt;510)),SUMPRODUCT(('Picked Students (raw)'!$B$2:$B$824=$C37)*('Picked Students (raw)'!$D$2:$D$824=$D37)*('Picked Students (raw)'!$C$2:$C$824&lt;&gt;"")*(('Picked Students (raw)'!$C$2:$C$824-$E37)&lt;510))))))</f>
        <v/>
      </c>
      <c r="AP37" s="5">
        <f>IF($A37="","",IF(AO37="-","-",IF($G37=0,0,AO37/$G37)))</f>
        <v/>
      </c>
      <c r="AQ37" s="3">
        <f>IF($A37="","",IF($E37="","",IF(TODAY()&lt;$E37+540,"-",IF($D37="",SUMPRODUCT(('Picked Students (raw)'!$B$2:$B$824=$C37)*('Picked Students (raw)'!$C$2:$C$824&lt;&gt;"")*(('Picked Students (raw)'!$C$2:$C$824-$E37)&lt;540)),SUMPRODUCT(('Picked Students (raw)'!$B$2:$B$824=$C37)*('Picked Students (raw)'!$D$2:$D$824=$D37)*('Picked Students (raw)'!$C$2:$C$824&lt;&gt;"")*(('Picked Students (raw)'!$C$2:$C$824-$E37)&lt;540))))))</f>
        <v/>
      </c>
      <c r="AR37" s="5">
        <f>IF($A37="","",IF(AQ37="-","-",IF($G37=0,0,AQ37/$G37)))</f>
        <v/>
      </c>
      <c r="AS37" s="3">
        <f>IF($A37="","",IF(AQ37="-","-",$H37-AQ37))</f>
        <v/>
      </c>
    </row>
    <row r="38">
      <c r="A38" s="3" t="inlineStr">
        <is>
          <t>Professional Certificate Course In Data Science January 2026</t>
        </is>
      </c>
      <c r="B38" s="3">
        <f>IF($A38="","",IFERROR(IF(INDEX('Batch Enrollment (Metabase)'!$C$2:$C$47,MATCH($A38,'Batch Enrollment (Metabase)'!$A$2:$A$47,0))="GEM","A",IF(INDEX('Batch Enrollment (Metabase)'!$C$2:$C$47,MATCH($A38,'Batch Enrollment (Metabase)'!$A$2:$A$47,0))="Non-GEM","B","")),""))</f>
        <v/>
      </c>
      <c r="C38" s="3">
        <f>IF($A38="","",IFERROR(INDEX('Batch Enrollment (Metabase)'!$B$2:$B$47,MATCH($A38,'Batch Enrollment (Metabase)'!$A$2:$A$47,0)),""))</f>
        <v/>
      </c>
      <c r="D38" s="3">
        <f>IF($A38="","",IFERROR(INDEX('Batch Enrollment (Metabase)'!$C$2:$C$47,MATCH($A38,'Batch Enrollment (Metabase)'!$A$2:$A$47,0)),""))</f>
        <v/>
      </c>
      <c r="E38" s="4">
        <f>IF($A38="","",IFERROR(INDEX('Batch Enrollment (Metabase)'!$D$2:$D$47,MATCH($A38,'Batch Enrollment (Metabase)'!$A$2:$A$47,0)),""))</f>
        <v/>
      </c>
      <c r="F38" s="3">
        <f>IF($A38="","",IFERROR(INDEX('Batch Enrollment (Metabase)'!$E$2:$E$47,MATCH($A38,'Batch Enrollment (Metabase)'!$A$2:$A$47,0)),""))</f>
        <v/>
      </c>
      <c r="G38" s="3">
        <f>IF($A38="","",IFERROR(INDEX('Batch Enrollment (Metabase)'!$F$2:$F$47,MATCH($A38,'Batch Enrollment (Metabase)'!$A$2:$A$47,0)),""))</f>
        <v/>
      </c>
      <c r="H38" s="3">
        <f>IF($A38="","",IF($D38="",COUNTIF('Picked Students (raw)'!$B$2:$B$824,$C38),COUNTIFS('Picked Students (raw)'!$B$2:$B$824,$C38,'Picked Students (raw)'!$D$2:$D$824,$D38)))</f>
        <v/>
      </c>
      <c r="I38" s="3">
        <f>IF($A38="","",IF($E38="","",IF(TODAY()&lt;$E38+30,"-",IF($D38="",SUMPRODUCT(('Picked Students (raw)'!$B$2:$B$824=$C38)*('Picked Students (raw)'!$C$2:$C$824&lt;&gt;"")*(('Picked Students (raw)'!$C$2:$C$824-$E38)&lt;30)),SUMPRODUCT(('Picked Students (raw)'!$B$2:$B$824=$C38)*('Picked Students (raw)'!$D$2:$D$824=$D38)*('Picked Students (raw)'!$C$2:$C$824&lt;&gt;"")*(('Picked Students (raw)'!$C$2:$C$824-$E38)&lt;30))))))</f>
        <v/>
      </c>
      <c r="J38" s="5">
        <f>IF($A38="","",IF(I38="-","-",IF($G38=0,0,I38/$G38)))</f>
        <v/>
      </c>
      <c r="K38" s="3">
        <f>IF($A38="","",IF($E38="","",IF(TODAY()&lt;$E38+60,"-",IF($D38="",SUMPRODUCT(('Picked Students (raw)'!$B$2:$B$824=$C38)*('Picked Students (raw)'!$C$2:$C$824&lt;&gt;"")*(('Picked Students (raw)'!$C$2:$C$824-$E38)&lt;60)),SUMPRODUCT(('Picked Students (raw)'!$B$2:$B$824=$C38)*('Picked Students (raw)'!$D$2:$D$824=$D38)*('Picked Students (raw)'!$C$2:$C$824&lt;&gt;"")*(('Picked Students (raw)'!$C$2:$C$824-$E38)&lt;60))))))</f>
        <v/>
      </c>
      <c r="L38" s="5">
        <f>IF($A38="","",IF(K38="-","-",IF($G38=0,0,K38/$G38)))</f>
        <v/>
      </c>
      <c r="M38" s="3">
        <f>IF($A38="","",IF($E38="","",IF(TODAY()&lt;$E38+90,"-",IF($D38="",SUMPRODUCT(('Picked Students (raw)'!$B$2:$B$824=$C38)*('Picked Students (raw)'!$C$2:$C$824&lt;&gt;"")*(('Picked Students (raw)'!$C$2:$C$824-$E38)&lt;90)),SUMPRODUCT(('Picked Students (raw)'!$B$2:$B$824=$C38)*('Picked Students (raw)'!$D$2:$D$824=$D38)*('Picked Students (raw)'!$C$2:$C$824&lt;&gt;"")*(('Picked Students (raw)'!$C$2:$C$824-$E38)&lt;90))))))</f>
        <v/>
      </c>
      <c r="N38" s="5">
        <f>IF($A38="","",IF(M38="-","-",IF($G38=0,0,M38/$G38)))</f>
        <v/>
      </c>
      <c r="O38" s="3">
        <f>IF($A38="","",IF($E38="","",IF(TODAY()&lt;$E38+120,"-",IF($D38="",SUMPRODUCT(('Picked Students (raw)'!$B$2:$B$824=$C38)*('Picked Students (raw)'!$C$2:$C$824&lt;&gt;"")*(('Picked Students (raw)'!$C$2:$C$824-$E38)&lt;120)),SUMPRODUCT(('Picked Students (raw)'!$B$2:$B$824=$C38)*('Picked Students (raw)'!$D$2:$D$824=$D38)*('Picked Students (raw)'!$C$2:$C$824&lt;&gt;"")*(('Picked Students (raw)'!$C$2:$C$824-$E38)&lt;120))))))</f>
        <v/>
      </c>
      <c r="P38" s="5">
        <f>IF($A38="","",IF(O38="-","-",IF($G38=0,0,O38/$G38)))</f>
        <v/>
      </c>
      <c r="Q38" s="3">
        <f>IF($A38="","",IF($E38="","",IF(TODAY()&lt;$E38+150,"-",IF($D38="",SUMPRODUCT(('Picked Students (raw)'!$B$2:$B$824=$C38)*('Picked Students (raw)'!$C$2:$C$824&lt;&gt;"")*(('Picked Students (raw)'!$C$2:$C$824-$E38)&lt;150)),SUMPRODUCT(('Picked Students (raw)'!$B$2:$B$824=$C38)*('Picked Students (raw)'!$D$2:$D$824=$D38)*('Picked Students (raw)'!$C$2:$C$824&lt;&gt;"")*(('Picked Students (raw)'!$C$2:$C$824-$E38)&lt;150))))))</f>
        <v/>
      </c>
      <c r="R38" s="5">
        <f>IF($A38="","",IF(Q38="-","-",IF($G38=0,0,Q38/$G38)))</f>
        <v/>
      </c>
      <c r="S38" s="3">
        <f>IF($A38="","",IF($E38="","",IF(TODAY()&lt;$E38+180,"-",IF($D38="",SUMPRODUCT(('Picked Students (raw)'!$B$2:$B$824=$C38)*('Picked Students (raw)'!$C$2:$C$824&lt;&gt;"")*(('Picked Students (raw)'!$C$2:$C$824-$E38)&lt;180)),SUMPRODUCT(('Picked Students (raw)'!$B$2:$B$824=$C38)*('Picked Students (raw)'!$D$2:$D$824=$D38)*('Picked Students (raw)'!$C$2:$C$824&lt;&gt;"")*(('Picked Students (raw)'!$C$2:$C$824-$E38)&lt;180))))))</f>
        <v/>
      </c>
      <c r="T38" s="5">
        <f>IF($A38="","",IF(S38="-","-",IF($G38=0,0,S38/$G38)))</f>
        <v/>
      </c>
      <c r="U38" s="3">
        <f>IF($A38="","",IF($E38="","",IF(TODAY()&lt;$E38+210,"-",IF($D38="",SUMPRODUCT(('Picked Students (raw)'!$B$2:$B$824=$C38)*('Picked Students (raw)'!$C$2:$C$824&lt;&gt;"")*(('Picked Students (raw)'!$C$2:$C$824-$E38)&lt;210)),SUMPRODUCT(('Picked Students (raw)'!$B$2:$B$824=$C38)*('Picked Students (raw)'!$D$2:$D$824=$D38)*('Picked Students (raw)'!$C$2:$C$824&lt;&gt;"")*(('Picked Students (raw)'!$C$2:$C$824-$E38)&lt;210))))))</f>
        <v/>
      </c>
      <c r="V38" s="5">
        <f>IF($A38="","",IF(U38="-","-",IF($G38=0,0,U38/$G38)))</f>
        <v/>
      </c>
      <c r="W38" s="3">
        <f>IF($A38="","",IF($E38="","",IF(TODAY()&lt;$E38+240,"-",IF($D38="",SUMPRODUCT(('Picked Students (raw)'!$B$2:$B$824=$C38)*('Picked Students (raw)'!$C$2:$C$824&lt;&gt;"")*(('Picked Students (raw)'!$C$2:$C$824-$E38)&lt;240)),SUMPRODUCT(('Picked Students (raw)'!$B$2:$B$824=$C38)*('Picked Students (raw)'!$D$2:$D$824=$D38)*('Picked Students (raw)'!$C$2:$C$824&lt;&gt;"")*(('Picked Students (raw)'!$C$2:$C$824-$E38)&lt;240))))))</f>
        <v/>
      </c>
      <c r="X38" s="5">
        <f>IF($A38="","",IF(W38="-","-",IF($G38=0,0,W38/$G38)))</f>
        <v/>
      </c>
      <c r="Y38" s="3">
        <f>IF($A38="","",IF($E38="","",IF(TODAY()&lt;$E38+270,"-",IF($D38="",SUMPRODUCT(('Picked Students (raw)'!$B$2:$B$824=$C38)*('Picked Students (raw)'!$C$2:$C$824&lt;&gt;"")*(('Picked Students (raw)'!$C$2:$C$824-$E38)&lt;270)),SUMPRODUCT(('Picked Students (raw)'!$B$2:$B$824=$C38)*('Picked Students (raw)'!$D$2:$D$824=$D38)*('Picked Students (raw)'!$C$2:$C$824&lt;&gt;"")*(('Picked Students (raw)'!$C$2:$C$824-$E38)&lt;270))))))</f>
        <v/>
      </c>
      <c r="Z38" s="5">
        <f>IF($A38="","",IF(Y38="-","-",IF($G38=0,0,Y38/$G38)))</f>
        <v/>
      </c>
      <c r="AA38" s="3">
        <f>IF($A38="","",IF($E38="","",IF(TODAY()&lt;$E38+300,"-",IF($D38="",SUMPRODUCT(('Picked Students (raw)'!$B$2:$B$824=$C38)*('Picked Students (raw)'!$C$2:$C$824&lt;&gt;"")*(('Picked Students (raw)'!$C$2:$C$824-$E38)&lt;300)),SUMPRODUCT(('Picked Students (raw)'!$B$2:$B$824=$C38)*('Picked Students (raw)'!$D$2:$D$824=$D38)*('Picked Students (raw)'!$C$2:$C$824&lt;&gt;"")*(('Picked Students (raw)'!$C$2:$C$824-$E38)&lt;300))))))</f>
        <v/>
      </c>
      <c r="AB38" s="5">
        <f>IF($A38="","",IF(AA38="-","-",IF($G38=0,0,AA38/$G38)))</f>
        <v/>
      </c>
      <c r="AC38" s="3">
        <f>IF($A38="","",IF($E38="","",IF(TODAY()&lt;$E38+330,"-",IF($D38="",SUMPRODUCT(('Picked Students (raw)'!$B$2:$B$824=$C38)*('Picked Students (raw)'!$C$2:$C$824&lt;&gt;"")*(('Picked Students (raw)'!$C$2:$C$824-$E38)&lt;330)),SUMPRODUCT(('Picked Students (raw)'!$B$2:$B$824=$C38)*('Picked Students (raw)'!$D$2:$D$824=$D38)*('Picked Students (raw)'!$C$2:$C$824&lt;&gt;"")*(('Picked Students (raw)'!$C$2:$C$824-$E38)&lt;330))))))</f>
        <v/>
      </c>
      <c r="AD38" s="5">
        <f>IF($A38="","",IF(AC38="-","-",IF($G38=0,0,AC38/$G38)))</f>
        <v/>
      </c>
      <c r="AE38" s="3">
        <f>IF($A38="","",IF($E38="","",IF(TODAY()&lt;$E38+360,"-",IF($D38="",SUMPRODUCT(('Picked Students (raw)'!$B$2:$B$824=$C38)*('Picked Students (raw)'!$C$2:$C$824&lt;&gt;"")*(('Picked Students (raw)'!$C$2:$C$824-$E38)&lt;360)),SUMPRODUCT(('Picked Students (raw)'!$B$2:$B$824=$C38)*('Picked Students (raw)'!$D$2:$D$824=$D38)*('Picked Students (raw)'!$C$2:$C$824&lt;&gt;"")*(('Picked Students (raw)'!$C$2:$C$824-$E38)&lt;360))))))</f>
        <v/>
      </c>
      <c r="AF38" s="5">
        <f>IF($A38="","",IF(AE38="-","-",IF($G38=0,0,AE38/$G38)))</f>
        <v/>
      </c>
      <c r="AG38" s="3">
        <f>IF($A38="","",IF($E38="","",IF(TODAY()&lt;$E38+390,"-",IF($D38="",SUMPRODUCT(('Picked Students (raw)'!$B$2:$B$824=$C38)*('Picked Students (raw)'!$C$2:$C$824&lt;&gt;"")*(('Picked Students (raw)'!$C$2:$C$824-$E38)&lt;390)),SUMPRODUCT(('Picked Students (raw)'!$B$2:$B$824=$C38)*('Picked Students (raw)'!$D$2:$D$824=$D38)*('Picked Students (raw)'!$C$2:$C$824&lt;&gt;"")*(('Picked Students (raw)'!$C$2:$C$824-$E38)&lt;390))))))</f>
        <v/>
      </c>
      <c r="AH38" s="5">
        <f>IF($A38="","",IF(AG38="-","-",IF($G38=0,0,AG38/$G38)))</f>
        <v/>
      </c>
      <c r="AI38" s="3">
        <f>IF($A38="","",IF($E38="","",IF(TODAY()&lt;$E38+420,"-",IF($D38="",SUMPRODUCT(('Picked Students (raw)'!$B$2:$B$824=$C38)*('Picked Students (raw)'!$C$2:$C$824&lt;&gt;"")*(('Picked Students (raw)'!$C$2:$C$824-$E38)&lt;420)),SUMPRODUCT(('Picked Students (raw)'!$B$2:$B$824=$C38)*('Picked Students (raw)'!$D$2:$D$824=$D38)*('Picked Students (raw)'!$C$2:$C$824&lt;&gt;"")*(('Picked Students (raw)'!$C$2:$C$824-$E38)&lt;420))))))</f>
        <v/>
      </c>
      <c r="AJ38" s="5">
        <f>IF($A38="","",IF(AI38="-","-",IF($G38=0,0,AI38/$G38)))</f>
        <v/>
      </c>
      <c r="AK38" s="3">
        <f>IF($A38="","",IF($E38="","",IF(TODAY()&lt;$E38+450,"-",IF($D38="",SUMPRODUCT(('Picked Students (raw)'!$B$2:$B$824=$C38)*('Picked Students (raw)'!$C$2:$C$824&lt;&gt;"")*(('Picked Students (raw)'!$C$2:$C$824-$E38)&lt;450)),SUMPRODUCT(('Picked Students (raw)'!$B$2:$B$824=$C38)*('Picked Students (raw)'!$D$2:$D$824=$D38)*('Picked Students (raw)'!$C$2:$C$824&lt;&gt;"")*(('Picked Students (raw)'!$C$2:$C$824-$E38)&lt;450))))))</f>
        <v/>
      </c>
      <c r="AL38" s="5">
        <f>IF($A38="","",IF(AK38="-","-",IF($G38=0,0,AK38/$G38)))</f>
        <v/>
      </c>
      <c r="AM38" s="3">
        <f>IF($A38="","",IF($E38="","",IF(TODAY()&lt;$E38+480,"-",IF($D38="",SUMPRODUCT(('Picked Students (raw)'!$B$2:$B$824=$C38)*('Picked Students (raw)'!$C$2:$C$824&lt;&gt;"")*(('Picked Students (raw)'!$C$2:$C$824-$E38)&lt;480)),SUMPRODUCT(('Picked Students (raw)'!$B$2:$B$824=$C38)*('Picked Students (raw)'!$D$2:$D$824=$D38)*('Picked Students (raw)'!$C$2:$C$824&lt;&gt;"")*(('Picked Students (raw)'!$C$2:$C$824-$E38)&lt;480))))))</f>
        <v/>
      </c>
      <c r="AN38" s="5">
        <f>IF($A38="","",IF(AM38="-","-",IF($G38=0,0,AM38/$G38)))</f>
        <v/>
      </c>
      <c r="AO38" s="3">
        <f>IF($A38="","",IF($E38="","",IF(TODAY()&lt;$E38+510,"-",IF($D38="",SUMPRODUCT(('Picked Students (raw)'!$B$2:$B$824=$C38)*('Picked Students (raw)'!$C$2:$C$824&lt;&gt;"")*(('Picked Students (raw)'!$C$2:$C$824-$E38)&lt;510)),SUMPRODUCT(('Picked Students (raw)'!$B$2:$B$824=$C38)*('Picked Students (raw)'!$D$2:$D$824=$D38)*('Picked Students (raw)'!$C$2:$C$824&lt;&gt;"")*(('Picked Students (raw)'!$C$2:$C$824-$E38)&lt;510))))))</f>
        <v/>
      </c>
      <c r="AP38" s="5">
        <f>IF($A38="","",IF(AO38="-","-",IF($G38=0,0,AO38/$G38)))</f>
        <v/>
      </c>
      <c r="AQ38" s="3">
        <f>IF($A38="","",IF($E38="","",IF(TODAY()&lt;$E38+540,"-",IF($D38="",SUMPRODUCT(('Picked Students (raw)'!$B$2:$B$824=$C38)*('Picked Students (raw)'!$C$2:$C$824&lt;&gt;"")*(('Picked Students (raw)'!$C$2:$C$824-$E38)&lt;540)),SUMPRODUCT(('Picked Students (raw)'!$B$2:$B$824=$C38)*('Picked Students (raw)'!$D$2:$D$824=$D38)*('Picked Students (raw)'!$C$2:$C$824&lt;&gt;"")*(('Picked Students (raw)'!$C$2:$C$824-$E38)&lt;540))))))</f>
        <v/>
      </c>
      <c r="AR38" s="5">
        <f>IF($A38="","",IF(AQ38="-","-",IF($G38=0,0,AQ38/$G38)))</f>
        <v/>
      </c>
      <c r="AS38" s="3">
        <f>IF($A38="","",IF(AQ38="-","-",$H38-AQ38))</f>
        <v/>
      </c>
    </row>
    <row r="39">
      <c r="A39" s="3" t="inlineStr">
        <is>
          <t>Professional Certificate Course In Data Science February 2026</t>
        </is>
      </c>
      <c r="B39" s="3">
        <f>IF($A39="","",IFERROR(IF(INDEX('Batch Enrollment (Metabase)'!$C$2:$C$47,MATCH($A39,'Batch Enrollment (Metabase)'!$A$2:$A$47,0))="GEM","A",IF(INDEX('Batch Enrollment (Metabase)'!$C$2:$C$47,MATCH($A39,'Batch Enrollment (Metabase)'!$A$2:$A$47,0))="Non-GEM","B","")),""))</f>
        <v/>
      </c>
      <c r="C39" s="3">
        <f>IF($A39="","",IFERROR(INDEX('Batch Enrollment (Metabase)'!$B$2:$B$47,MATCH($A39,'Batch Enrollment (Metabase)'!$A$2:$A$47,0)),""))</f>
        <v/>
      </c>
      <c r="D39" s="3">
        <f>IF($A39="","",IFERROR(INDEX('Batch Enrollment (Metabase)'!$C$2:$C$47,MATCH($A39,'Batch Enrollment (Metabase)'!$A$2:$A$47,0)),""))</f>
        <v/>
      </c>
      <c r="E39" s="4">
        <f>IF($A39="","",IFERROR(INDEX('Batch Enrollment (Metabase)'!$D$2:$D$47,MATCH($A39,'Batch Enrollment (Metabase)'!$A$2:$A$47,0)),""))</f>
        <v/>
      </c>
      <c r="F39" s="3">
        <f>IF($A39="","",IFERROR(INDEX('Batch Enrollment (Metabase)'!$E$2:$E$47,MATCH($A39,'Batch Enrollment (Metabase)'!$A$2:$A$47,0)),""))</f>
        <v/>
      </c>
      <c r="G39" s="3">
        <f>IF($A39="","",IFERROR(INDEX('Batch Enrollment (Metabase)'!$F$2:$F$47,MATCH($A39,'Batch Enrollment (Metabase)'!$A$2:$A$47,0)),""))</f>
        <v/>
      </c>
      <c r="H39" s="3">
        <f>IF($A39="","",IF($D39="",COUNTIF('Picked Students (raw)'!$B$2:$B$824,$C39),COUNTIFS('Picked Students (raw)'!$B$2:$B$824,$C39,'Picked Students (raw)'!$D$2:$D$824,$D39)))</f>
        <v/>
      </c>
      <c r="I39" s="3">
        <f>IF($A39="","",IF($E39="","",IF(TODAY()&lt;$E39+30,"-",IF($D39="",SUMPRODUCT(('Picked Students (raw)'!$B$2:$B$824=$C39)*('Picked Students (raw)'!$C$2:$C$824&lt;&gt;"")*(('Picked Students (raw)'!$C$2:$C$824-$E39)&lt;30)),SUMPRODUCT(('Picked Students (raw)'!$B$2:$B$824=$C39)*('Picked Students (raw)'!$D$2:$D$824=$D39)*('Picked Students (raw)'!$C$2:$C$824&lt;&gt;"")*(('Picked Students (raw)'!$C$2:$C$824-$E39)&lt;30))))))</f>
        <v/>
      </c>
      <c r="J39" s="5">
        <f>IF($A39="","",IF(I39="-","-",IF($G39=0,0,I39/$G39)))</f>
        <v/>
      </c>
      <c r="K39" s="3">
        <f>IF($A39="","",IF($E39="","",IF(TODAY()&lt;$E39+60,"-",IF($D39="",SUMPRODUCT(('Picked Students (raw)'!$B$2:$B$824=$C39)*('Picked Students (raw)'!$C$2:$C$824&lt;&gt;"")*(('Picked Students (raw)'!$C$2:$C$824-$E39)&lt;60)),SUMPRODUCT(('Picked Students (raw)'!$B$2:$B$824=$C39)*('Picked Students (raw)'!$D$2:$D$824=$D39)*('Picked Students (raw)'!$C$2:$C$824&lt;&gt;"")*(('Picked Students (raw)'!$C$2:$C$824-$E39)&lt;60))))))</f>
        <v/>
      </c>
      <c r="L39" s="5">
        <f>IF($A39="","",IF(K39="-","-",IF($G39=0,0,K39/$G39)))</f>
        <v/>
      </c>
      <c r="M39" s="3">
        <f>IF($A39="","",IF($E39="","",IF(TODAY()&lt;$E39+90,"-",IF($D39="",SUMPRODUCT(('Picked Students (raw)'!$B$2:$B$824=$C39)*('Picked Students (raw)'!$C$2:$C$824&lt;&gt;"")*(('Picked Students (raw)'!$C$2:$C$824-$E39)&lt;90)),SUMPRODUCT(('Picked Students (raw)'!$B$2:$B$824=$C39)*('Picked Students (raw)'!$D$2:$D$824=$D39)*('Picked Students (raw)'!$C$2:$C$824&lt;&gt;"")*(('Picked Students (raw)'!$C$2:$C$824-$E39)&lt;90))))))</f>
        <v/>
      </c>
      <c r="N39" s="5">
        <f>IF($A39="","",IF(M39="-","-",IF($G39=0,0,M39/$G39)))</f>
        <v/>
      </c>
      <c r="O39" s="3">
        <f>IF($A39="","",IF($E39="","",IF(TODAY()&lt;$E39+120,"-",IF($D39="",SUMPRODUCT(('Picked Students (raw)'!$B$2:$B$824=$C39)*('Picked Students (raw)'!$C$2:$C$824&lt;&gt;"")*(('Picked Students (raw)'!$C$2:$C$824-$E39)&lt;120)),SUMPRODUCT(('Picked Students (raw)'!$B$2:$B$824=$C39)*('Picked Students (raw)'!$D$2:$D$824=$D39)*('Picked Students (raw)'!$C$2:$C$824&lt;&gt;"")*(('Picked Students (raw)'!$C$2:$C$824-$E39)&lt;120))))))</f>
        <v/>
      </c>
      <c r="P39" s="5">
        <f>IF($A39="","",IF(O39="-","-",IF($G39=0,0,O39/$G39)))</f>
        <v/>
      </c>
      <c r="Q39" s="3">
        <f>IF($A39="","",IF($E39="","",IF(TODAY()&lt;$E39+150,"-",IF($D39="",SUMPRODUCT(('Picked Students (raw)'!$B$2:$B$824=$C39)*('Picked Students (raw)'!$C$2:$C$824&lt;&gt;"")*(('Picked Students (raw)'!$C$2:$C$824-$E39)&lt;150)),SUMPRODUCT(('Picked Students (raw)'!$B$2:$B$824=$C39)*('Picked Students (raw)'!$D$2:$D$824=$D39)*('Picked Students (raw)'!$C$2:$C$824&lt;&gt;"")*(('Picked Students (raw)'!$C$2:$C$824-$E39)&lt;150))))))</f>
        <v/>
      </c>
      <c r="R39" s="5">
        <f>IF($A39="","",IF(Q39="-","-",IF($G39=0,0,Q39/$G39)))</f>
        <v/>
      </c>
      <c r="S39" s="3">
        <f>IF($A39="","",IF($E39="","",IF(TODAY()&lt;$E39+180,"-",IF($D39="",SUMPRODUCT(('Picked Students (raw)'!$B$2:$B$824=$C39)*('Picked Students (raw)'!$C$2:$C$824&lt;&gt;"")*(('Picked Students (raw)'!$C$2:$C$824-$E39)&lt;180)),SUMPRODUCT(('Picked Students (raw)'!$B$2:$B$824=$C39)*('Picked Students (raw)'!$D$2:$D$824=$D39)*('Picked Students (raw)'!$C$2:$C$824&lt;&gt;"")*(('Picked Students (raw)'!$C$2:$C$824-$E39)&lt;180))))))</f>
        <v/>
      </c>
      <c r="T39" s="5">
        <f>IF($A39="","",IF(S39="-","-",IF($G39=0,0,S39/$G39)))</f>
        <v/>
      </c>
      <c r="U39" s="3">
        <f>IF($A39="","",IF($E39="","",IF(TODAY()&lt;$E39+210,"-",IF($D39="",SUMPRODUCT(('Picked Students (raw)'!$B$2:$B$824=$C39)*('Picked Students (raw)'!$C$2:$C$824&lt;&gt;"")*(('Picked Students (raw)'!$C$2:$C$824-$E39)&lt;210)),SUMPRODUCT(('Picked Students (raw)'!$B$2:$B$824=$C39)*('Picked Students (raw)'!$D$2:$D$824=$D39)*('Picked Students (raw)'!$C$2:$C$824&lt;&gt;"")*(('Picked Students (raw)'!$C$2:$C$824-$E39)&lt;210))))))</f>
        <v/>
      </c>
      <c r="V39" s="5">
        <f>IF($A39="","",IF(U39="-","-",IF($G39=0,0,U39/$G39)))</f>
        <v/>
      </c>
      <c r="W39" s="3">
        <f>IF($A39="","",IF($E39="","",IF(TODAY()&lt;$E39+240,"-",IF($D39="",SUMPRODUCT(('Picked Students (raw)'!$B$2:$B$824=$C39)*('Picked Students (raw)'!$C$2:$C$824&lt;&gt;"")*(('Picked Students (raw)'!$C$2:$C$824-$E39)&lt;240)),SUMPRODUCT(('Picked Students (raw)'!$B$2:$B$824=$C39)*('Picked Students (raw)'!$D$2:$D$824=$D39)*('Picked Students (raw)'!$C$2:$C$824&lt;&gt;"")*(('Picked Students (raw)'!$C$2:$C$824-$E39)&lt;240))))))</f>
        <v/>
      </c>
      <c r="X39" s="5">
        <f>IF($A39="","",IF(W39="-","-",IF($G39=0,0,W39/$G39)))</f>
        <v/>
      </c>
      <c r="Y39" s="3">
        <f>IF($A39="","",IF($E39="","",IF(TODAY()&lt;$E39+270,"-",IF($D39="",SUMPRODUCT(('Picked Students (raw)'!$B$2:$B$824=$C39)*('Picked Students (raw)'!$C$2:$C$824&lt;&gt;"")*(('Picked Students (raw)'!$C$2:$C$824-$E39)&lt;270)),SUMPRODUCT(('Picked Students (raw)'!$B$2:$B$824=$C39)*('Picked Students (raw)'!$D$2:$D$824=$D39)*('Picked Students (raw)'!$C$2:$C$824&lt;&gt;"")*(('Picked Students (raw)'!$C$2:$C$824-$E39)&lt;270))))))</f>
        <v/>
      </c>
      <c r="Z39" s="5">
        <f>IF($A39="","",IF(Y39="-","-",IF($G39=0,0,Y39/$G39)))</f>
        <v/>
      </c>
      <c r="AA39" s="3">
        <f>IF($A39="","",IF($E39="","",IF(TODAY()&lt;$E39+300,"-",IF($D39="",SUMPRODUCT(('Picked Students (raw)'!$B$2:$B$824=$C39)*('Picked Students (raw)'!$C$2:$C$824&lt;&gt;"")*(('Picked Students (raw)'!$C$2:$C$824-$E39)&lt;300)),SUMPRODUCT(('Picked Students (raw)'!$B$2:$B$824=$C39)*('Picked Students (raw)'!$D$2:$D$824=$D39)*('Picked Students (raw)'!$C$2:$C$824&lt;&gt;"")*(('Picked Students (raw)'!$C$2:$C$824-$E39)&lt;300))))))</f>
        <v/>
      </c>
      <c r="AB39" s="5">
        <f>IF($A39="","",IF(AA39="-","-",IF($G39=0,0,AA39/$G39)))</f>
        <v/>
      </c>
      <c r="AC39" s="3">
        <f>IF($A39="","",IF($E39="","",IF(TODAY()&lt;$E39+330,"-",IF($D39="",SUMPRODUCT(('Picked Students (raw)'!$B$2:$B$824=$C39)*('Picked Students (raw)'!$C$2:$C$824&lt;&gt;"")*(('Picked Students (raw)'!$C$2:$C$824-$E39)&lt;330)),SUMPRODUCT(('Picked Students (raw)'!$B$2:$B$824=$C39)*('Picked Students (raw)'!$D$2:$D$824=$D39)*('Picked Students (raw)'!$C$2:$C$824&lt;&gt;"")*(('Picked Students (raw)'!$C$2:$C$824-$E39)&lt;330))))))</f>
        <v/>
      </c>
      <c r="AD39" s="5">
        <f>IF($A39="","",IF(AC39="-","-",IF($G39=0,0,AC39/$G39)))</f>
        <v/>
      </c>
      <c r="AE39" s="3">
        <f>IF($A39="","",IF($E39="","",IF(TODAY()&lt;$E39+360,"-",IF($D39="",SUMPRODUCT(('Picked Students (raw)'!$B$2:$B$824=$C39)*('Picked Students (raw)'!$C$2:$C$824&lt;&gt;"")*(('Picked Students (raw)'!$C$2:$C$824-$E39)&lt;360)),SUMPRODUCT(('Picked Students (raw)'!$B$2:$B$824=$C39)*('Picked Students (raw)'!$D$2:$D$824=$D39)*('Picked Students (raw)'!$C$2:$C$824&lt;&gt;"")*(('Picked Students (raw)'!$C$2:$C$824-$E39)&lt;360))))))</f>
        <v/>
      </c>
      <c r="AF39" s="5">
        <f>IF($A39="","",IF(AE39="-","-",IF($G39=0,0,AE39/$G39)))</f>
        <v/>
      </c>
      <c r="AG39" s="3">
        <f>IF($A39="","",IF($E39="","",IF(TODAY()&lt;$E39+390,"-",IF($D39="",SUMPRODUCT(('Picked Students (raw)'!$B$2:$B$824=$C39)*('Picked Students (raw)'!$C$2:$C$824&lt;&gt;"")*(('Picked Students (raw)'!$C$2:$C$824-$E39)&lt;390)),SUMPRODUCT(('Picked Students (raw)'!$B$2:$B$824=$C39)*('Picked Students (raw)'!$D$2:$D$824=$D39)*('Picked Students (raw)'!$C$2:$C$824&lt;&gt;"")*(('Picked Students (raw)'!$C$2:$C$824-$E39)&lt;390))))))</f>
        <v/>
      </c>
      <c r="AH39" s="5">
        <f>IF($A39="","",IF(AG39="-","-",IF($G39=0,0,AG39/$G39)))</f>
        <v/>
      </c>
      <c r="AI39" s="3">
        <f>IF($A39="","",IF($E39="","",IF(TODAY()&lt;$E39+420,"-",IF($D39="",SUMPRODUCT(('Picked Students (raw)'!$B$2:$B$824=$C39)*('Picked Students (raw)'!$C$2:$C$824&lt;&gt;"")*(('Picked Students (raw)'!$C$2:$C$824-$E39)&lt;420)),SUMPRODUCT(('Picked Students (raw)'!$B$2:$B$824=$C39)*('Picked Students (raw)'!$D$2:$D$824=$D39)*('Picked Students (raw)'!$C$2:$C$824&lt;&gt;"")*(('Picked Students (raw)'!$C$2:$C$824-$E39)&lt;420))))))</f>
        <v/>
      </c>
      <c r="AJ39" s="5">
        <f>IF($A39="","",IF(AI39="-","-",IF($G39=0,0,AI39/$G39)))</f>
        <v/>
      </c>
      <c r="AK39" s="3">
        <f>IF($A39="","",IF($E39="","",IF(TODAY()&lt;$E39+450,"-",IF($D39="",SUMPRODUCT(('Picked Students (raw)'!$B$2:$B$824=$C39)*('Picked Students (raw)'!$C$2:$C$824&lt;&gt;"")*(('Picked Students (raw)'!$C$2:$C$824-$E39)&lt;450)),SUMPRODUCT(('Picked Students (raw)'!$B$2:$B$824=$C39)*('Picked Students (raw)'!$D$2:$D$824=$D39)*('Picked Students (raw)'!$C$2:$C$824&lt;&gt;"")*(('Picked Students (raw)'!$C$2:$C$824-$E39)&lt;450))))))</f>
        <v/>
      </c>
      <c r="AL39" s="5">
        <f>IF($A39="","",IF(AK39="-","-",IF($G39=0,0,AK39/$G39)))</f>
        <v/>
      </c>
      <c r="AM39" s="3">
        <f>IF($A39="","",IF($E39="","",IF(TODAY()&lt;$E39+480,"-",IF($D39="",SUMPRODUCT(('Picked Students (raw)'!$B$2:$B$824=$C39)*('Picked Students (raw)'!$C$2:$C$824&lt;&gt;"")*(('Picked Students (raw)'!$C$2:$C$824-$E39)&lt;480)),SUMPRODUCT(('Picked Students (raw)'!$B$2:$B$824=$C39)*('Picked Students (raw)'!$D$2:$D$824=$D39)*('Picked Students (raw)'!$C$2:$C$824&lt;&gt;"")*(('Picked Students (raw)'!$C$2:$C$824-$E39)&lt;480))))))</f>
        <v/>
      </c>
      <c r="AN39" s="5">
        <f>IF($A39="","",IF(AM39="-","-",IF($G39=0,0,AM39/$G39)))</f>
        <v/>
      </c>
      <c r="AO39" s="3">
        <f>IF($A39="","",IF($E39="","",IF(TODAY()&lt;$E39+510,"-",IF($D39="",SUMPRODUCT(('Picked Students (raw)'!$B$2:$B$824=$C39)*('Picked Students (raw)'!$C$2:$C$824&lt;&gt;"")*(('Picked Students (raw)'!$C$2:$C$824-$E39)&lt;510)),SUMPRODUCT(('Picked Students (raw)'!$B$2:$B$824=$C39)*('Picked Students (raw)'!$D$2:$D$824=$D39)*('Picked Students (raw)'!$C$2:$C$824&lt;&gt;"")*(('Picked Students (raw)'!$C$2:$C$824-$E39)&lt;510))))))</f>
        <v/>
      </c>
      <c r="AP39" s="5">
        <f>IF($A39="","",IF(AO39="-","-",IF($G39=0,0,AO39/$G39)))</f>
        <v/>
      </c>
      <c r="AQ39" s="3">
        <f>IF($A39="","",IF($E39="","",IF(TODAY()&lt;$E39+540,"-",IF($D39="",SUMPRODUCT(('Picked Students (raw)'!$B$2:$B$824=$C39)*('Picked Students (raw)'!$C$2:$C$824&lt;&gt;"")*(('Picked Students (raw)'!$C$2:$C$824-$E39)&lt;540)),SUMPRODUCT(('Picked Students (raw)'!$B$2:$B$824=$C39)*('Picked Students (raw)'!$D$2:$D$824=$D39)*('Picked Students (raw)'!$C$2:$C$824&lt;&gt;"")*(('Picked Students (raw)'!$C$2:$C$824-$E39)&lt;540))))))</f>
        <v/>
      </c>
      <c r="AR39" s="5">
        <f>IF($A39="","",IF(AQ39="-","-",IF($G39=0,0,AQ39/$G39)))</f>
        <v/>
      </c>
      <c r="AS39" s="3">
        <f>IF($A39="","",IF(AQ39="-","-",$H39-AQ39))</f>
        <v/>
      </c>
    </row>
    <row r="40">
      <c r="A40" s="3" t="inlineStr">
        <is>
          <t>Professional Certificate Course In Data Science March 2026</t>
        </is>
      </c>
      <c r="B40" s="3">
        <f>IF($A40="","",IFERROR(IF(INDEX('Batch Enrollment (Metabase)'!$C$2:$C$47,MATCH($A40,'Batch Enrollment (Metabase)'!$A$2:$A$47,0))="GEM","A",IF(INDEX('Batch Enrollment (Metabase)'!$C$2:$C$47,MATCH($A40,'Batch Enrollment (Metabase)'!$A$2:$A$47,0))="Non-GEM","B","")),""))</f>
        <v/>
      </c>
      <c r="C40" s="3">
        <f>IF($A40="","",IFERROR(INDEX('Batch Enrollment (Metabase)'!$B$2:$B$47,MATCH($A40,'Batch Enrollment (Metabase)'!$A$2:$A$47,0)),""))</f>
        <v/>
      </c>
      <c r="D40" s="3">
        <f>IF($A40="","",IFERROR(INDEX('Batch Enrollment (Metabase)'!$C$2:$C$47,MATCH($A40,'Batch Enrollment (Metabase)'!$A$2:$A$47,0)),""))</f>
        <v/>
      </c>
      <c r="E40" s="4">
        <f>IF($A40="","",IFERROR(INDEX('Batch Enrollment (Metabase)'!$D$2:$D$47,MATCH($A40,'Batch Enrollment (Metabase)'!$A$2:$A$47,0)),""))</f>
        <v/>
      </c>
      <c r="F40" s="3">
        <f>IF($A40="","",IFERROR(INDEX('Batch Enrollment (Metabase)'!$E$2:$E$47,MATCH($A40,'Batch Enrollment (Metabase)'!$A$2:$A$47,0)),""))</f>
        <v/>
      </c>
      <c r="G40" s="3">
        <f>IF($A40="","",IFERROR(INDEX('Batch Enrollment (Metabase)'!$F$2:$F$47,MATCH($A40,'Batch Enrollment (Metabase)'!$A$2:$A$47,0)),""))</f>
        <v/>
      </c>
      <c r="H40" s="3">
        <f>IF($A40="","",IF($D40="",COUNTIF('Picked Students (raw)'!$B$2:$B$824,$C40),COUNTIFS('Picked Students (raw)'!$B$2:$B$824,$C40,'Picked Students (raw)'!$D$2:$D$824,$D40)))</f>
        <v/>
      </c>
      <c r="I40" s="3">
        <f>IF($A40="","",IF($E40="","",IF(TODAY()&lt;$E40+30,"-",IF($D40="",SUMPRODUCT(('Picked Students (raw)'!$B$2:$B$824=$C40)*('Picked Students (raw)'!$C$2:$C$824&lt;&gt;"")*(('Picked Students (raw)'!$C$2:$C$824-$E40)&lt;30)),SUMPRODUCT(('Picked Students (raw)'!$B$2:$B$824=$C40)*('Picked Students (raw)'!$D$2:$D$824=$D40)*('Picked Students (raw)'!$C$2:$C$824&lt;&gt;"")*(('Picked Students (raw)'!$C$2:$C$824-$E40)&lt;30))))))</f>
        <v/>
      </c>
      <c r="J40" s="5">
        <f>IF($A40="","",IF(I40="-","-",IF($G40=0,0,I40/$G40)))</f>
        <v/>
      </c>
      <c r="K40" s="3">
        <f>IF($A40="","",IF($E40="","",IF(TODAY()&lt;$E40+60,"-",IF($D40="",SUMPRODUCT(('Picked Students (raw)'!$B$2:$B$824=$C40)*('Picked Students (raw)'!$C$2:$C$824&lt;&gt;"")*(('Picked Students (raw)'!$C$2:$C$824-$E40)&lt;60)),SUMPRODUCT(('Picked Students (raw)'!$B$2:$B$824=$C40)*('Picked Students (raw)'!$D$2:$D$824=$D40)*('Picked Students (raw)'!$C$2:$C$824&lt;&gt;"")*(('Picked Students (raw)'!$C$2:$C$824-$E40)&lt;60))))))</f>
        <v/>
      </c>
      <c r="L40" s="5">
        <f>IF($A40="","",IF(K40="-","-",IF($G40=0,0,K40/$G40)))</f>
        <v/>
      </c>
      <c r="M40" s="3">
        <f>IF($A40="","",IF($E40="","",IF(TODAY()&lt;$E40+90,"-",IF($D40="",SUMPRODUCT(('Picked Students (raw)'!$B$2:$B$824=$C40)*('Picked Students (raw)'!$C$2:$C$824&lt;&gt;"")*(('Picked Students (raw)'!$C$2:$C$824-$E40)&lt;90)),SUMPRODUCT(('Picked Students (raw)'!$B$2:$B$824=$C40)*('Picked Students (raw)'!$D$2:$D$824=$D40)*('Picked Students (raw)'!$C$2:$C$824&lt;&gt;"")*(('Picked Students (raw)'!$C$2:$C$824-$E40)&lt;90))))))</f>
        <v/>
      </c>
      <c r="N40" s="5">
        <f>IF($A40="","",IF(M40="-","-",IF($G40=0,0,M40/$G40)))</f>
        <v/>
      </c>
      <c r="O40" s="3">
        <f>IF($A40="","",IF($E40="","",IF(TODAY()&lt;$E40+120,"-",IF($D40="",SUMPRODUCT(('Picked Students (raw)'!$B$2:$B$824=$C40)*('Picked Students (raw)'!$C$2:$C$824&lt;&gt;"")*(('Picked Students (raw)'!$C$2:$C$824-$E40)&lt;120)),SUMPRODUCT(('Picked Students (raw)'!$B$2:$B$824=$C40)*('Picked Students (raw)'!$D$2:$D$824=$D40)*('Picked Students (raw)'!$C$2:$C$824&lt;&gt;"")*(('Picked Students (raw)'!$C$2:$C$824-$E40)&lt;120))))))</f>
        <v/>
      </c>
      <c r="P40" s="5">
        <f>IF($A40="","",IF(O40="-","-",IF($G40=0,0,O40/$G40)))</f>
        <v/>
      </c>
      <c r="Q40" s="3">
        <f>IF($A40="","",IF($E40="","",IF(TODAY()&lt;$E40+150,"-",IF($D40="",SUMPRODUCT(('Picked Students (raw)'!$B$2:$B$824=$C40)*('Picked Students (raw)'!$C$2:$C$824&lt;&gt;"")*(('Picked Students (raw)'!$C$2:$C$824-$E40)&lt;150)),SUMPRODUCT(('Picked Students (raw)'!$B$2:$B$824=$C40)*('Picked Students (raw)'!$D$2:$D$824=$D40)*('Picked Students (raw)'!$C$2:$C$824&lt;&gt;"")*(('Picked Students (raw)'!$C$2:$C$824-$E40)&lt;150))))))</f>
        <v/>
      </c>
      <c r="R40" s="5">
        <f>IF($A40="","",IF(Q40="-","-",IF($G40=0,0,Q40/$G40)))</f>
        <v/>
      </c>
      <c r="S40" s="3">
        <f>IF($A40="","",IF($E40="","",IF(TODAY()&lt;$E40+180,"-",IF($D40="",SUMPRODUCT(('Picked Students (raw)'!$B$2:$B$824=$C40)*('Picked Students (raw)'!$C$2:$C$824&lt;&gt;"")*(('Picked Students (raw)'!$C$2:$C$824-$E40)&lt;180)),SUMPRODUCT(('Picked Students (raw)'!$B$2:$B$824=$C40)*('Picked Students (raw)'!$D$2:$D$824=$D40)*('Picked Students (raw)'!$C$2:$C$824&lt;&gt;"")*(('Picked Students (raw)'!$C$2:$C$824-$E40)&lt;180))))))</f>
        <v/>
      </c>
      <c r="T40" s="5">
        <f>IF($A40="","",IF(S40="-","-",IF($G40=0,0,S40/$G40)))</f>
        <v/>
      </c>
      <c r="U40" s="3">
        <f>IF($A40="","",IF($E40="","",IF(TODAY()&lt;$E40+210,"-",IF($D40="",SUMPRODUCT(('Picked Students (raw)'!$B$2:$B$824=$C40)*('Picked Students (raw)'!$C$2:$C$824&lt;&gt;"")*(('Picked Students (raw)'!$C$2:$C$824-$E40)&lt;210)),SUMPRODUCT(('Picked Students (raw)'!$B$2:$B$824=$C40)*('Picked Students (raw)'!$D$2:$D$824=$D40)*('Picked Students (raw)'!$C$2:$C$824&lt;&gt;"")*(('Picked Students (raw)'!$C$2:$C$824-$E40)&lt;210))))))</f>
        <v/>
      </c>
      <c r="V40" s="5">
        <f>IF($A40="","",IF(U40="-","-",IF($G40=0,0,U40/$G40)))</f>
        <v/>
      </c>
      <c r="W40" s="3">
        <f>IF($A40="","",IF($E40="","",IF(TODAY()&lt;$E40+240,"-",IF($D40="",SUMPRODUCT(('Picked Students (raw)'!$B$2:$B$824=$C40)*('Picked Students (raw)'!$C$2:$C$824&lt;&gt;"")*(('Picked Students (raw)'!$C$2:$C$824-$E40)&lt;240)),SUMPRODUCT(('Picked Students (raw)'!$B$2:$B$824=$C40)*('Picked Students (raw)'!$D$2:$D$824=$D40)*('Picked Students (raw)'!$C$2:$C$824&lt;&gt;"")*(('Picked Students (raw)'!$C$2:$C$824-$E40)&lt;240))))))</f>
        <v/>
      </c>
      <c r="X40" s="5">
        <f>IF($A40="","",IF(W40="-","-",IF($G40=0,0,W40/$G40)))</f>
        <v/>
      </c>
      <c r="Y40" s="3">
        <f>IF($A40="","",IF($E40="","",IF(TODAY()&lt;$E40+270,"-",IF($D40="",SUMPRODUCT(('Picked Students (raw)'!$B$2:$B$824=$C40)*('Picked Students (raw)'!$C$2:$C$824&lt;&gt;"")*(('Picked Students (raw)'!$C$2:$C$824-$E40)&lt;270)),SUMPRODUCT(('Picked Students (raw)'!$B$2:$B$824=$C40)*('Picked Students (raw)'!$D$2:$D$824=$D40)*('Picked Students (raw)'!$C$2:$C$824&lt;&gt;"")*(('Picked Students (raw)'!$C$2:$C$824-$E40)&lt;270))))))</f>
        <v/>
      </c>
      <c r="Z40" s="5">
        <f>IF($A40="","",IF(Y40="-","-",IF($G40=0,0,Y40/$G40)))</f>
        <v/>
      </c>
      <c r="AA40" s="3">
        <f>IF($A40="","",IF($E40="","",IF(TODAY()&lt;$E40+300,"-",IF($D40="",SUMPRODUCT(('Picked Students (raw)'!$B$2:$B$824=$C40)*('Picked Students (raw)'!$C$2:$C$824&lt;&gt;"")*(('Picked Students (raw)'!$C$2:$C$824-$E40)&lt;300)),SUMPRODUCT(('Picked Students (raw)'!$B$2:$B$824=$C40)*('Picked Students (raw)'!$D$2:$D$824=$D40)*('Picked Students (raw)'!$C$2:$C$824&lt;&gt;"")*(('Picked Students (raw)'!$C$2:$C$824-$E40)&lt;300))))))</f>
        <v/>
      </c>
      <c r="AB40" s="5">
        <f>IF($A40="","",IF(AA40="-","-",IF($G40=0,0,AA40/$G40)))</f>
        <v/>
      </c>
      <c r="AC40" s="3">
        <f>IF($A40="","",IF($E40="","",IF(TODAY()&lt;$E40+330,"-",IF($D40="",SUMPRODUCT(('Picked Students (raw)'!$B$2:$B$824=$C40)*('Picked Students (raw)'!$C$2:$C$824&lt;&gt;"")*(('Picked Students (raw)'!$C$2:$C$824-$E40)&lt;330)),SUMPRODUCT(('Picked Students (raw)'!$B$2:$B$824=$C40)*('Picked Students (raw)'!$D$2:$D$824=$D40)*('Picked Students (raw)'!$C$2:$C$824&lt;&gt;"")*(('Picked Students (raw)'!$C$2:$C$824-$E40)&lt;330))))))</f>
        <v/>
      </c>
      <c r="AD40" s="5">
        <f>IF($A40="","",IF(AC40="-","-",IF($G40=0,0,AC40/$G40)))</f>
        <v/>
      </c>
      <c r="AE40" s="3">
        <f>IF($A40="","",IF($E40="","",IF(TODAY()&lt;$E40+360,"-",IF($D40="",SUMPRODUCT(('Picked Students (raw)'!$B$2:$B$824=$C40)*('Picked Students (raw)'!$C$2:$C$824&lt;&gt;"")*(('Picked Students (raw)'!$C$2:$C$824-$E40)&lt;360)),SUMPRODUCT(('Picked Students (raw)'!$B$2:$B$824=$C40)*('Picked Students (raw)'!$D$2:$D$824=$D40)*('Picked Students (raw)'!$C$2:$C$824&lt;&gt;"")*(('Picked Students (raw)'!$C$2:$C$824-$E40)&lt;360))))))</f>
        <v/>
      </c>
      <c r="AF40" s="5">
        <f>IF($A40="","",IF(AE40="-","-",IF($G40=0,0,AE40/$G40)))</f>
        <v/>
      </c>
      <c r="AG40" s="3">
        <f>IF($A40="","",IF($E40="","",IF(TODAY()&lt;$E40+390,"-",IF($D40="",SUMPRODUCT(('Picked Students (raw)'!$B$2:$B$824=$C40)*('Picked Students (raw)'!$C$2:$C$824&lt;&gt;"")*(('Picked Students (raw)'!$C$2:$C$824-$E40)&lt;390)),SUMPRODUCT(('Picked Students (raw)'!$B$2:$B$824=$C40)*('Picked Students (raw)'!$D$2:$D$824=$D40)*('Picked Students (raw)'!$C$2:$C$824&lt;&gt;"")*(('Picked Students (raw)'!$C$2:$C$824-$E40)&lt;390))))))</f>
        <v/>
      </c>
      <c r="AH40" s="5">
        <f>IF($A40="","",IF(AG40="-","-",IF($G40=0,0,AG40/$G40)))</f>
        <v/>
      </c>
      <c r="AI40" s="3">
        <f>IF($A40="","",IF($E40="","",IF(TODAY()&lt;$E40+420,"-",IF($D40="",SUMPRODUCT(('Picked Students (raw)'!$B$2:$B$824=$C40)*('Picked Students (raw)'!$C$2:$C$824&lt;&gt;"")*(('Picked Students (raw)'!$C$2:$C$824-$E40)&lt;420)),SUMPRODUCT(('Picked Students (raw)'!$B$2:$B$824=$C40)*('Picked Students (raw)'!$D$2:$D$824=$D40)*('Picked Students (raw)'!$C$2:$C$824&lt;&gt;"")*(('Picked Students (raw)'!$C$2:$C$824-$E40)&lt;420))))))</f>
        <v/>
      </c>
      <c r="AJ40" s="5">
        <f>IF($A40="","",IF(AI40="-","-",IF($G40=0,0,AI40/$G40)))</f>
        <v/>
      </c>
      <c r="AK40" s="3">
        <f>IF($A40="","",IF($E40="","",IF(TODAY()&lt;$E40+450,"-",IF($D40="",SUMPRODUCT(('Picked Students (raw)'!$B$2:$B$824=$C40)*('Picked Students (raw)'!$C$2:$C$824&lt;&gt;"")*(('Picked Students (raw)'!$C$2:$C$824-$E40)&lt;450)),SUMPRODUCT(('Picked Students (raw)'!$B$2:$B$824=$C40)*('Picked Students (raw)'!$D$2:$D$824=$D40)*('Picked Students (raw)'!$C$2:$C$824&lt;&gt;"")*(('Picked Students (raw)'!$C$2:$C$824-$E40)&lt;450))))))</f>
        <v/>
      </c>
      <c r="AL40" s="5">
        <f>IF($A40="","",IF(AK40="-","-",IF($G40=0,0,AK40/$G40)))</f>
        <v/>
      </c>
      <c r="AM40" s="3">
        <f>IF($A40="","",IF($E40="","",IF(TODAY()&lt;$E40+480,"-",IF($D40="",SUMPRODUCT(('Picked Students (raw)'!$B$2:$B$824=$C40)*('Picked Students (raw)'!$C$2:$C$824&lt;&gt;"")*(('Picked Students (raw)'!$C$2:$C$824-$E40)&lt;480)),SUMPRODUCT(('Picked Students (raw)'!$B$2:$B$824=$C40)*('Picked Students (raw)'!$D$2:$D$824=$D40)*('Picked Students (raw)'!$C$2:$C$824&lt;&gt;"")*(('Picked Students (raw)'!$C$2:$C$824-$E40)&lt;480))))))</f>
        <v/>
      </c>
      <c r="AN40" s="5">
        <f>IF($A40="","",IF(AM40="-","-",IF($G40=0,0,AM40/$G40)))</f>
        <v/>
      </c>
      <c r="AO40" s="3">
        <f>IF($A40="","",IF($E40="","",IF(TODAY()&lt;$E40+510,"-",IF($D40="",SUMPRODUCT(('Picked Students (raw)'!$B$2:$B$824=$C40)*('Picked Students (raw)'!$C$2:$C$824&lt;&gt;"")*(('Picked Students (raw)'!$C$2:$C$824-$E40)&lt;510)),SUMPRODUCT(('Picked Students (raw)'!$B$2:$B$824=$C40)*('Picked Students (raw)'!$D$2:$D$824=$D40)*('Picked Students (raw)'!$C$2:$C$824&lt;&gt;"")*(('Picked Students (raw)'!$C$2:$C$824-$E40)&lt;510))))))</f>
        <v/>
      </c>
      <c r="AP40" s="5">
        <f>IF($A40="","",IF(AO40="-","-",IF($G40=0,0,AO40/$G40)))</f>
        <v/>
      </c>
      <c r="AQ40" s="3">
        <f>IF($A40="","",IF($E40="","",IF(TODAY()&lt;$E40+540,"-",IF($D40="",SUMPRODUCT(('Picked Students (raw)'!$B$2:$B$824=$C40)*('Picked Students (raw)'!$C$2:$C$824&lt;&gt;"")*(('Picked Students (raw)'!$C$2:$C$824-$E40)&lt;540)),SUMPRODUCT(('Picked Students (raw)'!$B$2:$B$824=$C40)*('Picked Students (raw)'!$D$2:$D$824=$D40)*('Picked Students (raw)'!$C$2:$C$824&lt;&gt;"")*(('Picked Students (raw)'!$C$2:$C$824-$E40)&lt;540))))))</f>
        <v/>
      </c>
      <c r="AR40" s="5">
        <f>IF($A40="","",IF(AQ40="-","-",IF($G40=0,0,AQ40/$G40)))</f>
        <v/>
      </c>
      <c r="AS40" s="3">
        <f>IF($A40="","",IF(AQ40="-","-",$H40-AQ40))</f>
        <v/>
      </c>
    </row>
    <row r="41">
      <c r="A41" s="3" t="inlineStr">
        <is>
          <t>Professional Certificate Course In Data Science April 2026</t>
        </is>
      </c>
      <c r="B41" s="3">
        <f>IF($A41="","",IFERROR(IF(INDEX('Batch Enrollment (Metabase)'!$C$2:$C$47,MATCH($A41,'Batch Enrollment (Metabase)'!$A$2:$A$47,0))="GEM","A",IF(INDEX('Batch Enrollment (Metabase)'!$C$2:$C$47,MATCH($A41,'Batch Enrollment (Metabase)'!$A$2:$A$47,0))="Non-GEM","B","")),""))</f>
        <v/>
      </c>
      <c r="C41" s="3">
        <f>IF($A41="","",IFERROR(INDEX('Batch Enrollment (Metabase)'!$B$2:$B$47,MATCH($A41,'Batch Enrollment (Metabase)'!$A$2:$A$47,0)),""))</f>
        <v/>
      </c>
      <c r="D41" s="3">
        <f>IF($A41="","",IFERROR(INDEX('Batch Enrollment (Metabase)'!$C$2:$C$47,MATCH($A41,'Batch Enrollment (Metabase)'!$A$2:$A$47,0)),""))</f>
        <v/>
      </c>
      <c r="E41" s="4">
        <f>IF($A41="","",IFERROR(INDEX('Batch Enrollment (Metabase)'!$D$2:$D$47,MATCH($A41,'Batch Enrollment (Metabase)'!$A$2:$A$47,0)),""))</f>
        <v/>
      </c>
      <c r="F41" s="3">
        <f>IF($A41="","",IFERROR(INDEX('Batch Enrollment (Metabase)'!$E$2:$E$47,MATCH($A41,'Batch Enrollment (Metabase)'!$A$2:$A$47,0)),""))</f>
        <v/>
      </c>
      <c r="G41" s="3">
        <f>IF($A41="","",IFERROR(INDEX('Batch Enrollment (Metabase)'!$F$2:$F$47,MATCH($A41,'Batch Enrollment (Metabase)'!$A$2:$A$47,0)),""))</f>
        <v/>
      </c>
      <c r="H41" s="3">
        <f>IF($A41="","",IF($D41="",COUNTIF('Picked Students (raw)'!$B$2:$B$824,$C41),COUNTIFS('Picked Students (raw)'!$B$2:$B$824,$C41,'Picked Students (raw)'!$D$2:$D$824,$D41)))</f>
        <v/>
      </c>
      <c r="I41" s="3">
        <f>IF($A41="","",IF($E41="","",IF(TODAY()&lt;$E41+30,"-",IF($D41="",SUMPRODUCT(('Picked Students (raw)'!$B$2:$B$824=$C41)*('Picked Students (raw)'!$C$2:$C$824&lt;&gt;"")*(('Picked Students (raw)'!$C$2:$C$824-$E41)&lt;30)),SUMPRODUCT(('Picked Students (raw)'!$B$2:$B$824=$C41)*('Picked Students (raw)'!$D$2:$D$824=$D41)*('Picked Students (raw)'!$C$2:$C$824&lt;&gt;"")*(('Picked Students (raw)'!$C$2:$C$824-$E41)&lt;30))))))</f>
        <v/>
      </c>
      <c r="J41" s="5">
        <f>IF($A41="","",IF(I41="-","-",IF($G41=0,0,I41/$G41)))</f>
        <v/>
      </c>
      <c r="K41" s="3">
        <f>IF($A41="","",IF($E41="","",IF(TODAY()&lt;$E41+60,"-",IF($D41="",SUMPRODUCT(('Picked Students (raw)'!$B$2:$B$824=$C41)*('Picked Students (raw)'!$C$2:$C$824&lt;&gt;"")*(('Picked Students (raw)'!$C$2:$C$824-$E41)&lt;60)),SUMPRODUCT(('Picked Students (raw)'!$B$2:$B$824=$C41)*('Picked Students (raw)'!$D$2:$D$824=$D41)*('Picked Students (raw)'!$C$2:$C$824&lt;&gt;"")*(('Picked Students (raw)'!$C$2:$C$824-$E41)&lt;60))))))</f>
        <v/>
      </c>
      <c r="L41" s="5">
        <f>IF($A41="","",IF(K41="-","-",IF($G41=0,0,K41/$G41)))</f>
        <v/>
      </c>
      <c r="M41" s="3">
        <f>IF($A41="","",IF($E41="","",IF(TODAY()&lt;$E41+90,"-",IF($D41="",SUMPRODUCT(('Picked Students (raw)'!$B$2:$B$824=$C41)*('Picked Students (raw)'!$C$2:$C$824&lt;&gt;"")*(('Picked Students (raw)'!$C$2:$C$824-$E41)&lt;90)),SUMPRODUCT(('Picked Students (raw)'!$B$2:$B$824=$C41)*('Picked Students (raw)'!$D$2:$D$824=$D41)*('Picked Students (raw)'!$C$2:$C$824&lt;&gt;"")*(('Picked Students (raw)'!$C$2:$C$824-$E41)&lt;90))))))</f>
        <v/>
      </c>
      <c r="N41" s="5">
        <f>IF($A41="","",IF(M41="-","-",IF($G41=0,0,M41/$G41)))</f>
        <v/>
      </c>
      <c r="O41" s="3">
        <f>IF($A41="","",IF($E41="","",IF(TODAY()&lt;$E41+120,"-",IF($D41="",SUMPRODUCT(('Picked Students (raw)'!$B$2:$B$824=$C41)*('Picked Students (raw)'!$C$2:$C$824&lt;&gt;"")*(('Picked Students (raw)'!$C$2:$C$824-$E41)&lt;120)),SUMPRODUCT(('Picked Students (raw)'!$B$2:$B$824=$C41)*('Picked Students (raw)'!$D$2:$D$824=$D41)*('Picked Students (raw)'!$C$2:$C$824&lt;&gt;"")*(('Picked Students (raw)'!$C$2:$C$824-$E41)&lt;120))))))</f>
        <v/>
      </c>
      <c r="P41" s="5">
        <f>IF($A41="","",IF(O41="-","-",IF($G41=0,0,O41/$G41)))</f>
        <v/>
      </c>
      <c r="Q41" s="3">
        <f>IF($A41="","",IF($E41="","",IF(TODAY()&lt;$E41+150,"-",IF($D41="",SUMPRODUCT(('Picked Students (raw)'!$B$2:$B$824=$C41)*('Picked Students (raw)'!$C$2:$C$824&lt;&gt;"")*(('Picked Students (raw)'!$C$2:$C$824-$E41)&lt;150)),SUMPRODUCT(('Picked Students (raw)'!$B$2:$B$824=$C41)*('Picked Students (raw)'!$D$2:$D$824=$D41)*('Picked Students (raw)'!$C$2:$C$824&lt;&gt;"")*(('Picked Students (raw)'!$C$2:$C$824-$E41)&lt;150))))))</f>
        <v/>
      </c>
      <c r="R41" s="5">
        <f>IF($A41="","",IF(Q41="-","-",IF($G41=0,0,Q41/$G41)))</f>
        <v/>
      </c>
      <c r="S41" s="3">
        <f>IF($A41="","",IF($E41="","",IF(TODAY()&lt;$E41+180,"-",IF($D41="",SUMPRODUCT(('Picked Students (raw)'!$B$2:$B$824=$C41)*('Picked Students (raw)'!$C$2:$C$824&lt;&gt;"")*(('Picked Students (raw)'!$C$2:$C$824-$E41)&lt;180)),SUMPRODUCT(('Picked Students (raw)'!$B$2:$B$824=$C41)*('Picked Students (raw)'!$D$2:$D$824=$D41)*('Picked Students (raw)'!$C$2:$C$824&lt;&gt;"")*(('Picked Students (raw)'!$C$2:$C$824-$E41)&lt;180))))))</f>
        <v/>
      </c>
      <c r="T41" s="5">
        <f>IF($A41="","",IF(S41="-","-",IF($G41=0,0,S41/$G41)))</f>
        <v/>
      </c>
      <c r="U41" s="3">
        <f>IF($A41="","",IF($E41="","",IF(TODAY()&lt;$E41+210,"-",IF($D41="",SUMPRODUCT(('Picked Students (raw)'!$B$2:$B$824=$C41)*('Picked Students (raw)'!$C$2:$C$824&lt;&gt;"")*(('Picked Students (raw)'!$C$2:$C$824-$E41)&lt;210)),SUMPRODUCT(('Picked Students (raw)'!$B$2:$B$824=$C41)*('Picked Students (raw)'!$D$2:$D$824=$D41)*('Picked Students (raw)'!$C$2:$C$824&lt;&gt;"")*(('Picked Students (raw)'!$C$2:$C$824-$E41)&lt;210))))))</f>
        <v/>
      </c>
      <c r="V41" s="5">
        <f>IF($A41="","",IF(U41="-","-",IF($G41=0,0,U41/$G41)))</f>
        <v/>
      </c>
      <c r="W41" s="3">
        <f>IF($A41="","",IF($E41="","",IF(TODAY()&lt;$E41+240,"-",IF($D41="",SUMPRODUCT(('Picked Students (raw)'!$B$2:$B$824=$C41)*('Picked Students (raw)'!$C$2:$C$824&lt;&gt;"")*(('Picked Students (raw)'!$C$2:$C$824-$E41)&lt;240)),SUMPRODUCT(('Picked Students (raw)'!$B$2:$B$824=$C41)*('Picked Students (raw)'!$D$2:$D$824=$D41)*('Picked Students (raw)'!$C$2:$C$824&lt;&gt;"")*(('Picked Students (raw)'!$C$2:$C$824-$E41)&lt;240))))))</f>
        <v/>
      </c>
      <c r="X41" s="5">
        <f>IF($A41="","",IF(W41="-","-",IF($G41=0,0,W41/$G41)))</f>
        <v/>
      </c>
      <c r="Y41" s="3">
        <f>IF($A41="","",IF($E41="","",IF(TODAY()&lt;$E41+270,"-",IF($D41="",SUMPRODUCT(('Picked Students (raw)'!$B$2:$B$824=$C41)*('Picked Students (raw)'!$C$2:$C$824&lt;&gt;"")*(('Picked Students (raw)'!$C$2:$C$824-$E41)&lt;270)),SUMPRODUCT(('Picked Students (raw)'!$B$2:$B$824=$C41)*('Picked Students (raw)'!$D$2:$D$824=$D41)*('Picked Students (raw)'!$C$2:$C$824&lt;&gt;"")*(('Picked Students (raw)'!$C$2:$C$824-$E41)&lt;270))))))</f>
        <v/>
      </c>
      <c r="Z41" s="5">
        <f>IF($A41="","",IF(Y41="-","-",IF($G41=0,0,Y41/$G41)))</f>
        <v/>
      </c>
      <c r="AA41" s="3">
        <f>IF($A41="","",IF($E41="","",IF(TODAY()&lt;$E41+300,"-",IF($D41="",SUMPRODUCT(('Picked Students (raw)'!$B$2:$B$824=$C41)*('Picked Students (raw)'!$C$2:$C$824&lt;&gt;"")*(('Picked Students (raw)'!$C$2:$C$824-$E41)&lt;300)),SUMPRODUCT(('Picked Students (raw)'!$B$2:$B$824=$C41)*('Picked Students (raw)'!$D$2:$D$824=$D41)*('Picked Students (raw)'!$C$2:$C$824&lt;&gt;"")*(('Picked Students (raw)'!$C$2:$C$824-$E41)&lt;300))))))</f>
        <v/>
      </c>
      <c r="AB41" s="5">
        <f>IF($A41="","",IF(AA41="-","-",IF($G41=0,0,AA41/$G41)))</f>
        <v/>
      </c>
      <c r="AC41" s="3">
        <f>IF($A41="","",IF($E41="","",IF(TODAY()&lt;$E41+330,"-",IF($D41="",SUMPRODUCT(('Picked Students (raw)'!$B$2:$B$824=$C41)*('Picked Students (raw)'!$C$2:$C$824&lt;&gt;"")*(('Picked Students (raw)'!$C$2:$C$824-$E41)&lt;330)),SUMPRODUCT(('Picked Students (raw)'!$B$2:$B$824=$C41)*('Picked Students (raw)'!$D$2:$D$824=$D41)*('Picked Students (raw)'!$C$2:$C$824&lt;&gt;"")*(('Picked Students (raw)'!$C$2:$C$824-$E41)&lt;330))))))</f>
        <v/>
      </c>
      <c r="AD41" s="5">
        <f>IF($A41="","",IF(AC41="-","-",IF($G41=0,0,AC41/$G41)))</f>
        <v/>
      </c>
      <c r="AE41" s="3">
        <f>IF($A41="","",IF($E41="","",IF(TODAY()&lt;$E41+360,"-",IF($D41="",SUMPRODUCT(('Picked Students (raw)'!$B$2:$B$824=$C41)*('Picked Students (raw)'!$C$2:$C$824&lt;&gt;"")*(('Picked Students (raw)'!$C$2:$C$824-$E41)&lt;360)),SUMPRODUCT(('Picked Students (raw)'!$B$2:$B$824=$C41)*('Picked Students (raw)'!$D$2:$D$824=$D41)*('Picked Students (raw)'!$C$2:$C$824&lt;&gt;"")*(('Picked Students (raw)'!$C$2:$C$824-$E41)&lt;360))))))</f>
        <v/>
      </c>
      <c r="AF41" s="5">
        <f>IF($A41="","",IF(AE41="-","-",IF($G41=0,0,AE41/$G41)))</f>
        <v/>
      </c>
      <c r="AG41" s="3">
        <f>IF($A41="","",IF($E41="","",IF(TODAY()&lt;$E41+390,"-",IF($D41="",SUMPRODUCT(('Picked Students (raw)'!$B$2:$B$824=$C41)*('Picked Students (raw)'!$C$2:$C$824&lt;&gt;"")*(('Picked Students (raw)'!$C$2:$C$824-$E41)&lt;390)),SUMPRODUCT(('Picked Students (raw)'!$B$2:$B$824=$C41)*('Picked Students (raw)'!$D$2:$D$824=$D41)*('Picked Students (raw)'!$C$2:$C$824&lt;&gt;"")*(('Picked Students (raw)'!$C$2:$C$824-$E41)&lt;390))))))</f>
        <v/>
      </c>
      <c r="AH41" s="5">
        <f>IF($A41="","",IF(AG41="-","-",IF($G41=0,0,AG41/$G41)))</f>
        <v/>
      </c>
      <c r="AI41" s="3">
        <f>IF($A41="","",IF($E41="","",IF(TODAY()&lt;$E41+420,"-",IF($D41="",SUMPRODUCT(('Picked Students (raw)'!$B$2:$B$824=$C41)*('Picked Students (raw)'!$C$2:$C$824&lt;&gt;"")*(('Picked Students (raw)'!$C$2:$C$824-$E41)&lt;420)),SUMPRODUCT(('Picked Students (raw)'!$B$2:$B$824=$C41)*('Picked Students (raw)'!$D$2:$D$824=$D41)*('Picked Students (raw)'!$C$2:$C$824&lt;&gt;"")*(('Picked Students (raw)'!$C$2:$C$824-$E41)&lt;420))))))</f>
        <v/>
      </c>
      <c r="AJ41" s="5">
        <f>IF($A41="","",IF(AI41="-","-",IF($G41=0,0,AI41/$G41)))</f>
        <v/>
      </c>
      <c r="AK41" s="3">
        <f>IF($A41="","",IF($E41="","",IF(TODAY()&lt;$E41+450,"-",IF($D41="",SUMPRODUCT(('Picked Students (raw)'!$B$2:$B$824=$C41)*('Picked Students (raw)'!$C$2:$C$824&lt;&gt;"")*(('Picked Students (raw)'!$C$2:$C$824-$E41)&lt;450)),SUMPRODUCT(('Picked Students (raw)'!$B$2:$B$824=$C41)*('Picked Students (raw)'!$D$2:$D$824=$D41)*('Picked Students (raw)'!$C$2:$C$824&lt;&gt;"")*(('Picked Students (raw)'!$C$2:$C$824-$E41)&lt;450))))))</f>
        <v/>
      </c>
      <c r="AL41" s="5">
        <f>IF($A41="","",IF(AK41="-","-",IF($G41=0,0,AK41/$G41)))</f>
        <v/>
      </c>
      <c r="AM41" s="3">
        <f>IF($A41="","",IF($E41="","",IF(TODAY()&lt;$E41+480,"-",IF($D41="",SUMPRODUCT(('Picked Students (raw)'!$B$2:$B$824=$C41)*('Picked Students (raw)'!$C$2:$C$824&lt;&gt;"")*(('Picked Students (raw)'!$C$2:$C$824-$E41)&lt;480)),SUMPRODUCT(('Picked Students (raw)'!$B$2:$B$824=$C41)*('Picked Students (raw)'!$D$2:$D$824=$D41)*('Picked Students (raw)'!$C$2:$C$824&lt;&gt;"")*(('Picked Students (raw)'!$C$2:$C$824-$E41)&lt;480))))))</f>
        <v/>
      </c>
      <c r="AN41" s="5">
        <f>IF($A41="","",IF(AM41="-","-",IF($G41=0,0,AM41/$G41)))</f>
        <v/>
      </c>
      <c r="AO41" s="3">
        <f>IF($A41="","",IF($E41="","",IF(TODAY()&lt;$E41+510,"-",IF($D41="",SUMPRODUCT(('Picked Students (raw)'!$B$2:$B$824=$C41)*('Picked Students (raw)'!$C$2:$C$824&lt;&gt;"")*(('Picked Students (raw)'!$C$2:$C$824-$E41)&lt;510)),SUMPRODUCT(('Picked Students (raw)'!$B$2:$B$824=$C41)*('Picked Students (raw)'!$D$2:$D$824=$D41)*('Picked Students (raw)'!$C$2:$C$824&lt;&gt;"")*(('Picked Students (raw)'!$C$2:$C$824-$E41)&lt;510))))))</f>
        <v/>
      </c>
      <c r="AP41" s="5">
        <f>IF($A41="","",IF(AO41="-","-",IF($G41=0,0,AO41/$G41)))</f>
        <v/>
      </c>
      <c r="AQ41" s="3">
        <f>IF($A41="","",IF($E41="","",IF(TODAY()&lt;$E41+540,"-",IF($D41="",SUMPRODUCT(('Picked Students (raw)'!$B$2:$B$824=$C41)*('Picked Students (raw)'!$C$2:$C$824&lt;&gt;"")*(('Picked Students (raw)'!$C$2:$C$824-$E41)&lt;540)),SUMPRODUCT(('Picked Students (raw)'!$B$2:$B$824=$C41)*('Picked Students (raw)'!$D$2:$D$824=$D41)*('Picked Students (raw)'!$C$2:$C$824&lt;&gt;"")*(('Picked Students (raw)'!$C$2:$C$824-$E41)&lt;540))))))</f>
        <v/>
      </c>
      <c r="AR41" s="5">
        <f>IF($A41="","",IF(AQ41="-","-",IF($G41=0,0,AQ41/$G41)))</f>
        <v/>
      </c>
      <c r="AS41" s="3">
        <f>IF($A41="","",IF(AQ41="-","-",$H41-AQ41))</f>
        <v/>
      </c>
    </row>
    <row r="42">
      <c r="A42" s="3" t="inlineStr">
        <is>
          <t>Professional Certificate Course In Data Science May 2026</t>
        </is>
      </c>
      <c r="B42" s="3">
        <f>IF($A42="","",IFERROR(IF(INDEX('Batch Enrollment (Metabase)'!$C$2:$C$47,MATCH($A42,'Batch Enrollment (Metabase)'!$A$2:$A$47,0))="GEM","A",IF(INDEX('Batch Enrollment (Metabase)'!$C$2:$C$47,MATCH($A42,'Batch Enrollment (Metabase)'!$A$2:$A$47,0))="Non-GEM","B","")),""))</f>
        <v/>
      </c>
      <c r="C42" s="3">
        <f>IF($A42="","",IFERROR(INDEX('Batch Enrollment (Metabase)'!$B$2:$B$47,MATCH($A42,'Batch Enrollment (Metabase)'!$A$2:$A$47,0)),""))</f>
        <v/>
      </c>
      <c r="D42" s="3">
        <f>IF($A42="","",IFERROR(INDEX('Batch Enrollment (Metabase)'!$C$2:$C$47,MATCH($A42,'Batch Enrollment (Metabase)'!$A$2:$A$47,0)),""))</f>
        <v/>
      </c>
      <c r="E42" s="4">
        <f>IF($A42="","",IFERROR(INDEX('Batch Enrollment (Metabase)'!$D$2:$D$47,MATCH($A42,'Batch Enrollment (Metabase)'!$A$2:$A$47,0)),""))</f>
        <v/>
      </c>
      <c r="F42" s="3">
        <f>IF($A42="","",IFERROR(INDEX('Batch Enrollment (Metabase)'!$E$2:$E$47,MATCH($A42,'Batch Enrollment (Metabase)'!$A$2:$A$47,0)),""))</f>
        <v/>
      </c>
      <c r="G42" s="3">
        <f>IF($A42="","",IFERROR(INDEX('Batch Enrollment (Metabase)'!$F$2:$F$47,MATCH($A42,'Batch Enrollment (Metabase)'!$A$2:$A$47,0)),""))</f>
        <v/>
      </c>
      <c r="H42" s="3">
        <f>IF($A42="","",IF($D42="",COUNTIF('Picked Students (raw)'!$B$2:$B$824,$C42),COUNTIFS('Picked Students (raw)'!$B$2:$B$824,$C42,'Picked Students (raw)'!$D$2:$D$824,$D42)))</f>
        <v/>
      </c>
      <c r="I42" s="3">
        <f>IF($A42="","",IF($E42="","",IF(TODAY()&lt;$E42+30,"-",IF($D42="",SUMPRODUCT(('Picked Students (raw)'!$B$2:$B$824=$C42)*('Picked Students (raw)'!$C$2:$C$824&lt;&gt;"")*(('Picked Students (raw)'!$C$2:$C$824-$E42)&lt;30)),SUMPRODUCT(('Picked Students (raw)'!$B$2:$B$824=$C42)*('Picked Students (raw)'!$D$2:$D$824=$D42)*('Picked Students (raw)'!$C$2:$C$824&lt;&gt;"")*(('Picked Students (raw)'!$C$2:$C$824-$E42)&lt;30))))))</f>
        <v/>
      </c>
      <c r="J42" s="5">
        <f>IF($A42="","",IF(I42="-","-",IF($G42=0,0,I42/$G42)))</f>
        <v/>
      </c>
      <c r="K42" s="3">
        <f>IF($A42="","",IF($E42="","",IF(TODAY()&lt;$E42+60,"-",IF($D42="",SUMPRODUCT(('Picked Students (raw)'!$B$2:$B$824=$C42)*('Picked Students (raw)'!$C$2:$C$824&lt;&gt;"")*(('Picked Students (raw)'!$C$2:$C$824-$E42)&lt;60)),SUMPRODUCT(('Picked Students (raw)'!$B$2:$B$824=$C42)*('Picked Students (raw)'!$D$2:$D$824=$D42)*('Picked Students (raw)'!$C$2:$C$824&lt;&gt;"")*(('Picked Students (raw)'!$C$2:$C$824-$E42)&lt;60))))))</f>
        <v/>
      </c>
      <c r="L42" s="5">
        <f>IF($A42="","",IF(K42="-","-",IF($G42=0,0,K42/$G42)))</f>
        <v/>
      </c>
      <c r="M42" s="3">
        <f>IF($A42="","",IF($E42="","",IF(TODAY()&lt;$E42+90,"-",IF($D42="",SUMPRODUCT(('Picked Students (raw)'!$B$2:$B$824=$C42)*('Picked Students (raw)'!$C$2:$C$824&lt;&gt;"")*(('Picked Students (raw)'!$C$2:$C$824-$E42)&lt;90)),SUMPRODUCT(('Picked Students (raw)'!$B$2:$B$824=$C42)*('Picked Students (raw)'!$D$2:$D$824=$D42)*('Picked Students (raw)'!$C$2:$C$824&lt;&gt;"")*(('Picked Students (raw)'!$C$2:$C$824-$E42)&lt;90))))))</f>
        <v/>
      </c>
      <c r="N42" s="5">
        <f>IF($A42="","",IF(M42="-","-",IF($G42=0,0,M42/$G42)))</f>
        <v/>
      </c>
      <c r="O42" s="3">
        <f>IF($A42="","",IF($E42="","",IF(TODAY()&lt;$E42+120,"-",IF($D42="",SUMPRODUCT(('Picked Students (raw)'!$B$2:$B$824=$C42)*('Picked Students (raw)'!$C$2:$C$824&lt;&gt;"")*(('Picked Students (raw)'!$C$2:$C$824-$E42)&lt;120)),SUMPRODUCT(('Picked Students (raw)'!$B$2:$B$824=$C42)*('Picked Students (raw)'!$D$2:$D$824=$D42)*('Picked Students (raw)'!$C$2:$C$824&lt;&gt;"")*(('Picked Students (raw)'!$C$2:$C$824-$E42)&lt;120))))))</f>
        <v/>
      </c>
      <c r="P42" s="5">
        <f>IF($A42="","",IF(O42="-","-",IF($G42=0,0,O42/$G42)))</f>
        <v/>
      </c>
      <c r="Q42" s="3">
        <f>IF($A42="","",IF($E42="","",IF(TODAY()&lt;$E42+150,"-",IF($D42="",SUMPRODUCT(('Picked Students (raw)'!$B$2:$B$824=$C42)*('Picked Students (raw)'!$C$2:$C$824&lt;&gt;"")*(('Picked Students (raw)'!$C$2:$C$824-$E42)&lt;150)),SUMPRODUCT(('Picked Students (raw)'!$B$2:$B$824=$C42)*('Picked Students (raw)'!$D$2:$D$824=$D42)*('Picked Students (raw)'!$C$2:$C$824&lt;&gt;"")*(('Picked Students (raw)'!$C$2:$C$824-$E42)&lt;150))))))</f>
        <v/>
      </c>
      <c r="R42" s="5">
        <f>IF($A42="","",IF(Q42="-","-",IF($G42=0,0,Q42/$G42)))</f>
        <v/>
      </c>
      <c r="S42" s="3">
        <f>IF($A42="","",IF($E42="","",IF(TODAY()&lt;$E42+180,"-",IF($D42="",SUMPRODUCT(('Picked Students (raw)'!$B$2:$B$824=$C42)*('Picked Students (raw)'!$C$2:$C$824&lt;&gt;"")*(('Picked Students (raw)'!$C$2:$C$824-$E42)&lt;180)),SUMPRODUCT(('Picked Students (raw)'!$B$2:$B$824=$C42)*('Picked Students (raw)'!$D$2:$D$824=$D42)*('Picked Students (raw)'!$C$2:$C$824&lt;&gt;"")*(('Picked Students (raw)'!$C$2:$C$824-$E42)&lt;180))))))</f>
        <v/>
      </c>
      <c r="T42" s="5">
        <f>IF($A42="","",IF(S42="-","-",IF($G42=0,0,S42/$G42)))</f>
        <v/>
      </c>
      <c r="U42" s="3">
        <f>IF($A42="","",IF($E42="","",IF(TODAY()&lt;$E42+210,"-",IF($D42="",SUMPRODUCT(('Picked Students (raw)'!$B$2:$B$824=$C42)*('Picked Students (raw)'!$C$2:$C$824&lt;&gt;"")*(('Picked Students (raw)'!$C$2:$C$824-$E42)&lt;210)),SUMPRODUCT(('Picked Students (raw)'!$B$2:$B$824=$C42)*('Picked Students (raw)'!$D$2:$D$824=$D42)*('Picked Students (raw)'!$C$2:$C$824&lt;&gt;"")*(('Picked Students (raw)'!$C$2:$C$824-$E42)&lt;210))))))</f>
        <v/>
      </c>
      <c r="V42" s="5">
        <f>IF($A42="","",IF(U42="-","-",IF($G42=0,0,U42/$G42)))</f>
        <v/>
      </c>
      <c r="W42" s="3">
        <f>IF($A42="","",IF($E42="","",IF(TODAY()&lt;$E42+240,"-",IF($D42="",SUMPRODUCT(('Picked Students (raw)'!$B$2:$B$824=$C42)*('Picked Students (raw)'!$C$2:$C$824&lt;&gt;"")*(('Picked Students (raw)'!$C$2:$C$824-$E42)&lt;240)),SUMPRODUCT(('Picked Students (raw)'!$B$2:$B$824=$C42)*('Picked Students (raw)'!$D$2:$D$824=$D42)*('Picked Students (raw)'!$C$2:$C$824&lt;&gt;"")*(('Picked Students (raw)'!$C$2:$C$824-$E42)&lt;240))))))</f>
        <v/>
      </c>
      <c r="X42" s="5">
        <f>IF($A42="","",IF(W42="-","-",IF($G42=0,0,W42/$G42)))</f>
        <v/>
      </c>
      <c r="Y42" s="3">
        <f>IF($A42="","",IF($E42="","",IF(TODAY()&lt;$E42+270,"-",IF($D42="",SUMPRODUCT(('Picked Students (raw)'!$B$2:$B$824=$C42)*('Picked Students (raw)'!$C$2:$C$824&lt;&gt;"")*(('Picked Students (raw)'!$C$2:$C$824-$E42)&lt;270)),SUMPRODUCT(('Picked Students (raw)'!$B$2:$B$824=$C42)*('Picked Students (raw)'!$D$2:$D$824=$D42)*('Picked Students (raw)'!$C$2:$C$824&lt;&gt;"")*(('Picked Students (raw)'!$C$2:$C$824-$E42)&lt;270))))))</f>
        <v/>
      </c>
      <c r="Z42" s="5">
        <f>IF($A42="","",IF(Y42="-","-",IF($G42=0,0,Y42/$G42)))</f>
        <v/>
      </c>
      <c r="AA42" s="3">
        <f>IF($A42="","",IF($E42="","",IF(TODAY()&lt;$E42+300,"-",IF($D42="",SUMPRODUCT(('Picked Students (raw)'!$B$2:$B$824=$C42)*('Picked Students (raw)'!$C$2:$C$824&lt;&gt;"")*(('Picked Students (raw)'!$C$2:$C$824-$E42)&lt;300)),SUMPRODUCT(('Picked Students (raw)'!$B$2:$B$824=$C42)*('Picked Students (raw)'!$D$2:$D$824=$D42)*('Picked Students (raw)'!$C$2:$C$824&lt;&gt;"")*(('Picked Students (raw)'!$C$2:$C$824-$E42)&lt;300))))))</f>
        <v/>
      </c>
      <c r="AB42" s="5">
        <f>IF($A42="","",IF(AA42="-","-",IF($G42=0,0,AA42/$G42)))</f>
        <v/>
      </c>
      <c r="AC42" s="3">
        <f>IF($A42="","",IF($E42="","",IF(TODAY()&lt;$E42+330,"-",IF($D42="",SUMPRODUCT(('Picked Students (raw)'!$B$2:$B$824=$C42)*('Picked Students (raw)'!$C$2:$C$824&lt;&gt;"")*(('Picked Students (raw)'!$C$2:$C$824-$E42)&lt;330)),SUMPRODUCT(('Picked Students (raw)'!$B$2:$B$824=$C42)*('Picked Students (raw)'!$D$2:$D$824=$D42)*('Picked Students (raw)'!$C$2:$C$824&lt;&gt;"")*(('Picked Students (raw)'!$C$2:$C$824-$E42)&lt;330))))))</f>
        <v/>
      </c>
      <c r="AD42" s="5">
        <f>IF($A42="","",IF(AC42="-","-",IF($G42=0,0,AC42/$G42)))</f>
        <v/>
      </c>
      <c r="AE42" s="3">
        <f>IF($A42="","",IF($E42="","",IF(TODAY()&lt;$E42+360,"-",IF($D42="",SUMPRODUCT(('Picked Students (raw)'!$B$2:$B$824=$C42)*('Picked Students (raw)'!$C$2:$C$824&lt;&gt;"")*(('Picked Students (raw)'!$C$2:$C$824-$E42)&lt;360)),SUMPRODUCT(('Picked Students (raw)'!$B$2:$B$824=$C42)*('Picked Students (raw)'!$D$2:$D$824=$D42)*('Picked Students (raw)'!$C$2:$C$824&lt;&gt;"")*(('Picked Students (raw)'!$C$2:$C$824-$E42)&lt;360))))))</f>
        <v/>
      </c>
      <c r="AF42" s="5">
        <f>IF($A42="","",IF(AE42="-","-",IF($G42=0,0,AE42/$G42)))</f>
        <v/>
      </c>
      <c r="AG42" s="3">
        <f>IF($A42="","",IF($E42="","",IF(TODAY()&lt;$E42+390,"-",IF($D42="",SUMPRODUCT(('Picked Students (raw)'!$B$2:$B$824=$C42)*('Picked Students (raw)'!$C$2:$C$824&lt;&gt;"")*(('Picked Students (raw)'!$C$2:$C$824-$E42)&lt;390)),SUMPRODUCT(('Picked Students (raw)'!$B$2:$B$824=$C42)*('Picked Students (raw)'!$D$2:$D$824=$D42)*('Picked Students (raw)'!$C$2:$C$824&lt;&gt;"")*(('Picked Students (raw)'!$C$2:$C$824-$E42)&lt;390))))))</f>
        <v/>
      </c>
      <c r="AH42" s="5">
        <f>IF($A42="","",IF(AG42="-","-",IF($G42=0,0,AG42/$G42)))</f>
        <v/>
      </c>
      <c r="AI42" s="3">
        <f>IF($A42="","",IF($E42="","",IF(TODAY()&lt;$E42+420,"-",IF($D42="",SUMPRODUCT(('Picked Students (raw)'!$B$2:$B$824=$C42)*('Picked Students (raw)'!$C$2:$C$824&lt;&gt;"")*(('Picked Students (raw)'!$C$2:$C$824-$E42)&lt;420)),SUMPRODUCT(('Picked Students (raw)'!$B$2:$B$824=$C42)*('Picked Students (raw)'!$D$2:$D$824=$D42)*('Picked Students (raw)'!$C$2:$C$824&lt;&gt;"")*(('Picked Students (raw)'!$C$2:$C$824-$E42)&lt;420))))))</f>
        <v/>
      </c>
      <c r="AJ42" s="5">
        <f>IF($A42="","",IF(AI42="-","-",IF($G42=0,0,AI42/$G42)))</f>
        <v/>
      </c>
      <c r="AK42" s="3">
        <f>IF($A42="","",IF($E42="","",IF(TODAY()&lt;$E42+450,"-",IF($D42="",SUMPRODUCT(('Picked Students (raw)'!$B$2:$B$824=$C42)*('Picked Students (raw)'!$C$2:$C$824&lt;&gt;"")*(('Picked Students (raw)'!$C$2:$C$824-$E42)&lt;450)),SUMPRODUCT(('Picked Students (raw)'!$B$2:$B$824=$C42)*('Picked Students (raw)'!$D$2:$D$824=$D42)*('Picked Students (raw)'!$C$2:$C$824&lt;&gt;"")*(('Picked Students (raw)'!$C$2:$C$824-$E42)&lt;450))))))</f>
        <v/>
      </c>
      <c r="AL42" s="5">
        <f>IF($A42="","",IF(AK42="-","-",IF($G42=0,0,AK42/$G42)))</f>
        <v/>
      </c>
      <c r="AM42" s="3">
        <f>IF($A42="","",IF($E42="","",IF(TODAY()&lt;$E42+480,"-",IF($D42="",SUMPRODUCT(('Picked Students (raw)'!$B$2:$B$824=$C42)*('Picked Students (raw)'!$C$2:$C$824&lt;&gt;"")*(('Picked Students (raw)'!$C$2:$C$824-$E42)&lt;480)),SUMPRODUCT(('Picked Students (raw)'!$B$2:$B$824=$C42)*('Picked Students (raw)'!$D$2:$D$824=$D42)*('Picked Students (raw)'!$C$2:$C$824&lt;&gt;"")*(('Picked Students (raw)'!$C$2:$C$824-$E42)&lt;480))))))</f>
        <v/>
      </c>
      <c r="AN42" s="5">
        <f>IF($A42="","",IF(AM42="-","-",IF($G42=0,0,AM42/$G42)))</f>
        <v/>
      </c>
      <c r="AO42" s="3">
        <f>IF($A42="","",IF($E42="","",IF(TODAY()&lt;$E42+510,"-",IF($D42="",SUMPRODUCT(('Picked Students (raw)'!$B$2:$B$824=$C42)*('Picked Students (raw)'!$C$2:$C$824&lt;&gt;"")*(('Picked Students (raw)'!$C$2:$C$824-$E42)&lt;510)),SUMPRODUCT(('Picked Students (raw)'!$B$2:$B$824=$C42)*('Picked Students (raw)'!$D$2:$D$824=$D42)*('Picked Students (raw)'!$C$2:$C$824&lt;&gt;"")*(('Picked Students (raw)'!$C$2:$C$824-$E42)&lt;510))))))</f>
        <v/>
      </c>
      <c r="AP42" s="5">
        <f>IF($A42="","",IF(AO42="-","-",IF($G42=0,0,AO42/$G42)))</f>
        <v/>
      </c>
      <c r="AQ42" s="3">
        <f>IF($A42="","",IF($E42="","",IF(TODAY()&lt;$E42+540,"-",IF($D42="",SUMPRODUCT(('Picked Students (raw)'!$B$2:$B$824=$C42)*('Picked Students (raw)'!$C$2:$C$824&lt;&gt;"")*(('Picked Students (raw)'!$C$2:$C$824-$E42)&lt;540)),SUMPRODUCT(('Picked Students (raw)'!$B$2:$B$824=$C42)*('Picked Students (raw)'!$D$2:$D$824=$D42)*('Picked Students (raw)'!$C$2:$C$824&lt;&gt;"")*(('Picked Students (raw)'!$C$2:$C$824-$E42)&lt;540))))))</f>
        <v/>
      </c>
      <c r="AR42" s="5">
        <f>IF($A42="","",IF(AQ42="-","-",IF($G42=0,0,AQ42/$G42)))</f>
        <v/>
      </c>
      <c r="AS42" s="3">
        <f>IF($A42="","",IF(AQ42="-","-",$H42-AQ42))</f>
        <v/>
      </c>
    </row>
    <row r="43">
      <c r="A43" s="3" t="inlineStr">
        <is>
          <t>Professional Certificate Course In Data Science June 2026</t>
        </is>
      </c>
      <c r="B43" s="3">
        <f>IF($A43="","",IFERROR(IF(INDEX('Batch Enrollment (Metabase)'!$C$2:$C$47,MATCH($A43,'Batch Enrollment (Metabase)'!$A$2:$A$47,0))="GEM","A",IF(INDEX('Batch Enrollment (Metabase)'!$C$2:$C$47,MATCH($A43,'Batch Enrollment (Metabase)'!$A$2:$A$47,0))="Non-GEM","B","")),""))</f>
        <v/>
      </c>
      <c r="C43" s="3">
        <f>IF($A43="","",IFERROR(INDEX('Batch Enrollment (Metabase)'!$B$2:$B$47,MATCH($A43,'Batch Enrollment (Metabase)'!$A$2:$A$47,0)),""))</f>
        <v/>
      </c>
      <c r="D43" s="3">
        <f>IF($A43="","",IFERROR(INDEX('Batch Enrollment (Metabase)'!$C$2:$C$47,MATCH($A43,'Batch Enrollment (Metabase)'!$A$2:$A$47,0)),""))</f>
        <v/>
      </c>
      <c r="E43" s="4">
        <f>IF($A43="","",IFERROR(INDEX('Batch Enrollment (Metabase)'!$D$2:$D$47,MATCH($A43,'Batch Enrollment (Metabase)'!$A$2:$A$47,0)),""))</f>
        <v/>
      </c>
      <c r="F43" s="3">
        <f>IF($A43="","",IFERROR(INDEX('Batch Enrollment (Metabase)'!$E$2:$E$47,MATCH($A43,'Batch Enrollment (Metabase)'!$A$2:$A$47,0)),""))</f>
        <v/>
      </c>
      <c r="G43" s="3">
        <f>IF($A43="","",IFERROR(INDEX('Batch Enrollment (Metabase)'!$F$2:$F$47,MATCH($A43,'Batch Enrollment (Metabase)'!$A$2:$A$47,0)),""))</f>
        <v/>
      </c>
      <c r="H43" s="3">
        <f>IF($A43="","",IF($D43="",COUNTIF('Picked Students (raw)'!$B$2:$B$824,$C43),COUNTIFS('Picked Students (raw)'!$B$2:$B$824,$C43,'Picked Students (raw)'!$D$2:$D$824,$D43)))</f>
        <v/>
      </c>
      <c r="I43" s="3">
        <f>IF($A43="","",IF($E43="","",IF(TODAY()&lt;$E43+30,"-",IF($D43="",SUMPRODUCT(('Picked Students (raw)'!$B$2:$B$824=$C43)*('Picked Students (raw)'!$C$2:$C$824&lt;&gt;"")*(('Picked Students (raw)'!$C$2:$C$824-$E43)&lt;30)),SUMPRODUCT(('Picked Students (raw)'!$B$2:$B$824=$C43)*('Picked Students (raw)'!$D$2:$D$824=$D43)*('Picked Students (raw)'!$C$2:$C$824&lt;&gt;"")*(('Picked Students (raw)'!$C$2:$C$824-$E43)&lt;30))))))</f>
        <v/>
      </c>
      <c r="J43" s="5">
        <f>IF($A43="","",IF(I43="-","-",IF($G43=0,0,I43/$G43)))</f>
        <v/>
      </c>
      <c r="K43" s="3">
        <f>IF($A43="","",IF($E43="","",IF(TODAY()&lt;$E43+60,"-",IF($D43="",SUMPRODUCT(('Picked Students (raw)'!$B$2:$B$824=$C43)*('Picked Students (raw)'!$C$2:$C$824&lt;&gt;"")*(('Picked Students (raw)'!$C$2:$C$824-$E43)&lt;60)),SUMPRODUCT(('Picked Students (raw)'!$B$2:$B$824=$C43)*('Picked Students (raw)'!$D$2:$D$824=$D43)*('Picked Students (raw)'!$C$2:$C$824&lt;&gt;"")*(('Picked Students (raw)'!$C$2:$C$824-$E43)&lt;60))))))</f>
        <v/>
      </c>
      <c r="L43" s="5">
        <f>IF($A43="","",IF(K43="-","-",IF($G43=0,0,K43/$G43)))</f>
        <v/>
      </c>
      <c r="M43" s="3">
        <f>IF($A43="","",IF($E43="","",IF(TODAY()&lt;$E43+90,"-",IF($D43="",SUMPRODUCT(('Picked Students (raw)'!$B$2:$B$824=$C43)*('Picked Students (raw)'!$C$2:$C$824&lt;&gt;"")*(('Picked Students (raw)'!$C$2:$C$824-$E43)&lt;90)),SUMPRODUCT(('Picked Students (raw)'!$B$2:$B$824=$C43)*('Picked Students (raw)'!$D$2:$D$824=$D43)*('Picked Students (raw)'!$C$2:$C$824&lt;&gt;"")*(('Picked Students (raw)'!$C$2:$C$824-$E43)&lt;90))))))</f>
        <v/>
      </c>
      <c r="N43" s="5">
        <f>IF($A43="","",IF(M43="-","-",IF($G43=0,0,M43/$G43)))</f>
        <v/>
      </c>
      <c r="O43" s="3">
        <f>IF($A43="","",IF($E43="","",IF(TODAY()&lt;$E43+120,"-",IF($D43="",SUMPRODUCT(('Picked Students (raw)'!$B$2:$B$824=$C43)*('Picked Students (raw)'!$C$2:$C$824&lt;&gt;"")*(('Picked Students (raw)'!$C$2:$C$824-$E43)&lt;120)),SUMPRODUCT(('Picked Students (raw)'!$B$2:$B$824=$C43)*('Picked Students (raw)'!$D$2:$D$824=$D43)*('Picked Students (raw)'!$C$2:$C$824&lt;&gt;"")*(('Picked Students (raw)'!$C$2:$C$824-$E43)&lt;120))))))</f>
        <v/>
      </c>
      <c r="P43" s="5">
        <f>IF($A43="","",IF(O43="-","-",IF($G43=0,0,O43/$G43)))</f>
        <v/>
      </c>
      <c r="Q43" s="3">
        <f>IF($A43="","",IF($E43="","",IF(TODAY()&lt;$E43+150,"-",IF($D43="",SUMPRODUCT(('Picked Students (raw)'!$B$2:$B$824=$C43)*('Picked Students (raw)'!$C$2:$C$824&lt;&gt;"")*(('Picked Students (raw)'!$C$2:$C$824-$E43)&lt;150)),SUMPRODUCT(('Picked Students (raw)'!$B$2:$B$824=$C43)*('Picked Students (raw)'!$D$2:$D$824=$D43)*('Picked Students (raw)'!$C$2:$C$824&lt;&gt;"")*(('Picked Students (raw)'!$C$2:$C$824-$E43)&lt;150))))))</f>
        <v/>
      </c>
      <c r="R43" s="5">
        <f>IF($A43="","",IF(Q43="-","-",IF($G43=0,0,Q43/$G43)))</f>
        <v/>
      </c>
      <c r="S43" s="3">
        <f>IF($A43="","",IF($E43="","",IF(TODAY()&lt;$E43+180,"-",IF($D43="",SUMPRODUCT(('Picked Students (raw)'!$B$2:$B$824=$C43)*('Picked Students (raw)'!$C$2:$C$824&lt;&gt;"")*(('Picked Students (raw)'!$C$2:$C$824-$E43)&lt;180)),SUMPRODUCT(('Picked Students (raw)'!$B$2:$B$824=$C43)*('Picked Students (raw)'!$D$2:$D$824=$D43)*('Picked Students (raw)'!$C$2:$C$824&lt;&gt;"")*(('Picked Students (raw)'!$C$2:$C$824-$E43)&lt;180))))))</f>
        <v/>
      </c>
      <c r="T43" s="5">
        <f>IF($A43="","",IF(S43="-","-",IF($G43=0,0,S43/$G43)))</f>
        <v/>
      </c>
      <c r="U43" s="3">
        <f>IF($A43="","",IF($E43="","",IF(TODAY()&lt;$E43+210,"-",IF($D43="",SUMPRODUCT(('Picked Students (raw)'!$B$2:$B$824=$C43)*('Picked Students (raw)'!$C$2:$C$824&lt;&gt;"")*(('Picked Students (raw)'!$C$2:$C$824-$E43)&lt;210)),SUMPRODUCT(('Picked Students (raw)'!$B$2:$B$824=$C43)*('Picked Students (raw)'!$D$2:$D$824=$D43)*('Picked Students (raw)'!$C$2:$C$824&lt;&gt;"")*(('Picked Students (raw)'!$C$2:$C$824-$E43)&lt;210))))))</f>
        <v/>
      </c>
      <c r="V43" s="5">
        <f>IF($A43="","",IF(U43="-","-",IF($G43=0,0,U43/$G43)))</f>
        <v/>
      </c>
      <c r="W43" s="3">
        <f>IF($A43="","",IF($E43="","",IF(TODAY()&lt;$E43+240,"-",IF($D43="",SUMPRODUCT(('Picked Students (raw)'!$B$2:$B$824=$C43)*('Picked Students (raw)'!$C$2:$C$824&lt;&gt;"")*(('Picked Students (raw)'!$C$2:$C$824-$E43)&lt;240)),SUMPRODUCT(('Picked Students (raw)'!$B$2:$B$824=$C43)*('Picked Students (raw)'!$D$2:$D$824=$D43)*('Picked Students (raw)'!$C$2:$C$824&lt;&gt;"")*(('Picked Students (raw)'!$C$2:$C$824-$E43)&lt;240))))))</f>
        <v/>
      </c>
      <c r="X43" s="5">
        <f>IF($A43="","",IF(W43="-","-",IF($G43=0,0,W43/$G43)))</f>
        <v/>
      </c>
      <c r="Y43" s="3">
        <f>IF($A43="","",IF($E43="","",IF(TODAY()&lt;$E43+270,"-",IF($D43="",SUMPRODUCT(('Picked Students (raw)'!$B$2:$B$824=$C43)*('Picked Students (raw)'!$C$2:$C$824&lt;&gt;"")*(('Picked Students (raw)'!$C$2:$C$824-$E43)&lt;270)),SUMPRODUCT(('Picked Students (raw)'!$B$2:$B$824=$C43)*('Picked Students (raw)'!$D$2:$D$824=$D43)*('Picked Students (raw)'!$C$2:$C$824&lt;&gt;"")*(('Picked Students (raw)'!$C$2:$C$824-$E43)&lt;270))))))</f>
        <v/>
      </c>
      <c r="Z43" s="5">
        <f>IF($A43="","",IF(Y43="-","-",IF($G43=0,0,Y43/$G43)))</f>
        <v/>
      </c>
      <c r="AA43" s="3">
        <f>IF($A43="","",IF($E43="","",IF(TODAY()&lt;$E43+300,"-",IF($D43="",SUMPRODUCT(('Picked Students (raw)'!$B$2:$B$824=$C43)*('Picked Students (raw)'!$C$2:$C$824&lt;&gt;"")*(('Picked Students (raw)'!$C$2:$C$824-$E43)&lt;300)),SUMPRODUCT(('Picked Students (raw)'!$B$2:$B$824=$C43)*('Picked Students (raw)'!$D$2:$D$824=$D43)*('Picked Students (raw)'!$C$2:$C$824&lt;&gt;"")*(('Picked Students (raw)'!$C$2:$C$824-$E43)&lt;300))))))</f>
        <v/>
      </c>
      <c r="AB43" s="5">
        <f>IF($A43="","",IF(AA43="-","-",IF($G43=0,0,AA43/$G43)))</f>
        <v/>
      </c>
      <c r="AC43" s="3">
        <f>IF($A43="","",IF($E43="","",IF(TODAY()&lt;$E43+330,"-",IF($D43="",SUMPRODUCT(('Picked Students (raw)'!$B$2:$B$824=$C43)*('Picked Students (raw)'!$C$2:$C$824&lt;&gt;"")*(('Picked Students (raw)'!$C$2:$C$824-$E43)&lt;330)),SUMPRODUCT(('Picked Students (raw)'!$B$2:$B$824=$C43)*('Picked Students (raw)'!$D$2:$D$824=$D43)*('Picked Students (raw)'!$C$2:$C$824&lt;&gt;"")*(('Picked Students (raw)'!$C$2:$C$824-$E43)&lt;330))))))</f>
        <v/>
      </c>
      <c r="AD43" s="5">
        <f>IF($A43="","",IF(AC43="-","-",IF($G43=0,0,AC43/$G43)))</f>
        <v/>
      </c>
      <c r="AE43" s="3">
        <f>IF($A43="","",IF($E43="","",IF(TODAY()&lt;$E43+360,"-",IF($D43="",SUMPRODUCT(('Picked Students (raw)'!$B$2:$B$824=$C43)*('Picked Students (raw)'!$C$2:$C$824&lt;&gt;"")*(('Picked Students (raw)'!$C$2:$C$824-$E43)&lt;360)),SUMPRODUCT(('Picked Students (raw)'!$B$2:$B$824=$C43)*('Picked Students (raw)'!$D$2:$D$824=$D43)*('Picked Students (raw)'!$C$2:$C$824&lt;&gt;"")*(('Picked Students (raw)'!$C$2:$C$824-$E43)&lt;360))))))</f>
        <v/>
      </c>
      <c r="AF43" s="5">
        <f>IF($A43="","",IF(AE43="-","-",IF($G43=0,0,AE43/$G43)))</f>
        <v/>
      </c>
      <c r="AG43" s="3">
        <f>IF($A43="","",IF($E43="","",IF(TODAY()&lt;$E43+390,"-",IF($D43="",SUMPRODUCT(('Picked Students (raw)'!$B$2:$B$824=$C43)*('Picked Students (raw)'!$C$2:$C$824&lt;&gt;"")*(('Picked Students (raw)'!$C$2:$C$824-$E43)&lt;390)),SUMPRODUCT(('Picked Students (raw)'!$B$2:$B$824=$C43)*('Picked Students (raw)'!$D$2:$D$824=$D43)*('Picked Students (raw)'!$C$2:$C$824&lt;&gt;"")*(('Picked Students (raw)'!$C$2:$C$824-$E43)&lt;390))))))</f>
        <v/>
      </c>
      <c r="AH43" s="5">
        <f>IF($A43="","",IF(AG43="-","-",IF($G43=0,0,AG43/$G43)))</f>
        <v/>
      </c>
      <c r="AI43" s="3">
        <f>IF($A43="","",IF($E43="","",IF(TODAY()&lt;$E43+420,"-",IF($D43="",SUMPRODUCT(('Picked Students (raw)'!$B$2:$B$824=$C43)*('Picked Students (raw)'!$C$2:$C$824&lt;&gt;"")*(('Picked Students (raw)'!$C$2:$C$824-$E43)&lt;420)),SUMPRODUCT(('Picked Students (raw)'!$B$2:$B$824=$C43)*('Picked Students (raw)'!$D$2:$D$824=$D43)*('Picked Students (raw)'!$C$2:$C$824&lt;&gt;"")*(('Picked Students (raw)'!$C$2:$C$824-$E43)&lt;420))))))</f>
        <v/>
      </c>
      <c r="AJ43" s="5">
        <f>IF($A43="","",IF(AI43="-","-",IF($G43=0,0,AI43/$G43)))</f>
        <v/>
      </c>
      <c r="AK43" s="3">
        <f>IF($A43="","",IF($E43="","",IF(TODAY()&lt;$E43+450,"-",IF($D43="",SUMPRODUCT(('Picked Students (raw)'!$B$2:$B$824=$C43)*('Picked Students (raw)'!$C$2:$C$824&lt;&gt;"")*(('Picked Students (raw)'!$C$2:$C$824-$E43)&lt;450)),SUMPRODUCT(('Picked Students (raw)'!$B$2:$B$824=$C43)*('Picked Students (raw)'!$D$2:$D$824=$D43)*('Picked Students (raw)'!$C$2:$C$824&lt;&gt;"")*(('Picked Students (raw)'!$C$2:$C$824-$E43)&lt;450))))))</f>
        <v/>
      </c>
      <c r="AL43" s="5">
        <f>IF($A43="","",IF(AK43="-","-",IF($G43=0,0,AK43/$G43)))</f>
        <v/>
      </c>
      <c r="AM43" s="3">
        <f>IF($A43="","",IF($E43="","",IF(TODAY()&lt;$E43+480,"-",IF($D43="",SUMPRODUCT(('Picked Students (raw)'!$B$2:$B$824=$C43)*('Picked Students (raw)'!$C$2:$C$824&lt;&gt;"")*(('Picked Students (raw)'!$C$2:$C$824-$E43)&lt;480)),SUMPRODUCT(('Picked Students (raw)'!$B$2:$B$824=$C43)*('Picked Students (raw)'!$D$2:$D$824=$D43)*('Picked Students (raw)'!$C$2:$C$824&lt;&gt;"")*(('Picked Students (raw)'!$C$2:$C$824-$E43)&lt;480))))))</f>
        <v/>
      </c>
      <c r="AN43" s="5">
        <f>IF($A43="","",IF(AM43="-","-",IF($G43=0,0,AM43/$G43)))</f>
        <v/>
      </c>
      <c r="AO43" s="3">
        <f>IF($A43="","",IF($E43="","",IF(TODAY()&lt;$E43+510,"-",IF($D43="",SUMPRODUCT(('Picked Students (raw)'!$B$2:$B$824=$C43)*('Picked Students (raw)'!$C$2:$C$824&lt;&gt;"")*(('Picked Students (raw)'!$C$2:$C$824-$E43)&lt;510)),SUMPRODUCT(('Picked Students (raw)'!$B$2:$B$824=$C43)*('Picked Students (raw)'!$D$2:$D$824=$D43)*('Picked Students (raw)'!$C$2:$C$824&lt;&gt;"")*(('Picked Students (raw)'!$C$2:$C$824-$E43)&lt;510))))))</f>
        <v/>
      </c>
      <c r="AP43" s="5">
        <f>IF($A43="","",IF(AO43="-","-",IF($G43=0,0,AO43/$G43)))</f>
        <v/>
      </c>
      <c r="AQ43" s="3">
        <f>IF($A43="","",IF($E43="","",IF(TODAY()&lt;$E43+540,"-",IF($D43="",SUMPRODUCT(('Picked Students (raw)'!$B$2:$B$824=$C43)*('Picked Students (raw)'!$C$2:$C$824&lt;&gt;"")*(('Picked Students (raw)'!$C$2:$C$824-$E43)&lt;540)),SUMPRODUCT(('Picked Students (raw)'!$B$2:$B$824=$C43)*('Picked Students (raw)'!$D$2:$D$824=$D43)*('Picked Students (raw)'!$C$2:$C$824&lt;&gt;"")*(('Picked Students (raw)'!$C$2:$C$824-$E43)&lt;540))))))</f>
        <v/>
      </c>
      <c r="AR43" s="5">
        <f>IF($A43="","",IF(AQ43="-","-",IF($G43=0,0,AQ43/$G43)))</f>
        <v/>
      </c>
      <c r="AS43" s="3">
        <f>IF($A43="","",IF(AQ43="-","-",$H43-AQ43))</f>
        <v/>
      </c>
    </row>
    <row r="44">
      <c r="A44" s="3" t="inlineStr">
        <is>
          <t>Professional Certificate Course In Data Science July 2026</t>
        </is>
      </c>
      <c r="B44" s="3">
        <f>IF($A44="","",IFERROR(IF(INDEX('Batch Enrollment (Metabase)'!$C$2:$C$47,MATCH($A44,'Batch Enrollment (Metabase)'!$A$2:$A$47,0))="GEM","A",IF(INDEX('Batch Enrollment (Metabase)'!$C$2:$C$47,MATCH($A44,'Batch Enrollment (Metabase)'!$A$2:$A$47,0))="Non-GEM","B","")),""))</f>
        <v/>
      </c>
      <c r="C44" s="3">
        <f>IF($A44="","",IFERROR(INDEX('Batch Enrollment (Metabase)'!$B$2:$B$47,MATCH($A44,'Batch Enrollment (Metabase)'!$A$2:$A$47,0)),""))</f>
        <v/>
      </c>
      <c r="D44" s="3">
        <f>IF($A44="","",IFERROR(INDEX('Batch Enrollment (Metabase)'!$C$2:$C$47,MATCH($A44,'Batch Enrollment (Metabase)'!$A$2:$A$47,0)),""))</f>
        <v/>
      </c>
      <c r="E44" s="4">
        <f>IF($A44="","",IFERROR(INDEX('Batch Enrollment (Metabase)'!$D$2:$D$47,MATCH($A44,'Batch Enrollment (Metabase)'!$A$2:$A$47,0)),""))</f>
        <v/>
      </c>
      <c r="F44" s="3">
        <f>IF($A44="","",IFERROR(INDEX('Batch Enrollment (Metabase)'!$E$2:$E$47,MATCH($A44,'Batch Enrollment (Metabase)'!$A$2:$A$47,0)),""))</f>
        <v/>
      </c>
      <c r="G44" s="3">
        <f>IF($A44="","",IFERROR(INDEX('Batch Enrollment (Metabase)'!$F$2:$F$47,MATCH($A44,'Batch Enrollment (Metabase)'!$A$2:$A$47,0)),""))</f>
        <v/>
      </c>
      <c r="H44" s="3">
        <f>IF($A44="","",IF($D44="",COUNTIF('Picked Students (raw)'!$B$2:$B$824,$C44),COUNTIFS('Picked Students (raw)'!$B$2:$B$824,$C44,'Picked Students (raw)'!$D$2:$D$824,$D44)))</f>
        <v/>
      </c>
      <c r="I44" s="3">
        <f>IF($A44="","",IF($E44="","",IF(TODAY()&lt;$E44+30,"-",IF($D44="",SUMPRODUCT(('Picked Students (raw)'!$B$2:$B$824=$C44)*('Picked Students (raw)'!$C$2:$C$824&lt;&gt;"")*(('Picked Students (raw)'!$C$2:$C$824-$E44)&lt;30)),SUMPRODUCT(('Picked Students (raw)'!$B$2:$B$824=$C44)*('Picked Students (raw)'!$D$2:$D$824=$D44)*('Picked Students (raw)'!$C$2:$C$824&lt;&gt;"")*(('Picked Students (raw)'!$C$2:$C$824-$E44)&lt;30))))))</f>
        <v/>
      </c>
      <c r="J44" s="5">
        <f>IF($A44="","",IF(I44="-","-",IF($G44=0,0,I44/$G44)))</f>
        <v/>
      </c>
      <c r="K44" s="3">
        <f>IF($A44="","",IF($E44="","",IF(TODAY()&lt;$E44+60,"-",IF($D44="",SUMPRODUCT(('Picked Students (raw)'!$B$2:$B$824=$C44)*('Picked Students (raw)'!$C$2:$C$824&lt;&gt;"")*(('Picked Students (raw)'!$C$2:$C$824-$E44)&lt;60)),SUMPRODUCT(('Picked Students (raw)'!$B$2:$B$824=$C44)*('Picked Students (raw)'!$D$2:$D$824=$D44)*('Picked Students (raw)'!$C$2:$C$824&lt;&gt;"")*(('Picked Students (raw)'!$C$2:$C$824-$E44)&lt;60))))))</f>
        <v/>
      </c>
      <c r="L44" s="5">
        <f>IF($A44="","",IF(K44="-","-",IF($G44=0,0,K44/$G44)))</f>
        <v/>
      </c>
      <c r="M44" s="3">
        <f>IF($A44="","",IF($E44="","",IF(TODAY()&lt;$E44+90,"-",IF($D44="",SUMPRODUCT(('Picked Students (raw)'!$B$2:$B$824=$C44)*('Picked Students (raw)'!$C$2:$C$824&lt;&gt;"")*(('Picked Students (raw)'!$C$2:$C$824-$E44)&lt;90)),SUMPRODUCT(('Picked Students (raw)'!$B$2:$B$824=$C44)*('Picked Students (raw)'!$D$2:$D$824=$D44)*('Picked Students (raw)'!$C$2:$C$824&lt;&gt;"")*(('Picked Students (raw)'!$C$2:$C$824-$E44)&lt;90))))))</f>
        <v/>
      </c>
      <c r="N44" s="5">
        <f>IF($A44="","",IF(M44="-","-",IF($G44=0,0,M44/$G44)))</f>
        <v/>
      </c>
      <c r="O44" s="3">
        <f>IF($A44="","",IF($E44="","",IF(TODAY()&lt;$E44+120,"-",IF($D44="",SUMPRODUCT(('Picked Students (raw)'!$B$2:$B$824=$C44)*('Picked Students (raw)'!$C$2:$C$824&lt;&gt;"")*(('Picked Students (raw)'!$C$2:$C$824-$E44)&lt;120)),SUMPRODUCT(('Picked Students (raw)'!$B$2:$B$824=$C44)*('Picked Students (raw)'!$D$2:$D$824=$D44)*('Picked Students (raw)'!$C$2:$C$824&lt;&gt;"")*(('Picked Students (raw)'!$C$2:$C$824-$E44)&lt;120))))))</f>
        <v/>
      </c>
      <c r="P44" s="5">
        <f>IF($A44="","",IF(O44="-","-",IF($G44=0,0,O44/$G44)))</f>
        <v/>
      </c>
      <c r="Q44" s="3">
        <f>IF($A44="","",IF($E44="","",IF(TODAY()&lt;$E44+150,"-",IF($D44="",SUMPRODUCT(('Picked Students (raw)'!$B$2:$B$824=$C44)*('Picked Students (raw)'!$C$2:$C$824&lt;&gt;"")*(('Picked Students (raw)'!$C$2:$C$824-$E44)&lt;150)),SUMPRODUCT(('Picked Students (raw)'!$B$2:$B$824=$C44)*('Picked Students (raw)'!$D$2:$D$824=$D44)*('Picked Students (raw)'!$C$2:$C$824&lt;&gt;"")*(('Picked Students (raw)'!$C$2:$C$824-$E44)&lt;150))))))</f>
        <v/>
      </c>
      <c r="R44" s="5">
        <f>IF($A44="","",IF(Q44="-","-",IF($G44=0,0,Q44/$G44)))</f>
        <v/>
      </c>
      <c r="S44" s="3">
        <f>IF($A44="","",IF($E44="","",IF(TODAY()&lt;$E44+180,"-",IF($D44="",SUMPRODUCT(('Picked Students (raw)'!$B$2:$B$824=$C44)*('Picked Students (raw)'!$C$2:$C$824&lt;&gt;"")*(('Picked Students (raw)'!$C$2:$C$824-$E44)&lt;180)),SUMPRODUCT(('Picked Students (raw)'!$B$2:$B$824=$C44)*('Picked Students (raw)'!$D$2:$D$824=$D44)*('Picked Students (raw)'!$C$2:$C$824&lt;&gt;"")*(('Picked Students (raw)'!$C$2:$C$824-$E44)&lt;180))))))</f>
        <v/>
      </c>
      <c r="T44" s="5">
        <f>IF($A44="","",IF(S44="-","-",IF($G44=0,0,S44/$G44)))</f>
        <v/>
      </c>
      <c r="U44" s="3">
        <f>IF($A44="","",IF($E44="","",IF(TODAY()&lt;$E44+210,"-",IF($D44="",SUMPRODUCT(('Picked Students (raw)'!$B$2:$B$824=$C44)*('Picked Students (raw)'!$C$2:$C$824&lt;&gt;"")*(('Picked Students (raw)'!$C$2:$C$824-$E44)&lt;210)),SUMPRODUCT(('Picked Students (raw)'!$B$2:$B$824=$C44)*('Picked Students (raw)'!$D$2:$D$824=$D44)*('Picked Students (raw)'!$C$2:$C$824&lt;&gt;"")*(('Picked Students (raw)'!$C$2:$C$824-$E44)&lt;210))))))</f>
        <v/>
      </c>
      <c r="V44" s="5">
        <f>IF($A44="","",IF(U44="-","-",IF($G44=0,0,U44/$G44)))</f>
        <v/>
      </c>
      <c r="W44" s="3">
        <f>IF($A44="","",IF($E44="","",IF(TODAY()&lt;$E44+240,"-",IF($D44="",SUMPRODUCT(('Picked Students (raw)'!$B$2:$B$824=$C44)*('Picked Students (raw)'!$C$2:$C$824&lt;&gt;"")*(('Picked Students (raw)'!$C$2:$C$824-$E44)&lt;240)),SUMPRODUCT(('Picked Students (raw)'!$B$2:$B$824=$C44)*('Picked Students (raw)'!$D$2:$D$824=$D44)*('Picked Students (raw)'!$C$2:$C$824&lt;&gt;"")*(('Picked Students (raw)'!$C$2:$C$824-$E44)&lt;240))))))</f>
        <v/>
      </c>
      <c r="X44" s="5">
        <f>IF($A44="","",IF(W44="-","-",IF($G44=0,0,W44/$G44)))</f>
        <v/>
      </c>
      <c r="Y44" s="3">
        <f>IF($A44="","",IF($E44="","",IF(TODAY()&lt;$E44+270,"-",IF($D44="",SUMPRODUCT(('Picked Students (raw)'!$B$2:$B$824=$C44)*('Picked Students (raw)'!$C$2:$C$824&lt;&gt;"")*(('Picked Students (raw)'!$C$2:$C$824-$E44)&lt;270)),SUMPRODUCT(('Picked Students (raw)'!$B$2:$B$824=$C44)*('Picked Students (raw)'!$D$2:$D$824=$D44)*('Picked Students (raw)'!$C$2:$C$824&lt;&gt;"")*(('Picked Students (raw)'!$C$2:$C$824-$E44)&lt;270))))))</f>
        <v/>
      </c>
      <c r="Z44" s="5">
        <f>IF($A44="","",IF(Y44="-","-",IF($G44=0,0,Y44/$G44)))</f>
        <v/>
      </c>
      <c r="AA44" s="3">
        <f>IF($A44="","",IF($E44="","",IF(TODAY()&lt;$E44+300,"-",IF($D44="",SUMPRODUCT(('Picked Students (raw)'!$B$2:$B$824=$C44)*('Picked Students (raw)'!$C$2:$C$824&lt;&gt;"")*(('Picked Students (raw)'!$C$2:$C$824-$E44)&lt;300)),SUMPRODUCT(('Picked Students (raw)'!$B$2:$B$824=$C44)*('Picked Students (raw)'!$D$2:$D$824=$D44)*('Picked Students (raw)'!$C$2:$C$824&lt;&gt;"")*(('Picked Students (raw)'!$C$2:$C$824-$E44)&lt;300))))))</f>
        <v/>
      </c>
      <c r="AB44" s="5">
        <f>IF($A44="","",IF(AA44="-","-",IF($G44=0,0,AA44/$G44)))</f>
        <v/>
      </c>
      <c r="AC44" s="3">
        <f>IF($A44="","",IF($E44="","",IF(TODAY()&lt;$E44+330,"-",IF($D44="",SUMPRODUCT(('Picked Students (raw)'!$B$2:$B$824=$C44)*('Picked Students (raw)'!$C$2:$C$824&lt;&gt;"")*(('Picked Students (raw)'!$C$2:$C$824-$E44)&lt;330)),SUMPRODUCT(('Picked Students (raw)'!$B$2:$B$824=$C44)*('Picked Students (raw)'!$D$2:$D$824=$D44)*('Picked Students (raw)'!$C$2:$C$824&lt;&gt;"")*(('Picked Students (raw)'!$C$2:$C$824-$E44)&lt;330))))))</f>
        <v/>
      </c>
      <c r="AD44" s="5">
        <f>IF($A44="","",IF(AC44="-","-",IF($G44=0,0,AC44/$G44)))</f>
        <v/>
      </c>
      <c r="AE44" s="3">
        <f>IF($A44="","",IF($E44="","",IF(TODAY()&lt;$E44+360,"-",IF($D44="",SUMPRODUCT(('Picked Students (raw)'!$B$2:$B$824=$C44)*('Picked Students (raw)'!$C$2:$C$824&lt;&gt;"")*(('Picked Students (raw)'!$C$2:$C$824-$E44)&lt;360)),SUMPRODUCT(('Picked Students (raw)'!$B$2:$B$824=$C44)*('Picked Students (raw)'!$D$2:$D$824=$D44)*('Picked Students (raw)'!$C$2:$C$824&lt;&gt;"")*(('Picked Students (raw)'!$C$2:$C$824-$E44)&lt;360))))))</f>
        <v/>
      </c>
      <c r="AF44" s="5">
        <f>IF($A44="","",IF(AE44="-","-",IF($G44=0,0,AE44/$G44)))</f>
        <v/>
      </c>
      <c r="AG44" s="3">
        <f>IF($A44="","",IF($E44="","",IF(TODAY()&lt;$E44+390,"-",IF($D44="",SUMPRODUCT(('Picked Students (raw)'!$B$2:$B$824=$C44)*('Picked Students (raw)'!$C$2:$C$824&lt;&gt;"")*(('Picked Students (raw)'!$C$2:$C$824-$E44)&lt;390)),SUMPRODUCT(('Picked Students (raw)'!$B$2:$B$824=$C44)*('Picked Students (raw)'!$D$2:$D$824=$D44)*('Picked Students (raw)'!$C$2:$C$824&lt;&gt;"")*(('Picked Students (raw)'!$C$2:$C$824-$E44)&lt;390))))))</f>
        <v/>
      </c>
      <c r="AH44" s="5">
        <f>IF($A44="","",IF(AG44="-","-",IF($G44=0,0,AG44/$G44)))</f>
        <v/>
      </c>
      <c r="AI44" s="3">
        <f>IF($A44="","",IF($E44="","",IF(TODAY()&lt;$E44+420,"-",IF($D44="",SUMPRODUCT(('Picked Students (raw)'!$B$2:$B$824=$C44)*('Picked Students (raw)'!$C$2:$C$824&lt;&gt;"")*(('Picked Students (raw)'!$C$2:$C$824-$E44)&lt;420)),SUMPRODUCT(('Picked Students (raw)'!$B$2:$B$824=$C44)*('Picked Students (raw)'!$D$2:$D$824=$D44)*('Picked Students (raw)'!$C$2:$C$824&lt;&gt;"")*(('Picked Students (raw)'!$C$2:$C$824-$E44)&lt;420))))))</f>
        <v/>
      </c>
      <c r="AJ44" s="5">
        <f>IF($A44="","",IF(AI44="-","-",IF($G44=0,0,AI44/$G44)))</f>
        <v/>
      </c>
      <c r="AK44" s="3">
        <f>IF($A44="","",IF($E44="","",IF(TODAY()&lt;$E44+450,"-",IF($D44="",SUMPRODUCT(('Picked Students (raw)'!$B$2:$B$824=$C44)*('Picked Students (raw)'!$C$2:$C$824&lt;&gt;"")*(('Picked Students (raw)'!$C$2:$C$824-$E44)&lt;450)),SUMPRODUCT(('Picked Students (raw)'!$B$2:$B$824=$C44)*('Picked Students (raw)'!$D$2:$D$824=$D44)*('Picked Students (raw)'!$C$2:$C$824&lt;&gt;"")*(('Picked Students (raw)'!$C$2:$C$824-$E44)&lt;450))))))</f>
        <v/>
      </c>
      <c r="AL44" s="5">
        <f>IF($A44="","",IF(AK44="-","-",IF($G44=0,0,AK44/$G44)))</f>
        <v/>
      </c>
      <c r="AM44" s="3">
        <f>IF($A44="","",IF($E44="","",IF(TODAY()&lt;$E44+480,"-",IF($D44="",SUMPRODUCT(('Picked Students (raw)'!$B$2:$B$824=$C44)*('Picked Students (raw)'!$C$2:$C$824&lt;&gt;"")*(('Picked Students (raw)'!$C$2:$C$824-$E44)&lt;480)),SUMPRODUCT(('Picked Students (raw)'!$B$2:$B$824=$C44)*('Picked Students (raw)'!$D$2:$D$824=$D44)*('Picked Students (raw)'!$C$2:$C$824&lt;&gt;"")*(('Picked Students (raw)'!$C$2:$C$824-$E44)&lt;480))))))</f>
        <v/>
      </c>
      <c r="AN44" s="5">
        <f>IF($A44="","",IF(AM44="-","-",IF($G44=0,0,AM44/$G44)))</f>
        <v/>
      </c>
      <c r="AO44" s="3">
        <f>IF($A44="","",IF($E44="","",IF(TODAY()&lt;$E44+510,"-",IF($D44="",SUMPRODUCT(('Picked Students (raw)'!$B$2:$B$824=$C44)*('Picked Students (raw)'!$C$2:$C$824&lt;&gt;"")*(('Picked Students (raw)'!$C$2:$C$824-$E44)&lt;510)),SUMPRODUCT(('Picked Students (raw)'!$B$2:$B$824=$C44)*('Picked Students (raw)'!$D$2:$D$824=$D44)*('Picked Students (raw)'!$C$2:$C$824&lt;&gt;"")*(('Picked Students (raw)'!$C$2:$C$824-$E44)&lt;510))))))</f>
        <v/>
      </c>
      <c r="AP44" s="5">
        <f>IF($A44="","",IF(AO44="-","-",IF($G44=0,0,AO44/$G44)))</f>
        <v/>
      </c>
      <c r="AQ44" s="3">
        <f>IF($A44="","",IF($E44="","",IF(TODAY()&lt;$E44+540,"-",IF($D44="",SUMPRODUCT(('Picked Students (raw)'!$B$2:$B$824=$C44)*('Picked Students (raw)'!$C$2:$C$824&lt;&gt;"")*(('Picked Students (raw)'!$C$2:$C$824-$E44)&lt;540)),SUMPRODUCT(('Picked Students (raw)'!$B$2:$B$824=$C44)*('Picked Students (raw)'!$D$2:$D$824=$D44)*('Picked Students (raw)'!$C$2:$C$824&lt;&gt;"")*(('Picked Students (raw)'!$C$2:$C$824-$E44)&lt;540))))))</f>
        <v/>
      </c>
      <c r="AR44" s="5">
        <f>IF($A44="","",IF(AQ44="-","-",IF($G44=0,0,AQ44/$G44)))</f>
        <v/>
      </c>
      <c r="AS44" s="3">
        <f>IF($A44="","",IF(AQ44="-","-",$H44-AQ44))</f>
        <v/>
      </c>
    </row>
    <row r="45">
      <c r="A45" s="3" t="inlineStr">
        <is>
          <t>Professional Certificate Course In Data Science August 2026</t>
        </is>
      </c>
      <c r="B45" s="3">
        <f>IF($A45="","",IFERROR(IF(INDEX('Batch Enrollment (Metabase)'!$C$2:$C$47,MATCH($A45,'Batch Enrollment (Metabase)'!$A$2:$A$47,0))="GEM","A",IF(INDEX('Batch Enrollment (Metabase)'!$C$2:$C$47,MATCH($A45,'Batch Enrollment (Metabase)'!$A$2:$A$47,0))="Non-GEM","B","")),""))</f>
        <v/>
      </c>
      <c r="C45" s="3">
        <f>IF($A45="","",IFERROR(INDEX('Batch Enrollment (Metabase)'!$B$2:$B$47,MATCH($A45,'Batch Enrollment (Metabase)'!$A$2:$A$47,0)),""))</f>
        <v/>
      </c>
      <c r="D45" s="3">
        <f>IF($A45="","",IFERROR(INDEX('Batch Enrollment (Metabase)'!$C$2:$C$47,MATCH($A45,'Batch Enrollment (Metabase)'!$A$2:$A$47,0)),""))</f>
        <v/>
      </c>
      <c r="E45" s="4">
        <f>IF($A45="","",IFERROR(INDEX('Batch Enrollment (Metabase)'!$D$2:$D$47,MATCH($A45,'Batch Enrollment (Metabase)'!$A$2:$A$47,0)),""))</f>
        <v/>
      </c>
      <c r="F45" s="3">
        <f>IF($A45="","",IFERROR(INDEX('Batch Enrollment (Metabase)'!$E$2:$E$47,MATCH($A45,'Batch Enrollment (Metabase)'!$A$2:$A$47,0)),""))</f>
        <v/>
      </c>
      <c r="G45" s="3">
        <f>IF($A45="","",IFERROR(INDEX('Batch Enrollment (Metabase)'!$F$2:$F$47,MATCH($A45,'Batch Enrollment (Metabase)'!$A$2:$A$47,0)),""))</f>
        <v/>
      </c>
      <c r="H45" s="3">
        <f>IF($A45="","",IF($D45="",COUNTIF('Picked Students (raw)'!$B$2:$B$824,$C45),COUNTIFS('Picked Students (raw)'!$B$2:$B$824,$C45,'Picked Students (raw)'!$D$2:$D$824,$D45)))</f>
        <v/>
      </c>
      <c r="I45" s="3">
        <f>IF($A45="","",IF($E45="","",IF(TODAY()&lt;$E45+30,"-",IF($D45="",SUMPRODUCT(('Picked Students (raw)'!$B$2:$B$824=$C45)*('Picked Students (raw)'!$C$2:$C$824&lt;&gt;"")*(('Picked Students (raw)'!$C$2:$C$824-$E45)&lt;30)),SUMPRODUCT(('Picked Students (raw)'!$B$2:$B$824=$C45)*('Picked Students (raw)'!$D$2:$D$824=$D45)*('Picked Students (raw)'!$C$2:$C$824&lt;&gt;"")*(('Picked Students (raw)'!$C$2:$C$824-$E45)&lt;30))))))</f>
        <v/>
      </c>
      <c r="J45" s="5">
        <f>IF($A45="","",IF(I45="-","-",IF($G45=0,0,I45/$G45)))</f>
        <v/>
      </c>
      <c r="K45" s="3">
        <f>IF($A45="","",IF($E45="","",IF(TODAY()&lt;$E45+60,"-",IF($D45="",SUMPRODUCT(('Picked Students (raw)'!$B$2:$B$824=$C45)*('Picked Students (raw)'!$C$2:$C$824&lt;&gt;"")*(('Picked Students (raw)'!$C$2:$C$824-$E45)&lt;60)),SUMPRODUCT(('Picked Students (raw)'!$B$2:$B$824=$C45)*('Picked Students (raw)'!$D$2:$D$824=$D45)*('Picked Students (raw)'!$C$2:$C$824&lt;&gt;"")*(('Picked Students (raw)'!$C$2:$C$824-$E45)&lt;60))))))</f>
        <v/>
      </c>
      <c r="L45" s="5">
        <f>IF($A45="","",IF(K45="-","-",IF($G45=0,0,K45/$G45)))</f>
        <v/>
      </c>
      <c r="M45" s="3">
        <f>IF($A45="","",IF($E45="","",IF(TODAY()&lt;$E45+90,"-",IF($D45="",SUMPRODUCT(('Picked Students (raw)'!$B$2:$B$824=$C45)*('Picked Students (raw)'!$C$2:$C$824&lt;&gt;"")*(('Picked Students (raw)'!$C$2:$C$824-$E45)&lt;90)),SUMPRODUCT(('Picked Students (raw)'!$B$2:$B$824=$C45)*('Picked Students (raw)'!$D$2:$D$824=$D45)*('Picked Students (raw)'!$C$2:$C$824&lt;&gt;"")*(('Picked Students (raw)'!$C$2:$C$824-$E45)&lt;90))))))</f>
        <v/>
      </c>
      <c r="N45" s="5">
        <f>IF($A45="","",IF(M45="-","-",IF($G45=0,0,M45/$G45)))</f>
        <v/>
      </c>
      <c r="O45" s="3">
        <f>IF($A45="","",IF($E45="","",IF(TODAY()&lt;$E45+120,"-",IF($D45="",SUMPRODUCT(('Picked Students (raw)'!$B$2:$B$824=$C45)*('Picked Students (raw)'!$C$2:$C$824&lt;&gt;"")*(('Picked Students (raw)'!$C$2:$C$824-$E45)&lt;120)),SUMPRODUCT(('Picked Students (raw)'!$B$2:$B$824=$C45)*('Picked Students (raw)'!$D$2:$D$824=$D45)*('Picked Students (raw)'!$C$2:$C$824&lt;&gt;"")*(('Picked Students (raw)'!$C$2:$C$824-$E45)&lt;120))))))</f>
        <v/>
      </c>
      <c r="P45" s="5">
        <f>IF($A45="","",IF(O45="-","-",IF($G45=0,0,O45/$G45)))</f>
        <v/>
      </c>
      <c r="Q45" s="3">
        <f>IF($A45="","",IF($E45="","",IF(TODAY()&lt;$E45+150,"-",IF($D45="",SUMPRODUCT(('Picked Students (raw)'!$B$2:$B$824=$C45)*('Picked Students (raw)'!$C$2:$C$824&lt;&gt;"")*(('Picked Students (raw)'!$C$2:$C$824-$E45)&lt;150)),SUMPRODUCT(('Picked Students (raw)'!$B$2:$B$824=$C45)*('Picked Students (raw)'!$D$2:$D$824=$D45)*('Picked Students (raw)'!$C$2:$C$824&lt;&gt;"")*(('Picked Students (raw)'!$C$2:$C$824-$E45)&lt;150))))))</f>
        <v/>
      </c>
      <c r="R45" s="5">
        <f>IF($A45="","",IF(Q45="-","-",IF($G45=0,0,Q45/$G45)))</f>
        <v/>
      </c>
      <c r="S45" s="3">
        <f>IF($A45="","",IF($E45="","",IF(TODAY()&lt;$E45+180,"-",IF($D45="",SUMPRODUCT(('Picked Students (raw)'!$B$2:$B$824=$C45)*('Picked Students (raw)'!$C$2:$C$824&lt;&gt;"")*(('Picked Students (raw)'!$C$2:$C$824-$E45)&lt;180)),SUMPRODUCT(('Picked Students (raw)'!$B$2:$B$824=$C45)*('Picked Students (raw)'!$D$2:$D$824=$D45)*('Picked Students (raw)'!$C$2:$C$824&lt;&gt;"")*(('Picked Students (raw)'!$C$2:$C$824-$E45)&lt;180))))))</f>
        <v/>
      </c>
      <c r="T45" s="5">
        <f>IF($A45="","",IF(S45="-","-",IF($G45=0,0,S45/$G45)))</f>
        <v/>
      </c>
      <c r="U45" s="3">
        <f>IF($A45="","",IF($E45="","",IF(TODAY()&lt;$E45+210,"-",IF($D45="",SUMPRODUCT(('Picked Students (raw)'!$B$2:$B$824=$C45)*('Picked Students (raw)'!$C$2:$C$824&lt;&gt;"")*(('Picked Students (raw)'!$C$2:$C$824-$E45)&lt;210)),SUMPRODUCT(('Picked Students (raw)'!$B$2:$B$824=$C45)*('Picked Students (raw)'!$D$2:$D$824=$D45)*('Picked Students (raw)'!$C$2:$C$824&lt;&gt;"")*(('Picked Students (raw)'!$C$2:$C$824-$E45)&lt;210))))))</f>
        <v/>
      </c>
      <c r="V45" s="5">
        <f>IF($A45="","",IF(U45="-","-",IF($G45=0,0,U45/$G45)))</f>
        <v/>
      </c>
      <c r="W45" s="3">
        <f>IF($A45="","",IF($E45="","",IF(TODAY()&lt;$E45+240,"-",IF($D45="",SUMPRODUCT(('Picked Students (raw)'!$B$2:$B$824=$C45)*('Picked Students (raw)'!$C$2:$C$824&lt;&gt;"")*(('Picked Students (raw)'!$C$2:$C$824-$E45)&lt;240)),SUMPRODUCT(('Picked Students (raw)'!$B$2:$B$824=$C45)*('Picked Students (raw)'!$D$2:$D$824=$D45)*('Picked Students (raw)'!$C$2:$C$824&lt;&gt;"")*(('Picked Students (raw)'!$C$2:$C$824-$E45)&lt;240))))))</f>
        <v/>
      </c>
      <c r="X45" s="5">
        <f>IF($A45="","",IF(W45="-","-",IF($G45=0,0,W45/$G45)))</f>
        <v/>
      </c>
      <c r="Y45" s="3">
        <f>IF($A45="","",IF($E45="","",IF(TODAY()&lt;$E45+270,"-",IF($D45="",SUMPRODUCT(('Picked Students (raw)'!$B$2:$B$824=$C45)*('Picked Students (raw)'!$C$2:$C$824&lt;&gt;"")*(('Picked Students (raw)'!$C$2:$C$824-$E45)&lt;270)),SUMPRODUCT(('Picked Students (raw)'!$B$2:$B$824=$C45)*('Picked Students (raw)'!$D$2:$D$824=$D45)*('Picked Students (raw)'!$C$2:$C$824&lt;&gt;"")*(('Picked Students (raw)'!$C$2:$C$824-$E45)&lt;270))))))</f>
        <v/>
      </c>
      <c r="Z45" s="5">
        <f>IF($A45="","",IF(Y45="-","-",IF($G45=0,0,Y45/$G45)))</f>
        <v/>
      </c>
      <c r="AA45" s="3">
        <f>IF($A45="","",IF($E45="","",IF(TODAY()&lt;$E45+300,"-",IF($D45="",SUMPRODUCT(('Picked Students (raw)'!$B$2:$B$824=$C45)*('Picked Students (raw)'!$C$2:$C$824&lt;&gt;"")*(('Picked Students (raw)'!$C$2:$C$824-$E45)&lt;300)),SUMPRODUCT(('Picked Students (raw)'!$B$2:$B$824=$C45)*('Picked Students (raw)'!$D$2:$D$824=$D45)*('Picked Students (raw)'!$C$2:$C$824&lt;&gt;"")*(('Picked Students (raw)'!$C$2:$C$824-$E45)&lt;300))))))</f>
        <v/>
      </c>
      <c r="AB45" s="5">
        <f>IF($A45="","",IF(AA45="-","-",IF($G45=0,0,AA45/$G45)))</f>
        <v/>
      </c>
      <c r="AC45" s="3">
        <f>IF($A45="","",IF($E45="","",IF(TODAY()&lt;$E45+330,"-",IF($D45="",SUMPRODUCT(('Picked Students (raw)'!$B$2:$B$824=$C45)*('Picked Students (raw)'!$C$2:$C$824&lt;&gt;"")*(('Picked Students (raw)'!$C$2:$C$824-$E45)&lt;330)),SUMPRODUCT(('Picked Students (raw)'!$B$2:$B$824=$C45)*('Picked Students (raw)'!$D$2:$D$824=$D45)*('Picked Students (raw)'!$C$2:$C$824&lt;&gt;"")*(('Picked Students (raw)'!$C$2:$C$824-$E45)&lt;330))))))</f>
        <v/>
      </c>
      <c r="AD45" s="5">
        <f>IF($A45="","",IF(AC45="-","-",IF($G45=0,0,AC45/$G45)))</f>
        <v/>
      </c>
      <c r="AE45" s="3">
        <f>IF($A45="","",IF($E45="","",IF(TODAY()&lt;$E45+360,"-",IF($D45="",SUMPRODUCT(('Picked Students (raw)'!$B$2:$B$824=$C45)*('Picked Students (raw)'!$C$2:$C$824&lt;&gt;"")*(('Picked Students (raw)'!$C$2:$C$824-$E45)&lt;360)),SUMPRODUCT(('Picked Students (raw)'!$B$2:$B$824=$C45)*('Picked Students (raw)'!$D$2:$D$824=$D45)*('Picked Students (raw)'!$C$2:$C$824&lt;&gt;"")*(('Picked Students (raw)'!$C$2:$C$824-$E45)&lt;360))))))</f>
        <v/>
      </c>
      <c r="AF45" s="5">
        <f>IF($A45="","",IF(AE45="-","-",IF($G45=0,0,AE45/$G45)))</f>
        <v/>
      </c>
      <c r="AG45" s="3">
        <f>IF($A45="","",IF($E45="","",IF(TODAY()&lt;$E45+390,"-",IF($D45="",SUMPRODUCT(('Picked Students (raw)'!$B$2:$B$824=$C45)*('Picked Students (raw)'!$C$2:$C$824&lt;&gt;"")*(('Picked Students (raw)'!$C$2:$C$824-$E45)&lt;390)),SUMPRODUCT(('Picked Students (raw)'!$B$2:$B$824=$C45)*('Picked Students (raw)'!$D$2:$D$824=$D45)*('Picked Students (raw)'!$C$2:$C$824&lt;&gt;"")*(('Picked Students (raw)'!$C$2:$C$824-$E45)&lt;390))))))</f>
        <v/>
      </c>
      <c r="AH45" s="5">
        <f>IF($A45="","",IF(AG45="-","-",IF($G45=0,0,AG45/$G45)))</f>
        <v/>
      </c>
      <c r="AI45" s="3">
        <f>IF($A45="","",IF($E45="","",IF(TODAY()&lt;$E45+420,"-",IF($D45="",SUMPRODUCT(('Picked Students (raw)'!$B$2:$B$824=$C45)*('Picked Students (raw)'!$C$2:$C$824&lt;&gt;"")*(('Picked Students (raw)'!$C$2:$C$824-$E45)&lt;420)),SUMPRODUCT(('Picked Students (raw)'!$B$2:$B$824=$C45)*('Picked Students (raw)'!$D$2:$D$824=$D45)*('Picked Students (raw)'!$C$2:$C$824&lt;&gt;"")*(('Picked Students (raw)'!$C$2:$C$824-$E45)&lt;420))))))</f>
        <v/>
      </c>
      <c r="AJ45" s="5">
        <f>IF($A45="","",IF(AI45="-","-",IF($G45=0,0,AI45/$G45)))</f>
        <v/>
      </c>
      <c r="AK45" s="3">
        <f>IF($A45="","",IF($E45="","",IF(TODAY()&lt;$E45+450,"-",IF($D45="",SUMPRODUCT(('Picked Students (raw)'!$B$2:$B$824=$C45)*('Picked Students (raw)'!$C$2:$C$824&lt;&gt;"")*(('Picked Students (raw)'!$C$2:$C$824-$E45)&lt;450)),SUMPRODUCT(('Picked Students (raw)'!$B$2:$B$824=$C45)*('Picked Students (raw)'!$D$2:$D$824=$D45)*('Picked Students (raw)'!$C$2:$C$824&lt;&gt;"")*(('Picked Students (raw)'!$C$2:$C$824-$E45)&lt;450))))))</f>
        <v/>
      </c>
      <c r="AL45" s="5">
        <f>IF($A45="","",IF(AK45="-","-",IF($G45=0,0,AK45/$G45)))</f>
        <v/>
      </c>
      <c r="AM45" s="3">
        <f>IF($A45="","",IF($E45="","",IF(TODAY()&lt;$E45+480,"-",IF($D45="",SUMPRODUCT(('Picked Students (raw)'!$B$2:$B$824=$C45)*('Picked Students (raw)'!$C$2:$C$824&lt;&gt;"")*(('Picked Students (raw)'!$C$2:$C$824-$E45)&lt;480)),SUMPRODUCT(('Picked Students (raw)'!$B$2:$B$824=$C45)*('Picked Students (raw)'!$D$2:$D$824=$D45)*('Picked Students (raw)'!$C$2:$C$824&lt;&gt;"")*(('Picked Students (raw)'!$C$2:$C$824-$E45)&lt;480))))))</f>
        <v/>
      </c>
      <c r="AN45" s="5">
        <f>IF($A45="","",IF(AM45="-","-",IF($G45=0,0,AM45/$G45)))</f>
        <v/>
      </c>
      <c r="AO45" s="3">
        <f>IF($A45="","",IF($E45="","",IF(TODAY()&lt;$E45+510,"-",IF($D45="",SUMPRODUCT(('Picked Students (raw)'!$B$2:$B$824=$C45)*('Picked Students (raw)'!$C$2:$C$824&lt;&gt;"")*(('Picked Students (raw)'!$C$2:$C$824-$E45)&lt;510)),SUMPRODUCT(('Picked Students (raw)'!$B$2:$B$824=$C45)*('Picked Students (raw)'!$D$2:$D$824=$D45)*('Picked Students (raw)'!$C$2:$C$824&lt;&gt;"")*(('Picked Students (raw)'!$C$2:$C$824-$E45)&lt;510))))))</f>
        <v/>
      </c>
      <c r="AP45" s="5">
        <f>IF($A45="","",IF(AO45="-","-",IF($G45=0,0,AO45/$G45)))</f>
        <v/>
      </c>
      <c r="AQ45" s="3">
        <f>IF($A45="","",IF($E45="","",IF(TODAY()&lt;$E45+540,"-",IF($D45="",SUMPRODUCT(('Picked Students (raw)'!$B$2:$B$824=$C45)*('Picked Students (raw)'!$C$2:$C$824&lt;&gt;"")*(('Picked Students (raw)'!$C$2:$C$824-$E45)&lt;540)),SUMPRODUCT(('Picked Students (raw)'!$B$2:$B$824=$C45)*('Picked Students (raw)'!$D$2:$D$824=$D45)*('Picked Students (raw)'!$C$2:$C$824&lt;&gt;"")*(('Picked Students (raw)'!$C$2:$C$824-$E45)&lt;540))))))</f>
        <v/>
      </c>
      <c r="AR45" s="5">
        <f>IF($A45="","",IF(AQ45="-","-",IF($G45=0,0,AQ45/$G45)))</f>
        <v/>
      </c>
      <c r="AS45" s="3">
        <f>IF($A45="","",IF(AQ45="-","-",$H45-AQ45))</f>
        <v/>
      </c>
    </row>
    <row r="46">
      <c r="A46" s="3" t="inlineStr">
        <is>
          <t>Professional Certificate Course In Data Science September 2026</t>
        </is>
      </c>
      <c r="B46" s="3">
        <f>IF($A46="","",IFERROR(IF(INDEX('Batch Enrollment (Metabase)'!$C$2:$C$47,MATCH($A46,'Batch Enrollment (Metabase)'!$A$2:$A$47,0))="GEM","A",IF(INDEX('Batch Enrollment (Metabase)'!$C$2:$C$47,MATCH($A46,'Batch Enrollment (Metabase)'!$A$2:$A$47,0))="Non-GEM","B","")),""))</f>
        <v/>
      </c>
      <c r="C46" s="3">
        <f>IF($A46="","",IFERROR(INDEX('Batch Enrollment (Metabase)'!$B$2:$B$47,MATCH($A46,'Batch Enrollment (Metabase)'!$A$2:$A$47,0)),""))</f>
        <v/>
      </c>
      <c r="D46" s="3">
        <f>IF($A46="","",IFERROR(INDEX('Batch Enrollment (Metabase)'!$C$2:$C$47,MATCH($A46,'Batch Enrollment (Metabase)'!$A$2:$A$47,0)),""))</f>
        <v/>
      </c>
      <c r="E46" s="4">
        <f>IF($A46="","",IFERROR(INDEX('Batch Enrollment (Metabase)'!$D$2:$D$47,MATCH($A46,'Batch Enrollment (Metabase)'!$A$2:$A$47,0)),""))</f>
        <v/>
      </c>
      <c r="F46" s="3">
        <f>IF($A46="","",IFERROR(INDEX('Batch Enrollment (Metabase)'!$E$2:$E$47,MATCH($A46,'Batch Enrollment (Metabase)'!$A$2:$A$47,0)),""))</f>
        <v/>
      </c>
      <c r="G46" s="3">
        <f>IF($A46="","",IFERROR(INDEX('Batch Enrollment (Metabase)'!$F$2:$F$47,MATCH($A46,'Batch Enrollment (Metabase)'!$A$2:$A$47,0)),""))</f>
        <v/>
      </c>
      <c r="H46" s="3">
        <f>IF($A46="","",IF($D46="",COUNTIF('Picked Students (raw)'!$B$2:$B$824,$C46),COUNTIFS('Picked Students (raw)'!$B$2:$B$824,$C46,'Picked Students (raw)'!$D$2:$D$824,$D46)))</f>
        <v/>
      </c>
      <c r="I46" s="3">
        <f>IF($A46="","",IF($E46="","",IF(TODAY()&lt;$E46+30,"-",IF($D46="",SUMPRODUCT(('Picked Students (raw)'!$B$2:$B$824=$C46)*('Picked Students (raw)'!$C$2:$C$824&lt;&gt;"")*(('Picked Students (raw)'!$C$2:$C$824-$E46)&lt;30)),SUMPRODUCT(('Picked Students (raw)'!$B$2:$B$824=$C46)*('Picked Students (raw)'!$D$2:$D$824=$D46)*('Picked Students (raw)'!$C$2:$C$824&lt;&gt;"")*(('Picked Students (raw)'!$C$2:$C$824-$E46)&lt;30))))))</f>
        <v/>
      </c>
      <c r="J46" s="5">
        <f>IF($A46="","",IF(I46="-","-",IF($G46=0,0,I46/$G46)))</f>
        <v/>
      </c>
      <c r="K46" s="3">
        <f>IF($A46="","",IF($E46="","",IF(TODAY()&lt;$E46+60,"-",IF($D46="",SUMPRODUCT(('Picked Students (raw)'!$B$2:$B$824=$C46)*('Picked Students (raw)'!$C$2:$C$824&lt;&gt;"")*(('Picked Students (raw)'!$C$2:$C$824-$E46)&lt;60)),SUMPRODUCT(('Picked Students (raw)'!$B$2:$B$824=$C46)*('Picked Students (raw)'!$D$2:$D$824=$D46)*('Picked Students (raw)'!$C$2:$C$824&lt;&gt;"")*(('Picked Students (raw)'!$C$2:$C$824-$E46)&lt;60))))))</f>
        <v/>
      </c>
      <c r="L46" s="5">
        <f>IF($A46="","",IF(K46="-","-",IF($G46=0,0,K46/$G46)))</f>
        <v/>
      </c>
      <c r="M46" s="3">
        <f>IF($A46="","",IF($E46="","",IF(TODAY()&lt;$E46+90,"-",IF($D46="",SUMPRODUCT(('Picked Students (raw)'!$B$2:$B$824=$C46)*('Picked Students (raw)'!$C$2:$C$824&lt;&gt;"")*(('Picked Students (raw)'!$C$2:$C$824-$E46)&lt;90)),SUMPRODUCT(('Picked Students (raw)'!$B$2:$B$824=$C46)*('Picked Students (raw)'!$D$2:$D$824=$D46)*('Picked Students (raw)'!$C$2:$C$824&lt;&gt;"")*(('Picked Students (raw)'!$C$2:$C$824-$E46)&lt;90))))))</f>
        <v/>
      </c>
      <c r="N46" s="5">
        <f>IF($A46="","",IF(M46="-","-",IF($G46=0,0,M46/$G46)))</f>
        <v/>
      </c>
      <c r="O46" s="3">
        <f>IF($A46="","",IF($E46="","",IF(TODAY()&lt;$E46+120,"-",IF($D46="",SUMPRODUCT(('Picked Students (raw)'!$B$2:$B$824=$C46)*('Picked Students (raw)'!$C$2:$C$824&lt;&gt;"")*(('Picked Students (raw)'!$C$2:$C$824-$E46)&lt;120)),SUMPRODUCT(('Picked Students (raw)'!$B$2:$B$824=$C46)*('Picked Students (raw)'!$D$2:$D$824=$D46)*('Picked Students (raw)'!$C$2:$C$824&lt;&gt;"")*(('Picked Students (raw)'!$C$2:$C$824-$E46)&lt;120))))))</f>
        <v/>
      </c>
      <c r="P46" s="5">
        <f>IF($A46="","",IF(O46="-","-",IF($G46=0,0,O46/$G46)))</f>
        <v/>
      </c>
      <c r="Q46" s="3">
        <f>IF($A46="","",IF($E46="","",IF(TODAY()&lt;$E46+150,"-",IF($D46="",SUMPRODUCT(('Picked Students (raw)'!$B$2:$B$824=$C46)*('Picked Students (raw)'!$C$2:$C$824&lt;&gt;"")*(('Picked Students (raw)'!$C$2:$C$824-$E46)&lt;150)),SUMPRODUCT(('Picked Students (raw)'!$B$2:$B$824=$C46)*('Picked Students (raw)'!$D$2:$D$824=$D46)*('Picked Students (raw)'!$C$2:$C$824&lt;&gt;"")*(('Picked Students (raw)'!$C$2:$C$824-$E46)&lt;150))))))</f>
        <v/>
      </c>
      <c r="R46" s="5">
        <f>IF($A46="","",IF(Q46="-","-",IF($G46=0,0,Q46/$G46)))</f>
        <v/>
      </c>
      <c r="S46" s="3">
        <f>IF($A46="","",IF($E46="","",IF(TODAY()&lt;$E46+180,"-",IF($D46="",SUMPRODUCT(('Picked Students (raw)'!$B$2:$B$824=$C46)*('Picked Students (raw)'!$C$2:$C$824&lt;&gt;"")*(('Picked Students (raw)'!$C$2:$C$824-$E46)&lt;180)),SUMPRODUCT(('Picked Students (raw)'!$B$2:$B$824=$C46)*('Picked Students (raw)'!$D$2:$D$824=$D46)*('Picked Students (raw)'!$C$2:$C$824&lt;&gt;"")*(('Picked Students (raw)'!$C$2:$C$824-$E46)&lt;180))))))</f>
        <v/>
      </c>
      <c r="T46" s="5">
        <f>IF($A46="","",IF(S46="-","-",IF($G46=0,0,S46/$G46)))</f>
        <v/>
      </c>
      <c r="U46" s="3">
        <f>IF($A46="","",IF($E46="","",IF(TODAY()&lt;$E46+210,"-",IF($D46="",SUMPRODUCT(('Picked Students (raw)'!$B$2:$B$824=$C46)*('Picked Students (raw)'!$C$2:$C$824&lt;&gt;"")*(('Picked Students (raw)'!$C$2:$C$824-$E46)&lt;210)),SUMPRODUCT(('Picked Students (raw)'!$B$2:$B$824=$C46)*('Picked Students (raw)'!$D$2:$D$824=$D46)*('Picked Students (raw)'!$C$2:$C$824&lt;&gt;"")*(('Picked Students (raw)'!$C$2:$C$824-$E46)&lt;210))))))</f>
        <v/>
      </c>
      <c r="V46" s="5">
        <f>IF($A46="","",IF(U46="-","-",IF($G46=0,0,U46/$G46)))</f>
        <v/>
      </c>
      <c r="W46" s="3">
        <f>IF($A46="","",IF($E46="","",IF(TODAY()&lt;$E46+240,"-",IF($D46="",SUMPRODUCT(('Picked Students (raw)'!$B$2:$B$824=$C46)*('Picked Students (raw)'!$C$2:$C$824&lt;&gt;"")*(('Picked Students (raw)'!$C$2:$C$824-$E46)&lt;240)),SUMPRODUCT(('Picked Students (raw)'!$B$2:$B$824=$C46)*('Picked Students (raw)'!$D$2:$D$824=$D46)*('Picked Students (raw)'!$C$2:$C$824&lt;&gt;"")*(('Picked Students (raw)'!$C$2:$C$824-$E46)&lt;240))))))</f>
        <v/>
      </c>
      <c r="X46" s="5">
        <f>IF($A46="","",IF(W46="-","-",IF($G46=0,0,W46/$G46)))</f>
        <v/>
      </c>
      <c r="Y46" s="3">
        <f>IF($A46="","",IF($E46="","",IF(TODAY()&lt;$E46+270,"-",IF($D46="",SUMPRODUCT(('Picked Students (raw)'!$B$2:$B$824=$C46)*('Picked Students (raw)'!$C$2:$C$824&lt;&gt;"")*(('Picked Students (raw)'!$C$2:$C$824-$E46)&lt;270)),SUMPRODUCT(('Picked Students (raw)'!$B$2:$B$824=$C46)*('Picked Students (raw)'!$D$2:$D$824=$D46)*('Picked Students (raw)'!$C$2:$C$824&lt;&gt;"")*(('Picked Students (raw)'!$C$2:$C$824-$E46)&lt;270))))))</f>
        <v/>
      </c>
      <c r="Z46" s="5">
        <f>IF($A46="","",IF(Y46="-","-",IF($G46=0,0,Y46/$G46)))</f>
        <v/>
      </c>
      <c r="AA46" s="3">
        <f>IF($A46="","",IF($E46="","",IF(TODAY()&lt;$E46+300,"-",IF($D46="",SUMPRODUCT(('Picked Students (raw)'!$B$2:$B$824=$C46)*('Picked Students (raw)'!$C$2:$C$824&lt;&gt;"")*(('Picked Students (raw)'!$C$2:$C$824-$E46)&lt;300)),SUMPRODUCT(('Picked Students (raw)'!$B$2:$B$824=$C46)*('Picked Students (raw)'!$D$2:$D$824=$D46)*('Picked Students (raw)'!$C$2:$C$824&lt;&gt;"")*(('Picked Students (raw)'!$C$2:$C$824-$E46)&lt;300))))))</f>
        <v/>
      </c>
      <c r="AB46" s="5">
        <f>IF($A46="","",IF(AA46="-","-",IF($G46=0,0,AA46/$G46)))</f>
        <v/>
      </c>
      <c r="AC46" s="3">
        <f>IF($A46="","",IF($E46="","",IF(TODAY()&lt;$E46+330,"-",IF($D46="",SUMPRODUCT(('Picked Students (raw)'!$B$2:$B$824=$C46)*('Picked Students (raw)'!$C$2:$C$824&lt;&gt;"")*(('Picked Students (raw)'!$C$2:$C$824-$E46)&lt;330)),SUMPRODUCT(('Picked Students (raw)'!$B$2:$B$824=$C46)*('Picked Students (raw)'!$D$2:$D$824=$D46)*('Picked Students (raw)'!$C$2:$C$824&lt;&gt;"")*(('Picked Students (raw)'!$C$2:$C$824-$E46)&lt;330))))))</f>
        <v/>
      </c>
      <c r="AD46" s="5">
        <f>IF($A46="","",IF(AC46="-","-",IF($G46=0,0,AC46/$G46)))</f>
        <v/>
      </c>
      <c r="AE46" s="3">
        <f>IF($A46="","",IF($E46="","",IF(TODAY()&lt;$E46+360,"-",IF($D46="",SUMPRODUCT(('Picked Students (raw)'!$B$2:$B$824=$C46)*('Picked Students (raw)'!$C$2:$C$824&lt;&gt;"")*(('Picked Students (raw)'!$C$2:$C$824-$E46)&lt;360)),SUMPRODUCT(('Picked Students (raw)'!$B$2:$B$824=$C46)*('Picked Students (raw)'!$D$2:$D$824=$D46)*('Picked Students (raw)'!$C$2:$C$824&lt;&gt;"")*(('Picked Students (raw)'!$C$2:$C$824-$E46)&lt;360))))))</f>
        <v/>
      </c>
      <c r="AF46" s="5">
        <f>IF($A46="","",IF(AE46="-","-",IF($G46=0,0,AE46/$G46)))</f>
        <v/>
      </c>
      <c r="AG46" s="3">
        <f>IF($A46="","",IF($E46="","",IF(TODAY()&lt;$E46+390,"-",IF($D46="",SUMPRODUCT(('Picked Students (raw)'!$B$2:$B$824=$C46)*('Picked Students (raw)'!$C$2:$C$824&lt;&gt;"")*(('Picked Students (raw)'!$C$2:$C$824-$E46)&lt;390)),SUMPRODUCT(('Picked Students (raw)'!$B$2:$B$824=$C46)*('Picked Students (raw)'!$D$2:$D$824=$D46)*('Picked Students (raw)'!$C$2:$C$824&lt;&gt;"")*(('Picked Students (raw)'!$C$2:$C$824-$E46)&lt;390))))))</f>
        <v/>
      </c>
      <c r="AH46" s="5">
        <f>IF($A46="","",IF(AG46="-","-",IF($G46=0,0,AG46/$G46)))</f>
        <v/>
      </c>
      <c r="AI46" s="3">
        <f>IF($A46="","",IF($E46="","",IF(TODAY()&lt;$E46+420,"-",IF($D46="",SUMPRODUCT(('Picked Students (raw)'!$B$2:$B$824=$C46)*('Picked Students (raw)'!$C$2:$C$824&lt;&gt;"")*(('Picked Students (raw)'!$C$2:$C$824-$E46)&lt;420)),SUMPRODUCT(('Picked Students (raw)'!$B$2:$B$824=$C46)*('Picked Students (raw)'!$D$2:$D$824=$D46)*('Picked Students (raw)'!$C$2:$C$824&lt;&gt;"")*(('Picked Students (raw)'!$C$2:$C$824-$E46)&lt;420))))))</f>
        <v/>
      </c>
      <c r="AJ46" s="5">
        <f>IF($A46="","",IF(AI46="-","-",IF($G46=0,0,AI46/$G46)))</f>
        <v/>
      </c>
      <c r="AK46" s="3">
        <f>IF($A46="","",IF($E46="","",IF(TODAY()&lt;$E46+450,"-",IF($D46="",SUMPRODUCT(('Picked Students (raw)'!$B$2:$B$824=$C46)*('Picked Students (raw)'!$C$2:$C$824&lt;&gt;"")*(('Picked Students (raw)'!$C$2:$C$824-$E46)&lt;450)),SUMPRODUCT(('Picked Students (raw)'!$B$2:$B$824=$C46)*('Picked Students (raw)'!$D$2:$D$824=$D46)*('Picked Students (raw)'!$C$2:$C$824&lt;&gt;"")*(('Picked Students (raw)'!$C$2:$C$824-$E46)&lt;450))))))</f>
        <v/>
      </c>
      <c r="AL46" s="5">
        <f>IF($A46="","",IF(AK46="-","-",IF($G46=0,0,AK46/$G46)))</f>
        <v/>
      </c>
      <c r="AM46" s="3">
        <f>IF($A46="","",IF($E46="","",IF(TODAY()&lt;$E46+480,"-",IF($D46="",SUMPRODUCT(('Picked Students (raw)'!$B$2:$B$824=$C46)*('Picked Students (raw)'!$C$2:$C$824&lt;&gt;"")*(('Picked Students (raw)'!$C$2:$C$824-$E46)&lt;480)),SUMPRODUCT(('Picked Students (raw)'!$B$2:$B$824=$C46)*('Picked Students (raw)'!$D$2:$D$824=$D46)*('Picked Students (raw)'!$C$2:$C$824&lt;&gt;"")*(('Picked Students (raw)'!$C$2:$C$824-$E46)&lt;480))))))</f>
        <v/>
      </c>
      <c r="AN46" s="5">
        <f>IF($A46="","",IF(AM46="-","-",IF($G46=0,0,AM46/$G46)))</f>
        <v/>
      </c>
      <c r="AO46" s="3">
        <f>IF($A46="","",IF($E46="","",IF(TODAY()&lt;$E46+510,"-",IF($D46="",SUMPRODUCT(('Picked Students (raw)'!$B$2:$B$824=$C46)*('Picked Students (raw)'!$C$2:$C$824&lt;&gt;"")*(('Picked Students (raw)'!$C$2:$C$824-$E46)&lt;510)),SUMPRODUCT(('Picked Students (raw)'!$B$2:$B$824=$C46)*('Picked Students (raw)'!$D$2:$D$824=$D46)*('Picked Students (raw)'!$C$2:$C$824&lt;&gt;"")*(('Picked Students (raw)'!$C$2:$C$824-$E46)&lt;510))))))</f>
        <v/>
      </c>
      <c r="AP46" s="5">
        <f>IF($A46="","",IF(AO46="-","-",IF($G46=0,0,AO46/$G46)))</f>
        <v/>
      </c>
      <c r="AQ46" s="3">
        <f>IF($A46="","",IF($E46="","",IF(TODAY()&lt;$E46+540,"-",IF($D46="",SUMPRODUCT(('Picked Students (raw)'!$B$2:$B$824=$C46)*('Picked Students (raw)'!$C$2:$C$824&lt;&gt;"")*(('Picked Students (raw)'!$C$2:$C$824-$E46)&lt;540)),SUMPRODUCT(('Picked Students (raw)'!$B$2:$B$824=$C46)*('Picked Students (raw)'!$D$2:$D$824=$D46)*('Picked Students (raw)'!$C$2:$C$824&lt;&gt;"")*(('Picked Students (raw)'!$C$2:$C$824-$E46)&lt;540))))))</f>
        <v/>
      </c>
      <c r="AR46" s="5">
        <f>IF($A46="","",IF(AQ46="-","-",IF($G46=0,0,AQ46/$G46)))</f>
        <v/>
      </c>
      <c r="AS46" s="3">
        <f>IF($A46="","",IF(AQ46="-","-",$H46-AQ46))</f>
        <v/>
      </c>
    </row>
    <row r="47">
      <c r="A47" s="3" t="inlineStr">
        <is>
          <t>Professional Certificate Course In Data Science October 2026</t>
        </is>
      </c>
      <c r="B47" s="3">
        <f>IF($A47="","",IFERROR(IF(INDEX('Batch Enrollment (Metabase)'!$C$2:$C$47,MATCH($A47,'Batch Enrollment (Metabase)'!$A$2:$A$47,0))="GEM","A",IF(INDEX('Batch Enrollment (Metabase)'!$C$2:$C$47,MATCH($A47,'Batch Enrollment (Metabase)'!$A$2:$A$47,0))="Non-GEM","B","")),""))</f>
        <v/>
      </c>
      <c r="C47" s="3">
        <f>IF($A47="","",IFERROR(INDEX('Batch Enrollment (Metabase)'!$B$2:$B$47,MATCH($A47,'Batch Enrollment (Metabase)'!$A$2:$A$47,0)),""))</f>
        <v/>
      </c>
      <c r="D47" s="3">
        <f>IF($A47="","",IFERROR(INDEX('Batch Enrollment (Metabase)'!$C$2:$C$47,MATCH($A47,'Batch Enrollment (Metabase)'!$A$2:$A$47,0)),""))</f>
        <v/>
      </c>
      <c r="E47" s="4">
        <f>IF($A47="","",IFERROR(INDEX('Batch Enrollment (Metabase)'!$D$2:$D$47,MATCH($A47,'Batch Enrollment (Metabase)'!$A$2:$A$47,0)),""))</f>
        <v/>
      </c>
      <c r="F47" s="3">
        <f>IF($A47="","",IFERROR(INDEX('Batch Enrollment (Metabase)'!$E$2:$E$47,MATCH($A47,'Batch Enrollment (Metabase)'!$A$2:$A$47,0)),""))</f>
        <v/>
      </c>
      <c r="G47" s="3">
        <f>IF($A47="","",IFERROR(INDEX('Batch Enrollment (Metabase)'!$F$2:$F$47,MATCH($A47,'Batch Enrollment (Metabase)'!$A$2:$A$47,0)),""))</f>
        <v/>
      </c>
      <c r="H47" s="3">
        <f>IF($A47="","",IF($D47="",COUNTIF('Picked Students (raw)'!$B$2:$B$824,$C47),COUNTIFS('Picked Students (raw)'!$B$2:$B$824,$C47,'Picked Students (raw)'!$D$2:$D$824,$D47)))</f>
        <v/>
      </c>
      <c r="I47" s="3">
        <f>IF($A47="","",IF($E47="","",IF(TODAY()&lt;$E47+30,"-",IF($D47="",SUMPRODUCT(('Picked Students (raw)'!$B$2:$B$824=$C47)*('Picked Students (raw)'!$C$2:$C$824&lt;&gt;"")*(('Picked Students (raw)'!$C$2:$C$824-$E47)&lt;30)),SUMPRODUCT(('Picked Students (raw)'!$B$2:$B$824=$C47)*('Picked Students (raw)'!$D$2:$D$824=$D47)*('Picked Students (raw)'!$C$2:$C$824&lt;&gt;"")*(('Picked Students (raw)'!$C$2:$C$824-$E47)&lt;30))))))</f>
        <v/>
      </c>
      <c r="J47" s="5">
        <f>IF($A47="","",IF(I47="-","-",IF($G47=0,0,I47/$G47)))</f>
        <v/>
      </c>
      <c r="K47" s="3">
        <f>IF($A47="","",IF($E47="","",IF(TODAY()&lt;$E47+60,"-",IF($D47="",SUMPRODUCT(('Picked Students (raw)'!$B$2:$B$824=$C47)*('Picked Students (raw)'!$C$2:$C$824&lt;&gt;"")*(('Picked Students (raw)'!$C$2:$C$824-$E47)&lt;60)),SUMPRODUCT(('Picked Students (raw)'!$B$2:$B$824=$C47)*('Picked Students (raw)'!$D$2:$D$824=$D47)*('Picked Students (raw)'!$C$2:$C$824&lt;&gt;"")*(('Picked Students (raw)'!$C$2:$C$824-$E47)&lt;60))))))</f>
        <v/>
      </c>
      <c r="L47" s="5">
        <f>IF($A47="","",IF(K47="-","-",IF($G47=0,0,K47/$G47)))</f>
        <v/>
      </c>
      <c r="M47" s="3">
        <f>IF($A47="","",IF($E47="","",IF(TODAY()&lt;$E47+90,"-",IF($D47="",SUMPRODUCT(('Picked Students (raw)'!$B$2:$B$824=$C47)*('Picked Students (raw)'!$C$2:$C$824&lt;&gt;"")*(('Picked Students (raw)'!$C$2:$C$824-$E47)&lt;90)),SUMPRODUCT(('Picked Students (raw)'!$B$2:$B$824=$C47)*('Picked Students (raw)'!$D$2:$D$824=$D47)*('Picked Students (raw)'!$C$2:$C$824&lt;&gt;"")*(('Picked Students (raw)'!$C$2:$C$824-$E47)&lt;90))))))</f>
        <v/>
      </c>
      <c r="N47" s="5">
        <f>IF($A47="","",IF(M47="-","-",IF($G47=0,0,M47/$G47)))</f>
        <v/>
      </c>
      <c r="O47" s="3">
        <f>IF($A47="","",IF($E47="","",IF(TODAY()&lt;$E47+120,"-",IF($D47="",SUMPRODUCT(('Picked Students (raw)'!$B$2:$B$824=$C47)*('Picked Students (raw)'!$C$2:$C$824&lt;&gt;"")*(('Picked Students (raw)'!$C$2:$C$824-$E47)&lt;120)),SUMPRODUCT(('Picked Students (raw)'!$B$2:$B$824=$C47)*('Picked Students (raw)'!$D$2:$D$824=$D47)*('Picked Students (raw)'!$C$2:$C$824&lt;&gt;"")*(('Picked Students (raw)'!$C$2:$C$824-$E47)&lt;120))))))</f>
        <v/>
      </c>
      <c r="P47" s="5">
        <f>IF($A47="","",IF(O47="-","-",IF($G47=0,0,O47/$G47)))</f>
        <v/>
      </c>
      <c r="Q47" s="3">
        <f>IF($A47="","",IF($E47="","",IF(TODAY()&lt;$E47+150,"-",IF($D47="",SUMPRODUCT(('Picked Students (raw)'!$B$2:$B$824=$C47)*('Picked Students (raw)'!$C$2:$C$824&lt;&gt;"")*(('Picked Students (raw)'!$C$2:$C$824-$E47)&lt;150)),SUMPRODUCT(('Picked Students (raw)'!$B$2:$B$824=$C47)*('Picked Students (raw)'!$D$2:$D$824=$D47)*('Picked Students (raw)'!$C$2:$C$824&lt;&gt;"")*(('Picked Students (raw)'!$C$2:$C$824-$E47)&lt;150))))))</f>
        <v/>
      </c>
      <c r="R47" s="5">
        <f>IF($A47="","",IF(Q47="-","-",IF($G47=0,0,Q47/$G47)))</f>
        <v/>
      </c>
      <c r="S47" s="3">
        <f>IF($A47="","",IF($E47="","",IF(TODAY()&lt;$E47+180,"-",IF($D47="",SUMPRODUCT(('Picked Students (raw)'!$B$2:$B$824=$C47)*('Picked Students (raw)'!$C$2:$C$824&lt;&gt;"")*(('Picked Students (raw)'!$C$2:$C$824-$E47)&lt;180)),SUMPRODUCT(('Picked Students (raw)'!$B$2:$B$824=$C47)*('Picked Students (raw)'!$D$2:$D$824=$D47)*('Picked Students (raw)'!$C$2:$C$824&lt;&gt;"")*(('Picked Students (raw)'!$C$2:$C$824-$E47)&lt;180))))))</f>
        <v/>
      </c>
      <c r="T47" s="5">
        <f>IF($A47="","",IF(S47="-","-",IF($G47=0,0,S47/$G47)))</f>
        <v/>
      </c>
      <c r="U47" s="3">
        <f>IF($A47="","",IF($E47="","",IF(TODAY()&lt;$E47+210,"-",IF($D47="",SUMPRODUCT(('Picked Students (raw)'!$B$2:$B$824=$C47)*('Picked Students (raw)'!$C$2:$C$824&lt;&gt;"")*(('Picked Students (raw)'!$C$2:$C$824-$E47)&lt;210)),SUMPRODUCT(('Picked Students (raw)'!$B$2:$B$824=$C47)*('Picked Students (raw)'!$D$2:$D$824=$D47)*('Picked Students (raw)'!$C$2:$C$824&lt;&gt;"")*(('Picked Students (raw)'!$C$2:$C$824-$E47)&lt;210))))))</f>
        <v/>
      </c>
      <c r="V47" s="5">
        <f>IF($A47="","",IF(U47="-","-",IF($G47=0,0,U47/$G47)))</f>
        <v/>
      </c>
      <c r="W47" s="3">
        <f>IF($A47="","",IF($E47="","",IF(TODAY()&lt;$E47+240,"-",IF($D47="",SUMPRODUCT(('Picked Students (raw)'!$B$2:$B$824=$C47)*('Picked Students (raw)'!$C$2:$C$824&lt;&gt;"")*(('Picked Students (raw)'!$C$2:$C$824-$E47)&lt;240)),SUMPRODUCT(('Picked Students (raw)'!$B$2:$B$824=$C47)*('Picked Students (raw)'!$D$2:$D$824=$D47)*('Picked Students (raw)'!$C$2:$C$824&lt;&gt;"")*(('Picked Students (raw)'!$C$2:$C$824-$E47)&lt;240))))))</f>
        <v/>
      </c>
      <c r="X47" s="5">
        <f>IF($A47="","",IF(W47="-","-",IF($G47=0,0,W47/$G47)))</f>
        <v/>
      </c>
      <c r="Y47" s="3">
        <f>IF($A47="","",IF($E47="","",IF(TODAY()&lt;$E47+270,"-",IF($D47="",SUMPRODUCT(('Picked Students (raw)'!$B$2:$B$824=$C47)*('Picked Students (raw)'!$C$2:$C$824&lt;&gt;"")*(('Picked Students (raw)'!$C$2:$C$824-$E47)&lt;270)),SUMPRODUCT(('Picked Students (raw)'!$B$2:$B$824=$C47)*('Picked Students (raw)'!$D$2:$D$824=$D47)*('Picked Students (raw)'!$C$2:$C$824&lt;&gt;"")*(('Picked Students (raw)'!$C$2:$C$824-$E47)&lt;270))))))</f>
        <v/>
      </c>
      <c r="Z47" s="5">
        <f>IF($A47="","",IF(Y47="-","-",IF($G47=0,0,Y47/$G47)))</f>
        <v/>
      </c>
      <c r="AA47" s="3">
        <f>IF($A47="","",IF($E47="","",IF(TODAY()&lt;$E47+300,"-",IF($D47="",SUMPRODUCT(('Picked Students (raw)'!$B$2:$B$824=$C47)*('Picked Students (raw)'!$C$2:$C$824&lt;&gt;"")*(('Picked Students (raw)'!$C$2:$C$824-$E47)&lt;300)),SUMPRODUCT(('Picked Students (raw)'!$B$2:$B$824=$C47)*('Picked Students (raw)'!$D$2:$D$824=$D47)*('Picked Students (raw)'!$C$2:$C$824&lt;&gt;"")*(('Picked Students (raw)'!$C$2:$C$824-$E47)&lt;300))))))</f>
        <v/>
      </c>
      <c r="AB47" s="5">
        <f>IF($A47="","",IF(AA47="-","-",IF($G47=0,0,AA47/$G47)))</f>
        <v/>
      </c>
      <c r="AC47" s="3">
        <f>IF($A47="","",IF($E47="","",IF(TODAY()&lt;$E47+330,"-",IF($D47="",SUMPRODUCT(('Picked Students (raw)'!$B$2:$B$824=$C47)*('Picked Students (raw)'!$C$2:$C$824&lt;&gt;"")*(('Picked Students (raw)'!$C$2:$C$824-$E47)&lt;330)),SUMPRODUCT(('Picked Students (raw)'!$B$2:$B$824=$C47)*('Picked Students (raw)'!$D$2:$D$824=$D47)*('Picked Students (raw)'!$C$2:$C$824&lt;&gt;"")*(('Picked Students (raw)'!$C$2:$C$824-$E47)&lt;330))))))</f>
        <v/>
      </c>
      <c r="AD47" s="5">
        <f>IF($A47="","",IF(AC47="-","-",IF($G47=0,0,AC47/$G47)))</f>
        <v/>
      </c>
      <c r="AE47" s="3">
        <f>IF($A47="","",IF($E47="","",IF(TODAY()&lt;$E47+360,"-",IF($D47="",SUMPRODUCT(('Picked Students (raw)'!$B$2:$B$824=$C47)*('Picked Students (raw)'!$C$2:$C$824&lt;&gt;"")*(('Picked Students (raw)'!$C$2:$C$824-$E47)&lt;360)),SUMPRODUCT(('Picked Students (raw)'!$B$2:$B$824=$C47)*('Picked Students (raw)'!$D$2:$D$824=$D47)*('Picked Students (raw)'!$C$2:$C$824&lt;&gt;"")*(('Picked Students (raw)'!$C$2:$C$824-$E47)&lt;360))))))</f>
        <v/>
      </c>
      <c r="AF47" s="5">
        <f>IF($A47="","",IF(AE47="-","-",IF($G47=0,0,AE47/$G47)))</f>
        <v/>
      </c>
      <c r="AG47" s="3">
        <f>IF($A47="","",IF($E47="","",IF(TODAY()&lt;$E47+390,"-",IF($D47="",SUMPRODUCT(('Picked Students (raw)'!$B$2:$B$824=$C47)*('Picked Students (raw)'!$C$2:$C$824&lt;&gt;"")*(('Picked Students (raw)'!$C$2:$C$824-$E47)&lt;390)),SUMPRODUCT(('Picked Students (raw)'!$B$2:$B$824=$C47)*('Picked Students (raw)'!$D$2:$D$824=$D47)*('Picked Students (raw)'!$C$2:$C$824&lt;&gt;"")*(('Picked Students (raw)'!$C$2:$C$824-$E47)&lt;390))))))</f>
        <v/>
      </c>
      <c r="AH47" s="5">
        <f>IF($A47="","",IF(AG47="-","-",IF($G47=0,0,AG47/$G47)))</f>
        <v/>
      </c>
      <c r="AI47" s="3">
        <f>IF($A47="","",IF($E47="","",IF(TODAY()&lt;$E47+420,"-",IF($D47="",SUMPRODUCT(('Picked Students (raw)'!$B$2:$B$824=$C47)*('Picked Students (raw)'!$C$2:$C$824&lt;&gt;"")*(('Picked Students (raw)'!$C$2:$C$824-$E47)&lt;420)),SUMPRODUCT(('Picked Students (raw)'!$B$2:$B$824=$C47)*('Picked Students (raw)'!$D$2:$D$824=$D47)*('Picked Students (raw)'!$C$2:$C$824&lt;&gt;"")*(('Picked Students (raw)'!$C$2:$C$824-$E47)&lt;420))))))</f>
        <v/>
      </c>
      <c r="AJ47" s="5">
        <f>IF($A47="","",IF(AI47="-","-",IF($G47=0,0,AI47/$G47)))</f>
        <v/>
      </c>
      <c r="AK47" s="3">
        <f>IF($A47="","",IF($E47="","",IF(TODAY()&lt;$E47+450,"-",IF($D47="",SUMPRODUCT(('Picked Students (raw)'!$B$2:$B$824=$C47)*('Picked Students (raw)'!$C$2:$C$824&lt;&gt;"")*(('Picked Students (raw)'!$C$2:$C$824-$E47)&lt;450)),SUMPRODUCT(('Picked Students (raw)'!$B$2:$B$824=$C47)*('Picked Students (raw)'!$D$2:$D$824=$D47)*('Picked Students (raw)'!$C$2:$C$824&lt;&gt;"")*(('Picked Students (raw)'!$C$2:$C$824-$E47)&lt;450))))))</f>
        <v/>
      </c>
      <c r="AL47" s="5">
        <f>IF($A47="","",IF(AK47="-","-",IF($G47=0,0,AK47/$G47)))</f>
        <v/>
      </c>
      <c r="AM47" s="3">
        <f>IF($A47="","",IF($E47="","",IF(TODAY()&lt;$E47+480,"-",IF($D47="",SUMPRODUCT(('Picked Students (raw)'!$B$2:$B$824=$C47)*('Picked Students (raw)'!$C$2:$C$824&lt;&gt;"")*(('Picked Students (raw)'!$C$2:$C$824-$E47)&lt;480)),SUMPRODUCT(('Picked Students (raw)'!$B$2:$B$824=$C47)*('Picked Students (raw)'!$D$2:$D$824=$D47)*('Picked Students (raw)'!$C$2:$C$824&lt;&gt;"")*(('Picked Students (raw)'!$C$2:$C$824-$E47)&lt;480))))))</f>
        <v/>
      </c>
      <c r="AN47" s="5">
        <f>IF($A47="","",IF(AM47="-","-",IF($G47=0,0,AM47/$G47)))</f>
        <v/>
      </c>
      <c r="AO47" s="3">
        <f>IF($A47="","",IF($E47="","",IF(TODAY()&lt;$E47+510,"-",IF($D47="",SUMPRODUCT(('Picked Students (raw)'!$B$2:$B$824=$C47)*('Picked Students (raw)'!$C$2:$C$824&lt;&gt;"")*(('Picked Students (raw)'!$C$2:$C$824-$E47)&lt;510)),SUMPRODUCT(('Picked Students (raw)'!$B$2:$B$824=$C47)*('Picked Students (raw)'!$D$2:$D$824=$D47)*('Picked Students (raw)'!$C$2:$C$824&lt;&gt;"")*(('Picked Students (raw)'!$C$2:$C$824-$E47)&lt;510))))))</f>
        <v/>
      </c>
      <c r="AP47" s="5">
        <f>IF($A47="","",IF(AO47="-","-",IF($G47=0,0,AO47/$G47)))</f>
        <v/>
      </c>
      <c r="AQ47" s="3">
        <f>IF($A47="","",IF($E47="","",IF(TODAY()&lt;$E47+540,"-",IF($D47="",SUMPRODUCT(('Picked Students (raw)'!$B$2:$B$824=$C47)*('Picked Students (raw)'!$C$2:$C$824&lt;&gt;"")*(('Picked Students (raw)'!$C$2:$C$824-$E47)&lt;540)),SUMPRODUCT(('Picked Students (raw)'!$B$2:$B$824=$C47)*('Picked Students (raw)'!$D$2:$D$824=$D47)*('Picked Students (raw)'!$C$2:$C$824&lt;&gt;"")*(('Picked Students (raw)'!$C$2:$C$824-$E47)&lt;540))))))</f>
        <v/>
      </c>
      <c r="AR47" s="5">
        <f>IF($A47="","",IF(AQ47="-","-",IF($G47=0,0,AQ47/$G47)))</f>
        <v/>
      </c>
      <c r="AS47" s="3">
        <f>IF($A47="","",IF(AQ47="-","-",$H47-AQ47))</f>
        <v/>
      </c>
    </row>
    <row r="48">
      <c r="A48" s="3" t="n"/>
      <c r="B48" s="3">
        <f>IF($A48="","",IFERROR(IF(INDEX('Batch Enrollment (Metabase)'!$C$2:$C$47,MATCH($A48,'Batch Enrollment (Metabase)'!$A$2:$A$47,0))="GEM","A",IF(INDEX('Batch Enrollment (Metabase)'!$C$2:$C$47,MATCH($A48,'Batch Enrollment (Metabase)'!$A$2:$A$47,0))="Non-GEM","B","")),""))</f>
        <v/>
      </c>
      <c r="C48" s="3">
        <f>IF($A48="","",IFERROR(INDEX('Batch Enrollment (Metabase)'!$B$2:$B$47,MATCH($A48,'Batch Enrollment (Metabase)'!$A$2:$A$47,0)),""))</f>
        <v/>
      </c>
      <c r="D48" s="3">
        <f>IF($A48="","",IFERROR(INDEX('Batch Enrollment (Metabase)'!$C$2:$C$47,MATCH($A48,'Batch Enrollment (Metabase)'!$A$2:$A$47,0)),""))</f>
        <v/>
      </c>
      <c r="E48" s="4">
        <f>IF($A48="","",IFERROR(INDEX('Batch Enrollment (Metabase)'!$D$2:$D$47,MATCH($A48,'Batch Enrollment (Metabase)'!$A$2:$A$47,0)),""))</f>
        <v/>
      </c>
      <c r="F48" s="3">
        <f>IF($A48="","",IFERROR(INDEX('Batch Enrollment (Metabase)'!$E$2:$E$47,MATCH($A48,'Batch Enrollment (Metabase)'!$A$2:$A$47,0)),""))</f>
        <v/>
      </c>
      <c r="G48" s="3">
        <f>IF($A48="","",IFERROR(INDEX('Batch Enrollment (Metabase)'!$F$2:$F$47,MATCH($A48,'Batch Enrollment (Metabase)'!$A$2:$A$47,0)),""))</f>
        <v/>
      </c>
      <c r="H48" s="3">
        <f>IF($A48="","",IF($D48="",COUNTIF('Picked Students (raw)'!$B$2:$B$824,$C48),COUNTIFS('Picked Students (raw)'!$B$2:$B$824,$C48,'Picked Students (raw)'!$D$2:$D$824,$D48)))</f>
        <v/>
      </c>
      <c r="I48" s="3">
        <f>IF($A48="","",IF($E48="","",IF(TODAY()&lt;$E48+30,"-",IF($D48="",SUMPRODUCT(('Picked Students (raw)'!$B$2:$B$824=$C48)*('Picked Students (raw)'!$C$2:$C$824&lt;&gt;"")*(('Picked Students (raw)'!$C$2:$C$824-$E48)&lt;30)),SUMPRODUCT(('Picked Students (raw)'!$B$2:$B$824=$C48)*('Picked Students (raw)'!$D$2:$D$824=$D48)*('Picked Students (raw)'!$C$2:$C$824&lt;&gt;"")*(('Picked Students (raw)'!$C$2:$C$824-$E48)&lt;30))))))</f>
        <v/>
      </c>
      <c r="J48" s="5">
        <f>IF($A48="","",IF(I48="-","-",IF($G48=0,0,I48/$G48)))</f>
        <v/>
      </c>
      <c r="K48" s="3">
        <f>IF($A48="","",IF($E48="","",IF(TODAY()&lt;$E48+60,"-",IF($D48="",SUMPRODUCT(('Picked Students (raw)'!$B$2:$B$824=$C48)*('Picked Students (raw)'!$C$2:$C$824&lt;&gt;"")*(('Picked Students (raw)'!$C$2:$C$824-$E48)&lt;60)),SUMPRODUCT(('Picked Students (raw)'!$B$2:$B$824=$C48)*('Picked Students (raw)'!$D$2:$D$824=$D48)*('Picked Students (raw)'!$C$2:$C$824&lt;&gt;"")*(('Picked Students (raw)'!$C$2:$C$824-$E48)&lt;60))))))</f>
        <v/>
      </c>
      <c r="L48" s="5">
        <f>IF($A48="","",IF(K48="-","-",IF($G48=0,0,K48/$G48)))</f>
        <v/>
      </c>
      <c r="M48" s="3">
        <f>IF($A48="","",IF($E48="","",IF(TODAY()&lt;$E48+90,"-",IF($D48="",SUMPRODUCT(('Picked Students (raw)'!$B$2:$B$824=$C48)*('Picked Students (raw)'!$C$2:$C$824&lt;&gt;"")*(('Picked Students (raw)'!$C$2:$C$824-$E48)&lt;90)),SUMPRODUCT(('Picked Students (raw)'!$B$2:$B$824=$C48)*('Picked Students (raw)'!$D$2:$D$824=$D48)*('Picked Students (raw)'!$C$2:$C$824&lt;&gt;"")*(('Picked Students (raw)'!$C$2:$C$824-$E48)&lt;90))))))</f>
        <v/>
      </c>
      <c r="N48" s="5">
        <f>IF($A48="","",IF(M48="-","-",IF($G48=0,0,M48/$G48)))</f>
        <v/>
      </c>
      <c r="O48" s="3">
        <f>IF($A48="","",IF($E48="","",IF(TODAY()&lt;$E48+120,"-",IF($D48="",SUMPRODUCT(('Picked Students (raw)'!$B$2:$B$824=$C48)*('Picked Students (raw)'!$C$2:$C$824&lt;&gt;"")*(('Picked Students (raw)'!$C$2:$C$824-$E48)&lt;120)),SUMPRODUCT(('Picked Students (raw)'!$B$2:$B$824=$C48)*('Picked Students (raw)'!$D$2:$D$824=$D48)*('Picked Students (raw)'!$C$2:$C$824&lt;&gt;"")*(('Picked Students (raw)'!$C$2:$C$824-$E48)&lt;120))))))</f>
        <v/>
      </c>
      <c r="P48" s="5">
        <f>IF($A48="","",IF(O48="-","-",IF($G48=0,0,O48/$G48)))</f>
        <v/>
      </c>
      <c r="Q48" s="3">
        <f>IF($A48="","",IF($E48="","",IF(TODAY()&lt;$E48+150,"-",IF($D48="",SUMPRODUCT(('Picked Students (raw)'!$B$2:$B$824=$C48)*('Picked Students (raw)'!$C$2:$C$824&lt;&gt;"")*(('Picked Students (raw)'!$C$2:$C$824-$E48)&lt;150)),SUMPRODUCT(('Picked Students (raw)'!$B$2:$B$824=$C48)*('Picked Students (raw)'!$D$2:$D$824=$D48)*('Picked Students (raw)'!$C$2:$C$824&lt;&gt;"")*(('Picked Students (raw)'!$C$2:$C$824-$E48)&lt;150))))))</f>
        <v/>
      </c>
      <c r="R48" s="5">
        <f>IF($A48="","",IF(Q48="-","-",IF($G48=0,0,Q48/$G48)))</f>
        <v/>
      </c>
      <c r="S48" s="3">
        <f>IF($A48="","",IF($E48="","",IF(TODAY()&lt;$E48+180,"-",IF($D48="",SUMPRODUCT(('Picked Students (raw)'!$B$2:$B$824=$C48)*('Picked Students (raw)'!$C$2:$C$824&lt;&gt;"")*(('Picked Students (raw)'!$C$2:$C$824-$E48)&lt;180)),SUMPRODUCT(('Picked Students (raw)'!$B$2:$B$824=$C48)*('Picked Students (raw)'!$D$2:$D$824=$D48)*('Picked Students (raw)'!$C$2:$C$824&lt;&gt;"")*(('Picked Students (raw)'!$C$2:$C$824-$E48)&lt;180))))))</f>
        <v/>
      </c>
      <c r="T48" s="5">
        <f>IF($A48="","",IF(S48="-","-",IF($G48=0,0,S48/$G48)))</f>
        <v/>
      </c>
      <c r="U48" s="3">
        <f>IF($A48="","",IF($E48="","",IF(TODAY()&lt;$E48+210,"-",IF($D48="",SUMPRODUCT(('Picked Students (raw)'!$B$2:$B$824=$C48)*('Picked Students (raw)'!$C$2:$C$824&lt;&gt;"")*(('Picked Students (raw)'!$C$2:$C$824-$E48)&lt;210)),SUMPRODUCT(('Picked Students (raw)'!$B$2:$B$824=$C48)*('Picked Students (raw)'!$D$2:$D$824=$D48)*('Picked Students (raw)'!$C$2:$C$824&lt;&gt;"")*(('Picked Students (raw)'!$C$2:$C$824-$E48)&lt;210))))))</f>
        <v/>
      </c>
      <c r="V48" s="5">
        <f>IF($A48="","",IF(U48="-","-",IF($G48=0,0,U48/$G48)))</f>
        <v/>
      </c>
      <c r="W48" s="3">
        <f>IF($A48="","",IF($E48="","",IF(TODAY()&lt;$E48+240,"-",IF($D48="",SUMPRODUCT(('Picked Students (raw)'!$B$2:$B$824=$C48)*('Picked Students (raw)'!$C$2:$C$824&lt;&gt;"")*(('Picked Students (raw)'!$C$2:$C$824-$E48)&lt;240)),SUMPRODUCT(('Picked Students (raw)'!$B$2:$B$824=$C48)*('Picked Students (raw)'!$D$2:$D$824=$D48)*('Picked Students (raw)'!$C$2:$C$824&lt;&gt;"")*(('Picked Students (raw)'!$C$2:$C$824-$E48)&lt;240))))))</f>
        <v/>
      </c>
      <c r="X48" s="5">
        <f>IF($A48="","",IF(W48="-","-",IF($G48=0,0,W48/$G48)))</f>
        <v/>
      </c>
      <c r="Y48" s="3">
        <f>IF($A48="","",IF($E48="","",IF(TODAY()&lt;$E48+270,"-",IF($D48="",SUMPRODUCT(('Picked Students (raw)'!$B$2:$B$824=$C48)*('Picked Students (raw)'!$C$2:$C$824&lt;&gt;"")*(('Picked Students (raw)'!$C$2:$C$824-$E48)&lt;270)),SUMPRODUCT(('Picked Students (raw)'!$B$2:$B$824=$C48)*('Picked Students (raw)'!$D$2:$D$824=$D48)*('Picked Students (raw)'!$C$2:$C$824&lt;&gt;"")*(('Picked Students (raw)'!$C$2:$C$824-$E48)&lt;270))))))</f>
        <v/>
      </c>
      <c r="Z48" s="5">
        <f>IF($A48="","",IF(Y48="-","-",IF($G48=0,0,Y48/$G48)))</f>
        <v/>
      </c>
      <c r="AA48" s="3">
        <f>IF($A48="","",IF($E48="","",IF(TODAY()&lt;$E48+300,"-",IF($D48="",SUMPRODUCT(('Picked Students (raw)'!$B$2:$B$824=$C48)*('Picked Students (raw)'!$C$2:$C$824&lt;&gt;"")*(('Picked Students (raw)'!$C$2:$C$824-$E48)&lt;300)),SUMPRODUCT(('Picked Students (raw)'!$B$2:$B$824=$C48)*('Picked Students (raw)'!$D$2:$D$824=$D48)*('Picked Students (raw)'!$C$2:$C$824&lt;&gt;"")*(('Picked Students (raw)'!$C$2:$C$824-$E48)&lt;300))))))</f>
        <v/>
      </c>
      <c r="AB48" s="5">
        <f>IF($A48="","",IF(AA48="-","-",IF($G48=0,0,AA48/$G48)))</f>
        <v/>
      </c>
      <c r="AC48" s="3">
        <f>IF($A48="","",IF($E48="","",IF(TODAY()&lt;$E48+330,"-",IF($D48="",SUMPRODUCT(('Picked Students (raw)'!$B$2:$B$824=$C48)*('Picked Students (raw)'!$C$2:$C$824&lt;&gt;"")*(('Picked Students (raw)'!$C$2:$C$824-$E48)&lt;330)),SUMPRODUCT(('Picked Students (raw)'!$B$2:$B$824=$C48)*('Picked Students (raw)'!$D$2:$D$824=$D48)*('Picked Students (raw)'!$C$2:$C$824&lt;&gt;"")*(('Picked Students (raw)'!$C$2:$C$824-$E48)&lt;330))))))</f>
        <v/>
      </c>
      <c r="AD48" s="5">
        <f>IF($A48="","",IF(AC48="-","-",IF($G48=0,0,AC48/$G48)))</f>
        <v/>
      </c>
      <c r="AE48" s="3">
        <f>IF($A48="","",IF($E48="","",IF(TODAY()&lt;$E48+360,"-",IF($D48="",SUMPRODUCT(('Picked Students (raw)'!$B$2:$B$824=$C48)*('Picked Students (raw)'!$C$2:$C$824&lt;&gt;"")*(('Picked Students (raw)'!$C$2:$C$824-$E48)&lt;360)),SUMPRODUCT(('Picked Students (raw)'!$B$2:$B$824=$C48)*('Picked Students (raw)'!$D$2:$D$824=$D48)*('Picked Students (raw)'!$C$2:$C$824&lt;&gt;"")*(('Picked Students (raw)'!$C$2:$C$824-$E48)&lt;360))))))</f>
        <v/>
      </c>
      <c r="AF48" s="5">
        <f>IF($A48="","",IF(AE48="-","-",IF($G48=0,0,AE48/$G48)))</f>
        <v/>
      </c>
      <c r="AG48" s="3">
        <f>IF($A48="","",IF($E48="","",IF(TODAY()&lt;$E48+390,"-",IF($D48="",SUMPRODUCT(('Picked Students (raw)'!$B$2:$B$824=$C48)*('Picked Students (raw)'!$C$2:$C$824&lt;&gt;"")*(('Picked Students (raw)'!$C$2:$C$824-$E48)&lt;390)),SUMPRODUCT(('Picked Students (raw)'!$B$2:$B$824=$C48)*('Picked Students (raw)'!$D$2:$D$824=$D48)*('Picked Students (raw)'!$C$2:$C$824&lt;&gt;"")*(('Picked Students (raw)'!$C$2:$C$824-$E48)&lt;390))))))</f>
        <v/>
      </c>
      <c r="AH48" s="5">
        <f>IF($A48="","",IF(AG48="-","-",IF($G48=0,0,AG48/$G48)))</f>
        <v/>
      </c>
      <c r="AI48" s="3">
        <f>IF($A48="","",IF($E48="","",IF(TODAY()&lt;$E48+420,"-",IF($D48="",SUMPRODUCT(('Picked Students (raw)'!$B$2:$B$824=$C48)*('Picked Students (raw)'!$C$2:$C$824&lt;&gt;"")*(('Picked Students (raw)'!$C$2:$C$824-$E48)&lt;420)),SUMPRODUCT(('Picked Students (raw)'!$B$2:$B$824=$C48)*('Picked Students (raw)'!$D$2:$D$824=$D48)*('Picked Students (raw)'!$C$2:$C$824&lt;&gt;"")*(('Picked Students (raw)'!$C$2:$C$824-$E48)&lt;420))))))</f>
        <v/>
      </c>
      <c r="AJ48" s="5">
        <f>IF($A48="","",IF(AI48="-","-",IF($G48=0,0,AI48/$G48)))</f>
        <v/>
      </c>
      <c r="AK48" s="3">
        <f>IF($A48="","",IF($E48="","",IF(TODAY()&lt;$E48+450,"-",IF($D48="",SUMPRODUCT(('Picked Students (raw)'!$B$2:$B$824=$C48)*('Picked Students (raw)'!$C$2:$C$824&lt;&gt;"")*(('Picked Students (raw)'!$C$2:$C$824-$E48)&lt;450)),SUMPRODUCT(('Picked Students (raw)'!$B$2:$B$824=$C48)*('Picked Students (raw)'!$D$2:$D$824=$D48)*('Picked Students (raw)'!$C$2:$C$824&lt;&gt;"")*(('Picked Students (raw)'!$C$2:$C$824-$E48)&lt;450))))))</f>
        <v/>
      </c>
      <c r="AL48" s="5">
        <f>IF($A48="","",IF(AK48="-","-",IF($G48=0,0,AK48/$G48)))</f>
        <v/>
      </c>
      <c r="AM48" s="3">
        <f>IF($A48="","",IF($E48="","",IF(TODAY()&lt;$E48+480,"-",IF($D48="",SUMPRODUCT(('Picked Students (raw)'!$B$2:$B$824=$C48)*('Picked Students (raw)'!$C$2:$C$824&lt;&gt;"")*(('Picked Students (raw)'!$C$2:$C$824-$E48)&lt;480)),SUMPRODUCT(('Picked Students (raw)'!$B$2:$B$824=$C48)*('Picked Students (raw)'!$D$2:$D$824=$D48)*('Picked Students (raw)'!$C$2:$C$824&lt;&gt;"")*(('Picked Students (raw)'!$C$2:$C$824-$E48)&lt;480))))))</f>
        <v/>
      </c>
      <c r="AN48" s="5">
        <f>IF($A48="","",IF(AM48="-","-",IF($G48=0,0,AM48/$G48)))</f>
        <v/>
      </c>
      <c r="AO48" s="3">
        <f>IF($A48="","",IF($E48="","",IF(TODAY()&lt;$E48+510,"-",IF($D48="",SUMPRODUCT(('Picked Students (raw)'!$B$2:$B$824=$C48)*('Picked Students (raw)'!$C$2:$C$824&lt;&gt;"")*(('Picked Students (raw)'!$C$2:$C$824-$E48)&lt;510)),SUMPRODUCT(('Picked Students (raw)'!$B$2:$B$824=$C48)*('Picked Students (raw)'!$D$2:$D$824=$D48)*('Picked Students (raw)'!$C$2:$C$824&lt;&gt;"")*(('Picked Students (raw)'!$C$2:$C$824-$E48)&lt;510))))))</f>
        <v/>
      </c>
      <c r="AP48" s="5">
        <f>IF($A48="","",IF(AO48="-","-",IF($G48=0,0,AO48/$G48)))</f>
        <v/>
      </c>
      <c r="AQ48" s="3">
        <f>IF($A48="","",IF($E48="","",IF(TODAY()&lt;$E48+540,"-",IF($D48="",SUMPRODUCT(('Picked Students (raw)'!$B$2:$B$824=$C48)*('Picked Students (raw)'!$C$2:$C$824&lt;&gt;"")*(('Picked Students (raw)'!$C$2:$C$824-$E48)&lt;540)),SUMPRODUCT(('Picked Students (raw)'!$B$2:$B$824=$C48)*('Picked Students (raw)'!$D$2:$D$824=$D48)*('Picked Students (raw)'!$C$2:$C$824&lt;&gt;"")*(('Picked Students (raw)'!$C$2:$C$824-$E48)&lt;540))))))</f>
        <v/>
      </c>
      <c r="AR48" s="5">
        <f>IF($A48="","",IF(AQ48="-","-",IF($G48=0,0,AQ48/$G48)))</f>
        <v/>
      </c>
      <c r="AS48" s="3">
        <f>IF($A48="","",IF(AQ48="-","-",$H48-AQ48))</f>
        <v/>
      </c>
    </row>
    <row r="49">
      <c r="A49" s="3" t="n"/>
      <c r="B49" s="3">
        <f>IF($A49="","",IFERROR(IF(INDEX('Batch Enrollment (Metabase)'!$C$2:$C$47,MATCH($A49,'Batch Enrollment (Metabase)'!$A$2:$A$47,0))="GEM","A",IF(INDEX('Batch Enrollment (Metabase)'!$C$2:$C$47,MATCH($A49,'Batch Enrollment (Metabase)'!$A$2:$A$47,0))="Non-GEM","B","")),""))</f>
        <v/>
      </c>
      <c r="C49" s="3">
        <f>IF($A49="","",IFERROR(INDEX('Batch Enrollment (Metabase)'!$B$2:$B$47,MATCH($A49,'Batch Enrollment (Metabase)'!$A$2:$A$47,0)),""))</f>
        <v/>
      </c>
      <c r="D49" s="3">
        <f>IF($A49="","",IFERROR(INDEX('Batch Enrollment (Metabase)'!$C$2:$C$47,MATCH($A49,'Batch Enrollment (Metabase)'!$A$2:$A$47,0)),""))</f>
        <v/>
      </c>
      <c r="E49" s="4">
        <f>IF($A49="","",IFERROR(INDEX('Batch Enrollment (Metabase)'!$D$2:$D$47,MATCH($A49,'Batch Enrollment (Metabase)'!$A$2:$A$47,0)),""))</f>
        <v/>
      </c>
      <c r="F49" s="3">
        <f>IF($A49="","",IFERROR(INDEX('Batch Enrollment (Metabase)'!$E$2:$E$47,MATCH($A49,'Batch Enrollment (Metabase)'!$A$2:$A$47,0)),""))</f>
        <v/>
      </c>
      <c r="G49" s="3">
        <f>IF($A49="","",IFERROR(INDEX('Batch Enrollment (Metabase)'!$F$2:$F$47,MATCH($A49,'Batch Enrollment (Metabase)'!$A$2:$A$47,0)),""))</f>
        <v/>
      </c>
      <c r="H49" s="3">
        <f>IF($A49="","",IF($D49="",COUNTIF('Picked Students (raw)'!$B$2:$B$824,$C49),COUNTIFS('Picked Students (raw)'!$B$2:$B$824,$C49,'Picked Students (raw)'!$D$2:$D$824,$D49)))</f>
        <v/>
      </c>
      <c r="I49" s="3">
        <f>IF($A49="","",IF($E49="","",IF(TODAY()&lt;$E49+30,"-",IF($D49="",SUMPRODUCT(('Picked Students (raw)'!$B$2:$B$824=$C49)*('Picked Students (raw)'!$C$2:$C$824&lt;&gt;"")*(('Picked Students (raw)'!$C$2:$C$824-$E49)&lt;30)),SUMPRODUCT(('Picked Students (raw)'!$B$2:$B$824=$C49)*('Picked Students (raw)'!$D$2:$D$824=$D49)*('Picked Students (raw)'!$C$2:$C$824&lt;&gt;"")*(('Picked Students (raw)'!$C$2:$C$824-$E49)&lt;30))))))</f>
        <v/>
      </c>
      <c r="J49" s="5">
        <f>IF($A49="","",IF(I49="-","-",IF($G49=0,0,I49/$G49)))</f>
        <v/>
      </c>
      <c r="K49" s="3">
        <f>IF($A49="","",IF($E49="","",IF(TODAY()&lt;$E49+60,"-",IF($D49="",SUMPRODUCT(('Picked Students (raw)'!$B$2:$B$824=$C49)*('Picked Students (raw)'!$C$2:$C$824&lt;&gt;"")*(('Picked Students (raw)'!$C$2:$C$824-$E49)&lt;60)),SUMPRODUCT(('Picked Students (raw)'!$B$2:$B$824=$C49)*('Picked Students (raw)'!$D$2:$D$824=$D49)*('Picked Students (raw)'!$C$2:$C$824&lt;&gt;"")*(('Picked Students (raw)'!$C$2:$C$824-$E49)&lt;60))))))</f>
        <v/>
      </c>
      <c r="L49" s="5">
        <f>IF($A49="","",IF(K49="-","-",IF($G49=0,0,K49/$G49)))</f>
        <v/>
      </c>
      <c r="M49" s="3">
        <f>IF($A49="","",IF($E49="","",IF(TODAY()&lt;$E49+90,"-",IF($D49="",SUMPRODUCT(('Picked Students (raw)'!$B$2:$B$824=$C49)*('Picked Students (raw)'!$C$2:$C$824&lt;&gt;"")*(('Picked Students (raw)'!$C$2:$C$824-$E49)&lt;90)),SUMPRODUCT(('Picked Students (raw)'!$B$2:$B$824=$C49)*('Picked Students (raw)'!$D$2:$D$824=$D49)*('Picked Students (raw)'!$C$2:$C$824&lt;&gt;"")*(('Picked Students (raw)'!$C$2:$C$824-$E49)&lt;90))))))</f>
        <v/>
      </c>
      <c r="N49" s="5">
        <f>IF($A49="","",IF(M49="-","-",IF($G49=0,0,M49/$G49)))</f>
        <v/>
      </c>
      <c r="O49" s="3">
        <f>IF($A49="","",IF($E49="","",IF(TODAY()&lt;$E49+120,"-",IF($D49="",SUMPRODUCT(('Picked Students (raw)'!$B$2:$B$824=$C49)*('Picked Students (raw)'!$C$2:$C$824&lt;&gt;"")*(('Picked Students (raw)'!$C$2:$C$824-$E49)&lt;120)),SUMPRODUCT(('Picked Students (raw)'!$B$2:$B$824=$C49)*('Picked Students (raw)'!$D$2:$D$824=$D49)*('Picked Students (raw)'!$C$2:$C$824&lt;&gt;"")*(('Picked Students (raw)'!$C$2:$C$824-$E49)&lt;120))))))</f>
        <v/>
      </c>
      <c r="P49" s="5">
        <f>IF($A49="","",IF(O49="-","-",IF($G49=0,0,O49/$G49)))</f>
        <v/>
      </c>
      <c r="Q49" s="3">
        <f>IF($A49="","",IF($E49="","",IF(TODAY()&lt;$E49+150,"-",IF($D49="",SUMPRODUCT(('Picked Students (raw)'!$B$2:$B$824=$C49)*('Picked Students (raw)'!$C$2:$C$824&lt;&gt;"")*(('Picked Students (raw)'!$C$2:$C$824-$E49)&lt;150)),SUMPRODUCT(('Picked Students (raw)'!$B$2:$B$824=$C49)*('Picked Students (raw)'!$D$2:$D$824=$D49)*('Picked Students (raw)'!$C$2:$C$824&lt;&gt;"")*(('Picked Students (raw)'!$C$2:$C$824-$E49)&lt;150))))))</f>
        <v/>
      </c>
      <c r="R49" s="5">
        <f>IF($A49="","",IF(Q49="-","-",IF($G49=0,0,Q49/$G49)))</f>
        <v/>
      </c>
      <c r="S49" s="3">
        <f>IF($A49="","",IF($E49="","",IF(TODAY()&lt;$E49+180,"-",IF($D49="",SUMPRODUCT(('Picked Students (raw)'!$B$2:$B$824=$C49)*('Picked Students (raw)'!$C$2:$C$824&lt;&gt;"")*(('Picked Students (raw)'!$C$2:$C$824-$E49)&lt;180)),SUMPRODUCT(('Picked Students (raw)'!$B$2:$B$824=$C49)*('Picked Students (raw)'!$D$2:$D$824=$D49)*('Picked Students (raw)'!$C$2:$C$824&lt;&gt;"")*(('Picked Students (raw)'!$C$2:$C$824-$E49)&lt;180))))))</f>
        <v/>
      </c>
      <c r="T49" s="5">
        <f>IF($A49="","",IF(S49="-","-",IF($G49=0,0,S49/$G49)))</f>
        <v/>
      </c>
      <c r="U49" s="3">
        <f>IF($A49="","",IF($E49="","",IF(TODAY()&lt;$E49+210,"-",IF($D49="",SUMPRODUCT(('Picked Students (raw)'!$B$2:$B$824=$C49)*('Picked Students (raw)'!$C$2:$C$824&lt;&gt;"")*(('Picked Students (raw)'!$C$2:$C$824-$E49)&lt;210)),SUMPRODUCT(('Picked Students (raw)'!$B$2:$B$824=$C49)*('Picked Students (raw)'!$D$2:$D$824=$D49)*('Picked Students (raw)'!$C$2:$C$824&lt;&gt;"")*(('Picked Students (raw)'!$C$2:$C$824-$E49)&lt;210))))))</f>
        <v/>
      </c>
      <c r="V49" s="5">
        <f>IF($A49="","",IF(U49="-","-",IF($G49=0,0,U49/$G49)))</f>
        <v/>
      </c>
      <c r="W49" s="3">
        <f>IF($A49="","",IF($E49="","",IF(TODAY()&lt;$E49+240,"-",IF($D49="",SUMPRODUCT(('Picked Students (raw)'!$B$2:$B$824=$C49)*('Picked Students (raw)'!$C$2:$C$824&lt;&gt;"")*(('Picked Students (raw)'!$C$2:$C$824-$E49)&lt;240)),SUMPRODUCT(('Picked Students (raw)'!$B$2:$B$824=$C49)*('Picked Students (raw)'!$D$2:$D$824=$D49)*('Picked Students (raw)'!$C$2:$C$824&lt;&gt;"")*(('Picked Students (raw)'!$C$2:$C$824-$E49)&lt;240))))))</f>
        <v/>
      </c>
      <c r="X49" s="5">
        <f>IF($A49="","",IF(W49="-","-",IF($G49=0,0,W49/$G49)))</f>
        <v/>
      </c>
      <c r="Y49" s="3">
        <f>IF($A49="","",IF($E49="","",IF(TODAY()&lt;$E49+270,"-",IF($D49="",SUMPRODUCT(('Picked Students (raw)'!$B$2:$B$824=$C49)*('Picked Students (raw)'!$C$2:$C$824&lt;&gt;"")*(('Picked Students (raw)'!$C$2:$C$824-$E49)&lt;270)),SUMPRODUCT(('Picked Students (raw)'!$B$2:$B$824=$C49)*('Picked Students (raw)'!$D$2:$D$824=$D49)*('Picked Students (raw)'!$C$2:$C$824&lt;&gt;"")*(('Picked Students (raw)'!$C$2:$C$824-$E49)&lt;270))))))</f>
        <v/>
      </c>
      <c r="Z49" s="5">
        <f>IF($A49="","",IF(Y49="-","-",IF($G49=0,0,Y49/$G49)))</f>
        <v/>
      </c>
      <c r="AA49" s="3">
        <f>IF($A49="","",IF($E49="","",IF(TODAY()&lt;$E49+300,"-",IF($D49="",SUMPRODUCT(('Picked Students (raw)'!$B$2:$B$824=$C49)*('Picked Students (raw)'!$C$2:$C$824&lt;&gt;"")*(('Picked Students (raw)'!$C$2:$C$824-$E49)&lt;300)),SUMPRODUCT(('Picked Students (raw)'!$B$2:$B$824=$C49)*('Picked Students (raw)'!$D$2:$D$824=$D49)*('Picked Students (raw)'!$C$2:$C$824&lt;&gt;"")*(('Picked Students (raw)'!$C$2:$C$824-$E49)&lt;300))))))</f>
        <v/>
      </c>
      <c r="AB49" s="5">
        <f>IF($A49="","",IF(AA49="-","-",IF($G49=0,0,AA49/$G49)))</f>
        <v/>
      </c>
      <c r="AC49" s="3">
        <f>IF($A49="","",IF($E49="","",IF(TODAY()&lt;$E49+330,"-",IF($D49="",SUMPRODUCT(('Picked Students (raw)'!$B$2:$B$824=$C49)*('Picked Students (raw)'!$C$2:$C$824&lt;&gt;"")*(('Picked Students (raw)'!$C$2:$C$824-$E49)&lt;330)),SUMPRODUCT(('Picked Students (raw)'!$B$2:$B$824=$C49)*('Picked Students (raw)'!$D$2:$D$824=$D49)*('Picked Students (raw)'!$C$2:$C$824&lt;&gt;"")*(('Picked Students (raw)'!$C$2:$C$824-$E49)&lt;330))))))</f>
        <v/>
      </c>
      <c r="AD49" s="5">
        <f>IF($A49="","",IF(AC49="-","-",IF($G49=0,0,AC49/$G49)))</f>
        <v/>
      </c>
      <c r="AE49" s="3">
        <f>IF($A49="","",IF($E49="","",IF(TODAY()&lt;$E49+360,"-",IF($D49="",SUMPRODUCT(('Picked Students (raw)'!$B$2:$B$824=$C49)*('Picked Students (raw)'!$C$2:$C$824&lt;&gt;"")*(('Picked Students (raw)'!$C$2:$C$824-$E49)&lt;360)),SUMPRODUCT(('Picked Students (raw)'!$B$2:$B$824=$C49)*('Picked Students (raw)'!$D$2:$D$824=$D49)*('Picked Students (raw)'!$C$2:$C$824&lt;&gt;"")*(('Picked Students (raw)'!$C$2:$C$824-$E49)&lt;360))))))</f>
        <v/>
      </c>
      <c r="AF49" s="5">
        <f>IF($A49="","",IF(AE49="-","-",IF($G49=0,0,AE49/$G49)))</f>
        <v/>
      </c>
      <c r="AG49" s="3">
        <f>IF($A49="","",IF($E49="","",IF(TODAY()&lt;$E49+390,"-",IF($D49="",SUMPRODUCT(('Picked Students (raw)'!$B$2:$B$824=$C49)*('Picked Students (raw)'!$C$2:$C$824&lt;&gt;"")*(('Picked Students (raw)'!$C$2:$C$824-$E49)&lt;390)),SUMPRODUCT(('Picked Students (raw)'!$B$2:$B$824=$C49)*('Picked Students (raw)'!$D$2:$D$824=$D49)*('Picked Students (raw)'!$C$2:$C$824&lt;&gt;"")*(('Picked Students (raw)'!$C$2:$C$824-$E49)&lt;390))))))</f>
        <v/>
      </c>
      <c r="AH49" s="5">
        <f>IF($A49="","",IF(AG49="-","-",IF($G49=0,0,AG49/$G49)))</f>
        <v/>
      </c>
      <c r="AI49" s="3">
        <f>IF($A49="","",IF($E49="","",IF(TODAY()&lt;$E49+420,"-",IF($D49="",SUMPRODUCT(('Picked Students (raw)'!$B$2:$B$824=$C49)*('Picked Students (raw)'!$C$2:$C$824&lt;&gt;"")*(('Picked Students (raw)'!$C$2:$C$824-$E49)&lt;420)),SUMPRODUCT(('Picked Students (raw)'!$B$2:$B$824=$C49)*('Picked Students (raw)'!$D$2:$D$824=$D49)*('Picked Students (raw)'!$C$2:$C$824&lt;&gt;"")*(('Picked Students (raw)'!$C$2:$C$824-$E49)&lt;420))))))</f>
        <v/>
      </c>
      <c r="AJ49" s="5">
        <f>IF($A49="","",IF(AI49="-","-",IF($G49=0,0,AI49/$G49)))</f>
        <v/>
      </c>
      <c r="AK49" s="3">
        <f>IF($A49="","",IF($E49="","",IF(TODAY()&lt;$E49+450,"-",IF($D49="",SUMPRODUCT(('Picked Students (raw)'!$B$2:$B$824=$C49)*('Picked Students (raw)'!$C$2:$C$824&lt;&gt;"")*(('Picked Students (raw)'!$C$2:$C$824-$E49)&lt;450)),SUMPRODUCT(('Picked Students (raw)'!$B$2:$B$824=$C49)*('Picked Students (raw)'!$D$2:$D$824=$D49)*('Picked Students (raw)'!$C$2:$C$824&lt;&gt;"")*(('Picked Students (raw)'!$C$2:$C$824-$E49)&lt;450))))))</f>
        <v/>
      </c>
      <c r="AL49" s="5">
        <f>IF($A49="","",IF(AK49="-","-",IF($G49=0,0,AK49/$G49)))</f>
        <v/>
      </c>
      <c r="AM49" s="3">
        <f>IF($A49="","",IF($E49="","",IF(TODAY()&lt;$E49+480,"-",IF($D49="",SUMPRODUCT(('Picked Students (raw)'!$B$2:$B$824=$C49)*('Picked Students (raw)'!$C$2:$C$824&lt;&gt;"")*(('Picked Students (raw)'!$C$2:$C$824-$E49)&lt;480)),SUMPRODUCT(('Picked Students (raw)'!$B$2:$B$824=$C49)*('Picked Students (raw)'!$D$2:$D$824=$D49)*('Picked Students (raw)'!$C$2:$C$824&lt;&gt;"")*(('Picked Students (raw)'!$C$2:$C$824-$E49)&lt;480))))))</f>
        <v/>
      </c>
      <c r="AN49" s="5">
        <f>IF($A49="","",IF(AM49="-","-",IF($G49=0,0,AM49/$G49)))</f>
        <v/>
      </c>
      <c r="AO49" s="3">
        <f>IF($A49="","",IF($E49="","",IF(TODAY()&lt;$E49+510,"-",IF($D49="",SUMPRODUCT(('Picked Students (raw)'!$B$2:$B$824=$C49)*('Picked Students (raw)'!$C$2:$C$824&lt;&gt;"")*(('Picked Students (raw)'!$C$2:$C$824-$E49)&lt;510)),SUMPRODUCT(('Picked Students (raw)'!$B$2:$B$824=$C49)*('Picked Students (raw)'!$D$2:$D$824=$D49)*('Picked Students (raw)'!$C$2:$C$824&lt;&gt;"")*(('Picked Students (raw)'!$C$2:$C$824-$E49)&lt;510))))))</f>
        <v/>
      </c>
      <c r="AP49" s="5">
        <f>IF($A49="","",IF(AO49="-","-",IF($G49=0,0,AO49/$G49)))</f>
        <v/>
      </c>
      <c r="AQ49" s="3">
        <f>IF($A49="","",IF($E49="","",IF(TODAY()&lt;$E49+540,"-",IF($D49="",SUMPRODUCT(('Picked Students (raw)'!$B$2:$B$824=$C49)*('Picked Students (raw)'!$C$2:$C$824&lt;&gt;"")*(('Picked Students (raw)'!$C$2:$C$824-$E49)&lt;540)),SUMPRODUCT(('Picked Students (raw)'!$B$2:$B$824=$C49)*('Picked Students (raw)'!$D$2:$D$824=$D49)*('Picked Students (raw)'!$C$2:$C$824&lt;&gt;"")*(('Picked Students (raw)'!$C$2:$C$824-$E49)&lt;540))))))</f>
        <v/>
      </c>
      <c r="AR49" s="5">
        <f>IF($A49="","",IF(AQ49="-","-",IF($G49=0,0,AQ49/$G49)))</f>
        <v/>
      </c>
      <c r="AS49" s="3">
        <f>IF($A49="","",IF(AQ49="-","-",$H49-AQ49))</f>
        <v/>
      </c>
    </row>
    <row r="50">
      <c r="A50" s="3" t="n"/>
      <c r="B50" s="3">
        <f>IF($A50="","",IFERROR(IF(INDEX('Batch Enrollment (Metabase)'!$C$2:$C$47,MATCH($A50,'Batch Enrollment (Metabase)'!$A$2:$A$47,0))="GEM","A",IF(INDEX('Batch Enrollment (Metabase)'!$C$2:$C$47,MATCH($A50,'Batch Enrollment (Metabase)'!$A$2:$A$47,0))="Non-GEM","B","")),""))</f>
        <v/>
      </c>
      <c r="C50" s="3">
        <f>IF($A50="","",IFERROR(INDEX('Batch Enrollment (Metabase)'!$B$2:$B$47,MATCH($A50,'Batch Enrollment (Metabase)'!$A$2:$A$47,0)),""))</f>
        <v/>
      </c>
      <c r="D50" s="3">
        <f>IF($A50="","",IFERROR(INDEX('Batch Enrollment (Metabase)'!$C$2:$C$47,MATCH($A50,'Batch Enrollment (Metabase)'!$A$2:$A$47,0)),""))</f>
        <v/>
      </c>
      <c r="E50" s="4">
        <f>IF($A50="","",IFERROR(INDEX('Batch Enrollment (Metabase)'!$D$2:$D$47,MATCH($A50,'Batch Enrollment (Metabase)'!$A$2:$A$47,0)),""))</f>
        <v/>
      </c>
      <c r="F50" s="3">
        <f>IF($A50="","",IFERROR(INDEX('Batch Enrollment (Metabase)'!$E$2:$E$47,MATCH($A50,'Batch Enrollment (Metabase)'!$A$2:$A$47,0)),""))</f>
        <v/>
      </c>
      <c r="G50" s="3">
        <f>IF($A50="","",IFERROR(INDEX('Batch Enrollment (Metabase)'!$F$2:$F$47,MATCH($A50,'Batch Enrollment (Metabase)'!$A$2:$A$47,0)),""))</f>
        <v/>
      </c>
      <c r="H50" s="3">
        <f>IF($A50="","",IF($D50="",COUNTIF('Picked Students (raw)'!$B$2:$B$824,$C50),COUNTIFS('Picked Students (raw)'!$B$2:$B$824,$C50,'Picked Students (raw)'!$D$2:$D$824,$D50)))</f>
        <v/>
      </c>
      <c r="I50" s="3">
        <f>IF($A50="","",IF($E50="","",IF(TODAY()&lt;$E50+30,"-",IF($D50="",SUMPRODUCT(('Picked Students (raw)'!$B$2:$B$824=$C50)*('Picked Students (raw)'!$C$2:$C$824&lt;&gt;"")*(('Picked Students (raw)'!$C$2:$C$824-$E50)&lt;30)),SUMPRODUCT(('Picked Students (raw)'!$B$2:$B$824=$C50)*('Picked Students (raw)'!$D$2:$D$824=$D50)*('Picked Students (raw)'!$C$2:$C$824&lt;&gt;"")*(('Picked Students (raw)'!$C$2:$C$824-$E50)&lt;30))))))</f>
        <v/>
      </c>
      <c r="J50" s="5">
        <f>IF($A50="","",IF(I50="-","-",IF($G50=0,0,I50/$G50)))</f>
        <v/>
      </c>
      <c r="K50" s="3">
        <f>IF($A50="","",IF($E50="","",IF(TODAY()&lt;$E50+60,"-",IF($D50="",SUMPRODUCT(('Picked Students (raw)'!$B$2:$B$824=$C50)*('Picked Students (raw)'!$C$2:$C$824&lt;&gt;"")*(('Picked Students (raw)'!$C$2:$C$824-$E50)&lt;60)),SUMPRODUCT(('Picked Students (raw)'!$B$2:$B$824=$C50)*('Picked Students (raw)'!$D$2:$D$824=$D50)*('Picked Students (raw)'!$C$2:$C$824&lt;&gt;"")*(('Picked Students (raw)'!$C$2:$C$824-$E50)&lt;60))))))</f>
        <v/>
      </c>
      <c r="L50" s="5">
        <f>IF($A50="","",IF(K50="-","-",IF($G50=0,0,K50/$G50)))</f>
        <v/>
      </c>
      <c r="M50" s="3">
        <f>IF($A50="","",IF($E50="","",IF(TODAY()&lt;$E50+90,"-",IF($D50="",SUMPRODUCT(('Picked Students (raw)'!$B$2:$B$824=$C50)*('Picked Students (raw)'!$C$2:$C$824&lt;&gt;"")*(('Picked Students (raw)'!$C$2:$C$824-$E50)&lt;90)),SUMPRODUCT(('Picked Students (raw)'!$B$2:$B$824=$C50)*('Picked Students (raw)'!$D$2:$D$824=$D50)*('Picked Students (raw)'!$C$2:$C$824&lt;&gt;"")*(('Picked Students (raw)'!$C$2:$C$824-$E50)&lt;90))))))</f>
        <v/>
      </c>
      <c r="N50" s="5">
        <f>IF($A50="","",IF(M50="-","-",IF($G50=0,0,M50/$G50)))</f>
        <v/>
      </c>
      <c r="O50" s="3">
        <f>IF($A50="","",IF($E50="","",IF(TODAY()&lt;$E50+120,"-",IF($D50="",SUMPRODUCT(('Picked Students (raw)'!$B$2:$B$824=$C50)*('Picked Students (raw)'!$C$2:$C$824&lt;&gt;"")*(('Picked Students (raw)'!$C$2:$C$824-$E50)&lt;120)),SUMPRODUCT(('Picked Students (raw)'!$B$2:$B$824=$C50)*('Picked Students (raw)'!$D$2:$D$824=$D50)*('Picked Students (raw)'!$C$2:$C$824&lt;&gt;"")*(('Picked Students (raw)'!$C$2:$C$824-$E50)&lt;120))))))</f>
        <v/>
      </c>
      <c r="P50" s="5">
        <f>IF($A50="","",IF(O50="-","-",IF($G50=0,0,O50/$G50)))</f>
        <v/>
      </c>
      <c r="Q50" s="3">
        <f>IF($A50="","",IF($E50="","",IF(TODAY()&lt;$E50+150,"-",IF($D50="",SUMPRODUCT(('Picked Students (raw)'!$B$2:$B$824=$C50)*('Picked Students (raw)'!$C$2:$C$824&lt;&gt;"")*(('Picked Students (raw)'!$C$2:$C$824-$E50)&lt;150)),SUMPRODUCT(('Picked Students (raw)'!$B$2:$B$824=$C50)*('Picked Students (raw)'!$D$2:$D$824=$D50)*('Picked Students (raw)'!$C$2:$C$824&lt;&gt;"")*(('Picked Students (raw)'!$C$2:$C$824-$E50)&lt;150))))))</f>
        <v/>
      </c>
      <c r="R50" s="5">
        <f>IF($A50="","",IF(Q50="-","-",IF($G50=0,0,Q50/$G50)))</f>
        <v/>
      </c>
      <c r="S50" s="3">
        <f>IF($A50="","",IF($E50="","",IF(TODAY()&lt;$E50+180,"-",IF($D50="",SUMPRODUCT(('Picked Students (raw)'!$B$2:$B$824=$C50)*('Picked Students (raw)'!$C$2:$C$824&lt;&gt;"")*(('Picked Students (raw)'!$C$2:$C$824-$E50)&lt;180)),SUMPRODUCT(('Picked Students (raw)'!$B$2:$B$824=$C50)*('Picked Students (raw)'!$D$2:$D$824=$D50)*('Picked Students (raw)'!$C$2:$C$824&lt;&gt;"")*(('Picked Students (raw)'!$C$2:$C$824-$E50)&lt;180))))))</f>
        <v/>
      </c>
      <c r="T50" s="5">
        <f>IF($A50="","",IF(S50="-","-",IF($G50=0,0,S50/$G50)))</f>
        <v/>
      </c>
      <c r="U50" s="3">
        <f>IF($A50="","",IF($E50="","",IF(TODAY()&lt;$E50+210,"-",IF($D50="",SUMPRODUCT(('Picked Students (raw)'!$B$2:$B$824=$C50)*('Picked Students (raw)'!$C$2:$C$824&lt;&gt;"")*(('Picked Students (raw)'!$C$2:$C$824-$E50)&lt;210)),SUMPRODUCT(('Picked Students (raw)'!$B$2:$B$824=$C50)*('Picked Students (raw)'!$D$2:$D$824=$D50)*('Picked Students (raw)'!$C$2:$C$824&lt;&gt;"")*(('Picked Students (raw)'!$C$2:$C$824-$E50)&lt;210))))))</f>
        <v/>
      </c>
      <c r="V50" s="5">
        <f>IF($A50="","",IF(U50="-","-",IF($G50=0,0,U50/$G50)))</f>
        <v/>
      </c>
      <c r="W50" s="3">
        <f>IF($A50="","",IF($E50="","",IF(TODAY()&lt;$E50+240,"-",IF($D50="",SUMPRODUCT(('Picked Students (raw)'!$B$2:$B$824=$C50)*('Picked Students (raw)'!$C$2:$C$824&lt;&gt;"")*(('Picked Students (raw)'!$C$2:$C$824-$E50)&lt;240)),SUMPRODUCT(('Picked Students (raw)'!$B$2:$B$824=$C50)*('Picked Students (raw)'!$D$2:$D$824=$D50)*('Picked Students (raw)'!$C$2:$C$824&lt;&gt;"")*(('Picked Students (raw)'!$C$2:$C$824-$E50)&lt;240))))))</f>
        <v/>
      </c>
      <c r="X50" s="5">
        <f>IF($A50="","",IF(W50="-","-",IF($G50=0,0,W50/$G50)))</f>
        <v/>
      </c>
      <c r="Y50" s="3">
        <f>IF($A50="","",IF($E50="","",IF(TODAY()&lt;$E50+270,"-",IF($D50="",SUMPRODUCT(('Picked Students (raw)'!$B$2:$B$824=$C50)*('Picked Students (raw)'!$C$2:$C$824&lt;&gt;"")*(('Picked Students (raw)'!$C$2:$C$824-$E50)&lt;270)),SUMPRODUCT(('Picked Students (raw)'!$B$2:$B$824=$C50)*('Picked Students (raw)'!$D$2:$D$824=$D50)*('Picked Students (raw)'!$C$2:$C$824&lt;&gt;"")*(('Picked Students (raw)'!$C$2:$C$824-$E50)&lt;270))))))</f>
        <v/>
      </c>
      <c r="Z50" s="5">
        <f>IF($A50="","",IF(Y50="-","-",IF($G50=0,0,Y50/$G50)))</f>
        <v/>
      </c>
      <c r="AA50" s="3">
        <f>IF($A50="","",IF($E50="","",IF(TODAY()&lt;$E50+300,"-",IF($D50="",SUMPRODUCT(('Picked Students (raw)'!$B$2:$B$824=$C50)*('Picked Students (raw)'!$C$2:$C$824&lt;&gt;"")*(('Picked Students (raw)'!$C$2:$C$824-$E50)&lt;300)),SUMPRODUCT(('Picked Students (raw)'!$B$2:$B$824=$C50)*('Picked Students (raw)'!$D$2:$D$824=$D50)*('Picked Students (raw)'!$C$2:$C$824&lt;&gt;"")*(('Picked Students (raw)'!$C$2:$C$824-$E50)&lt;300))))))</f>
        <v/>
      </c>
      <c r="AB50" s="5">
        <f>IF($A50="","",IF(AA50="-","-",IF($G50=0,0,AA50/$G50)))</f>
        <v/>
      </c>
      <c r="AC50" s="3">
        <f>IF($A50="","",IF($E50="","",IF(TODAY()&lt;$E50+330,"-",IF($D50="",SUMPRODUCT(('Picked Students (raw)'!$B$2:$B$824=$C50)*('Picked Students (raw)'!$C$2:$C$824&lt;&gt;"")*(('Picked Students (raw)'!$C$2:$C$824-$E50)&lt;330)),SUMPRODUCT(('Picked Students (raw)'!$B$2:$B$824=$C50)*('Picked Students (raw)'!$D$2:$D$824=$D50)*('Picked Students (raw)'!$C$2:$C$824&lt;&gt;"")*(('Picked Students (raw)'!$C$2:$C$824-$E50)&lt;330))))))</f>
        <v/>
      </c>
      <c r="AD50" s="5">
        <f>IF($A50="","",IF(AC50="-","-",IF($G50=0,0,AC50/$G50)))</f>
        <v/>
      </c>
      <c r="AE50" s="3">
        <f>IF($A50="","",IF($E50="","",IF(TODAY()&lt;$E50+360,"-",IF($D50="",SUMPRODUCT(('Picked Students (raw)'!$B$2:$B$824=$C50)*('Picked Students (raw)'!$C$2:$C$824&lt;&gt;"")*(('Picked Students (raw)'!$C$2:$C$824-$E50)&lt;360)),SUMPRODUCT(('Picked Students (raw)'!$B$2:$B$824=$C50)*('Picked Students (raw)'!$D$2:$D$824=$D50)*('Picked Students (raw)'!$C$2:$C$824&lt;&gt;"")*(('Picked Students (raw)'!$C$2:$C$824-$E50)&lt;360))))))</f>
        <v/>
      </c>
      <c r="AF50" s="5">
        <f>IF($A50="","",IF(AE50="-","-",IF($G50=0,0,AE50/$G50)))</f>
        <v/>
      </c>
      <c r="AG50" s="3">
        <f>IF($A50="","",IF($E50="","",IF(TODAY()&lt;$E50+390,"-",IF($D50="",SUMPRODUCT(('Picked Students (raw)'!$B$2:$B$824=$C50)*('Picked Students (raw)'!$C$2:$C$824&lt;&gt;"")*(('Picked Students (raw)'!$C$2:$C$824-$E50)&lt;390)),SUMPRODUCT(('Picked Students (raw)'!$B$2:$B$824=$C50)*('Picked Students (raw)'!$D$2:$D$824=$D50)*('Picked Students (raw)'!$C$2:$C$824&lt;&gt;"")*(('Picked Students (raw)'!$C$2:$C$824-$E50)&lt;390))))))</f>
        <v/>
      </c>
      <c r="AH50" s="5">
        <f>IF($A50="","",IF(AG50="-","-",IF($G50=0,0,AG50/$G50)))</f>
        <v/>
      </c>
      <c r="AI50" s="3">
        <f>IF($A50="","",IF($E50="","",IF(TODAY()&lt;$E50+420,"-",IF($D50="",SUMPRODUCT(('Picked Students (raw)'!$B$2:$B$824=$C50)*('Picked Students (raw)'!$C$2:$C$824&lt;&gt;"")*(('Picked Students (raw)'!$C$2:$C$824-$E50)&lt;420)),SUMPRODUCT(('Picked Students (raw)'!$B$2:$B$824=$C50)*('Picked Students (raw)'!$D$2:$D$824=$D50)*('Picked Students (raw)'!$C$2:$C$824&lt;&gt;"")*(('Picked Students (raw)'!$C$2:$C$824-$E50)&lt;420))))))</f>
        <v/>
      </c>
      <c r="AJ50" s="5">
        <f>IF($A50="","",IF(AI50="-","-",IF($G50=0,0,AI50/$G50)))</f>
        <v/>
      </c>
      <c r="AK50" s="3">
        <f>IF($A50="","",IF($E50="","",IF(TODAY()&lt;$E50+450,"-",IF($D50="",SUMPRODUCT(('Picked Students (raw)'!$B$2:$B$824=$C50)*('Picked Students (raw)'!$C$2:$C$824&lt;&gt;"")*(('Picked Students (raw)'!$C$2:$C$824-$E50)&lt;450)),SUMPRODUCT(('Picked Students (raw)'!$B$2:$B$824=$C50)*('Picked Students (raw)'!$D$2:$D$824=$D50)*('Picked Students (raw)'!$C$2:$C$824&lt;&gt;"")*(('Picked Students (raw)'!$C$2:$C$824-$E50)&lt;450))))))</f>
        <v/>
      </c>
      <c r="AL50" s="5">
        <f>IF($A50="","",IF(AK50="-","-",IF($G50=0,0,AK50/$G50)))</f>
        <v/>
      </c>
      <c r="AM50" s="3">
        <f>IF($A50="","",IF($E50="","",IF(TODAY()&lt;$E50+480,"-",IF($D50="",SUMPRODUCT(('Picked Students (raw)'!$B$2:$B$824=$C50)*('Picked Students (raw)'!$C$2:$C$824&lt;&gt;"")*(('Picked Students (raw)'!$C$2:$C$824-$E50)&lt;480)),SUMPRODUCT(('Picked Students (raw)'!$B$2:$B$824=$C50)*('Picked Students (raw)'!$D$2:$D$824=$D50)*('Picked Students (raw)'!$C$2:$C$824&lt;&gt;"")*(('Picked Students (raw)'!$C$2:$C$824-$E50)&lt;480))))))</f>
        <v/>
      </c>
      <c r="AN50" s="5">
        <f>IF($A50="","",IF(AM50="-","-",IF($G50=0,0,AM50/$G50)))</f>
        <v/>
      </c>
      <c r="AO50" s="3">
        <f>IF($A50="","",IF($E50="","",IF(TODAY()&lt;$E50+510,"-",IF($D50="",SUMPRODUCT(('Picked Students (raw)'!$B$2:$B$824=$C50)*('Picked Students (raw)'!$C$2:$C$824&lt;&gt;"")*(('Picked Students (raw)'!$C$2:$C$824-$E50)&lt;510)),SUMPRODUCT(('Picked Students (raw)'!$B$2:$B$824=$C50)*('Picked Students (raw)'!$D$2:$D$824=$D50)*('Picked Students (raw)'!$C$2:$C$824&lt;&gt;"")*(('Picked Students (raw)'!$C$2:$C$824-$E50)&lt;510))))))</f>
        <v/>
      </c>
      <c r="AP50" s="5">
        <f>IF($A50="","",IF(AO50="-","-",IF($G50=0,0,AO50/$G50)))</f>
        <v/>
      </c>
      <c r="AQ50" s="3">
        <f>IF($A50="","",IF($E50="","",IF(TODAY()&lt;$E50+540,"-",IF($D50="",SUMPRODUCT(('Picked Students (raw)'!$B$2:$B$824=$C50)*('Picked Students (raw)'!$C$2:$C$824&lt;&gt;"")*(('Picked Students (raw)'!$C$2:$C$824-$E50)&lt;540)),SUMPRODUCT(('Picked Students (raw)'!$B$2:$B$824=$C50)*('Picked Students (raw)'!$D$2:$D$824=$D50)*('Picked Students (raw)'!$C$2:$C$824&lt;&gt;"")*(('Picked Students (raw)'!$C$2:$C$824-$E50)&lt;540))))))</f>
        <v/>
      </c>
      <c r="AR50" s="5">
        <f>IF($A50="","",IF(AQ50="-","-",IF($G50=0,0,AQ50/$G50)))</f>
        <v/>
      </c>
      <c r="AS50" s="3">
        <f>IF($A50="","",IF(AQ50="-","-",$H50-AQ50))</f>
        <v/>
      </c>
    </row>
    <row r="51">
      <c r="A51" s="3" t="n"/>
      <c r="B51" s="3">
        <f>IF($A51="","",IFERROR(IF(INDEX('Batch Enrollment (Metabase)'!$C$2:$C$47,MATCH($A51,'Batch Enrollment (Metabase)'!$A$2:$A$47,0))="GEM","A",IF(INDEX('Batch Enrollment (Metabase)'!$C$2:$C$47,MATCH($A51,'Batch Enrollment (Metabase)'!$A$2:$A$47,0))="Non-GEM","B","")),""))</f>
        <v/>
      </c>
      <c r="C51" s="3">
        <f>IF($A51="","",IFERROR(INDEX('Batch Enrollment (Metabase)'!$B$2:$B$47,MATCH($A51,'Batch Enrollment (Metabase)'!$A$2:$A$47,0)),""))</f>
        <v/>
      </c>
      <c r="D51" s="3">
        <f>IF($A51="","",IFERROR(INDEX('Batch Enrollment (Metabase)'!$C$2:$C$47,MATCH($A51,'Batch Enrollment (Metabase)'!$A$2:$A$47,0)),""))</f>
        <v/>
      </c>
      <c r="E51" s="4">
        <f>IF($A51="","",IFERROR(INDEX('Batch Enrollment (Metabase)'!$D$2:$D$47,MATCH($A51,'Batch Enrollment (Metabase)'!$A$2:$A$47,0)),""))</f>
        <v/>
      </c>
      <c r="F51" s="3">
        <f>IF($A51="","",IFERROR(INDEX('Batch Enrollment (Metabase)'!$E$2:$E$47,MATCH($A51,'Batch Enrollment (Metabase)'!$A$2:$A$47,0)),""))</f>
        <v/>
      </c>
      <c r="G51" s="3">
        <f>IF($A51="","",IFERROR(INDEX('Batch Enrollment (Metabase)'!$F$2:$F$47,MATCH($A51,'Batch Enrollment (Metabase)'!$A$2:$A$47,0)),""))</f>
        <v/>
      </c>
      <c r="H51" s="3">
        <f>IF($A51="","",IF($D51="",COUNTIF('Picked Students (raw)'!$B$2:$B$824,$C51),COUNTIFS('Picked Students (raw)'!$B$2:$B$824,$C51,'Picked Students (raw)'!$D$2:$D$824,$D51)))</f>
        <v/>
      </c>
      <c r="I51" s="3">
        <f>IF($A51="","",IF($E51="","",IF(TODAY()&lt;$E51+30,"-",IF($D51="",SUMPRODUCT(('Picked Students (raw)'!$B$2:$B$824=$C51)*('Picked Students (raw)'!$C$2:$C$824&lt;&gt;"")*(('Picked Students (raw)'!$C$2:$C$824-$E51)&lt;30)),SUMPRODUCT(('Picked Students (raw)'!$B$2:$B$824=$C51)*('Picked Students (raw)'!$D$2:$D$824=$D51)*('Picked Students (raw)'!$C$2:$C$824&lt;&gt;"")*(('Picked Students (raw)'!$C$2:$C$824-$E51)&lt;30))))))</f>
        <v/>
      </c>
      <c r="J51" s="5">
        <f>IF($A51="","",IF(I51="-","-",IF($G51=0,0,I51/$G51)))</f>
        <v/>
      </c>
      <c r="K51" s="3">
        <f>IF($A51="","",IF($E51="","",IF(TODAY()&lt;$E51+60,"-",IF($D51="",SUMPRODUCT(('Picked Students (raw)'!$B$2:$B$824=$C51)*('Picked Students (raw)'!$C$2:$C$824&lt;&gt;"")*(('Picked Students (raw)'!$C$2:$C$824-$E51)&lt;60)),SUMPRODUCT(('Picked Students (raw)'!$B$2:$B$824=$C51)*('Picked Students (raw)'!$D$2:$D$824=$D51)*('Picked Students (raw)'!$C$2:$C$824&lt;&gt;"")*(('Picked Students (raw)'!$C$2:$C$824-$E51)&lt;60))))))</f>
        <v/>
      </c>
      <c r="L51" s="5">
        <f>IF($A51="","",IF(K51="-","-",IF($G51=0,0,K51/$G51)))</f>
        <v/>
      </c>
      <c r="M51" s="3">
        <f>IF($A51="","",IF($E51="","",IF(TODAY()&lt;$E51+90,"-",IF($D51="",SUMPRODUCT(('Picked Students (raw)'!$B$2:$B$824=$C51)*('Picked Students (raw)'!$C$2:$C$824&lt;&gt;"")*(('Picked Students (raw)'!$C$2:$C$824-$E51)&lt;90)),SUMPRODUCT(('Picked Students (raw)'!$B$2:$B$824=$C51)*('Picked Students (raw)'!$D$2:$D$824=$D51)*('Picked Students (raw)'!$C$2:$C$824&lt;&gt;"")*(('Picked Students (raw)'!$C$2:$C$824-$E51)&lt;90))))))</f>
        <v/>
      </c>
      <c r="N51" s="5">
        <f>IF($A51="","",IF(M51="-","-",IF($G51=0,0,M51/$G51)))</f>
        <v/>
      </c>
      <c r="O51" s="3">
        <f>IF($A51="","",IF($E51="","",IF(TODAY()&lt;$E51+120,"-",IF($D51="",SUMPRODUCT(('Picked Students (raw)'!$B$2:$B$824=$C51)*('Picked Students (raw)'!$C$2:$C$824&lt;&gt;"")*(('Picked Students (raw)'!$C$2:$C$824-$E51)&lt;120)),SUMPRODUCT(('Picked Students (raw)'!$B$2:$B$824=$C51)*('Picked Students (raw)'!$D$2:$D$824=$D51)*('Picked Students (raw)'!$C$2:$C$824&lt;&gt;"")*(('Picked Students (raw)'!$C$2:$C$824-$E51)&lt;120))))))</f>
        <v/>
      </c>
      <c r="P51" s="5">
        <f>IF($A51="","",IF(O51="-","-",IF($G51=0,0,O51/$G51)))</f>
        <v/>
      </c>
      <c r="Q51" s="3">
        <f>IF($A51="","",IF($E51="","",IF(TODAY()&lt;$E51+150,"-",IF($D51="",SUMPRODUCT(('Picked Students (raw)'!$B$2:$B$824=$C51)*('Picked Students (raw)'!$C$2:$C$824&lt;&gt;"")*(('Picked Students (raw)'!$C$2:$C$824-$E51)&lt;150)),SUMPRODUCT(('Picked Students (raw)'!$B$2:$B$824=$C51)*('Picked Students (raw)'!$D$2:$D$824=$D51)*('Picked Students (raw)'!$C$2:$C$824&lt;&gt;"")*(('Picked Students (raw)'!$C$2:$C$824-$E51)&lt;150))))))</f>
        <v/>
      </c>
      <c r="R51" s="5">
        <f>IF($A51="","",IF(Q51="-","-",IF($G51=0,0,Q51/$G51)))</f>
        <v/>
      </c>
      <c r="S51" s="3">
        <f>IF($A51="","",IF($E51="","",IF(TODAY()&lt;$E51+180,"-",IF($D51="",SUMPRODUCT(('Picked Students (raw)'!$B$2:$B$824=$C51)*('Picked Students (raw)'!$C$2:$C$824&lt;&gt;"")*(('Picked Students (raw)'!$C$2:$C$824-$E51)&lt;180)),SUMPRODUCT(('Picked Students (raw)'!$B$2:$B$824=$C51)*('Picked Students (raw)'!$D$2:$D$824=$D51)*('Picked Students (raw)'!$C$2:$C$824&lt;&gt;"")*(('Picked Students (raw)'!$C$2:$C$824-$E51)&lt;180))))))</f>
        <v/>
      </c>
      <c r="T51" s="5">
        <f>IF($A51="","",IF(S51="-","-",IF($G51=0,0,S51/$G51)))</f>
        <v/>
      </c>
      <c r="U51" s="3">
        <f>IF($A51="","",IF($E51="","",IF(TODAY()&lt;$E51+210,"-",IF($D51="",SUMPRODUCT(('Picked Students (raw)'!$B$2:$B$824=$C51)*('Picked Students (raw)'!$C$2:$C$824&lt;&gt;"")*(('Picked Students (raw)'!$C$2:$C$824-$E51)&lt;210)),SUMPRODUCT(('Picked Students (raw)'!$B$2:$B$824=$C51)*('Picked Students (raw)'!$D$2:$D$824=$D51)*('Picked Students (raw)'!$C$2:$C$824&lt;&gt;"")*(('Picked Students (raw)'!$C$2:$C$824-$E51)&lt;210))))))</f>
        <v/>
      </c>
      <c r="V51" s="5">
        <f>IF($A51="","",IF(U51="-","-",IF($G51=0,0,U51/$G51)))</f>
        <v/>
      </c>
      <c r="W51" s="3">
        <f>IF($A51="","",IF($E51="","",IF(TODAY()&lt;$E51+240,"-",IF($D51="",SUMPRODUCT(('Picked Students (raw)'!$B$2:$B$824=$C51)*('Picked Students (raw)'!$C$2:$C$824&lt;&gt;"")*(('Picked Students (raw)'!$C$2:$C$824-$E51)&lt;240)),SUMPRODUCT(('Picked Students (raw)'!$B$2:$B$824=$C51)*('Picked Students (raw)'!$D$2:$D$824=$D51)*('Picked Students (raw)'!$C$2:$C$824&lt;&gt;"")*(('Picked Students (raw)'!$C$2:$C$824-$E51)&lt;240))))))</f>
        <v/>
      </c>
      <c r="X51" s="5">
        <f>IF($A51="","",IF(W51="-","-",IF($G51=0,0,W51/$G51)))</f>
        <v/>
      </c>
      <c r="Y51" s="3">
        <f>IF($A51="","",IF($E51="","",IF(TODAY()&lt;$E51+270,"-",IF($D51="",SUMPRODUCT(('Picked Students (raw)'!$B$2:$B$824=$C51)*('Picked Students (raw)'!$C$2:$C$824&lt;&gt;"")*(('Picked Students (raw)'!$C$2:$C$824-$E51)&lt;270)),SUMPRODUCT(('Picked Students (raw)'!$B$2:$B$824=$C51)*('Picked Students (raw)'!$D$2:$D$824=$D51)*('Picked Students (raw)'!$C$2:$C$824&lt;&gt;"")*(('Picked Students (raw)'!$C$2:$C$824-$E51)&lt;270))))))</f>
        <v/>
      </c>
      <c r="Z51" s="5">
        <f>IF($A51="","",IF(Y51="-","-",IF($G51=0,0,Y51/$G51)))</f>
        <v/>
      </c>
      <c r="AA51" s="3">
        <f>IF($A51="","",IF($E51="","",IF(TODAY()&lt;$E51+300,"-",IF($D51="",SUMPRODUCT(('Picked Students (raw)'!$B$2:$B$824=$C51)*('Picked Students (raw)'!$C$2:$C$824&lt;&gt;"")*(('Picked Students (raw)'!$C$2:$C$824-$E51)&lt;300)),SUMPRODUCT(('Picked Students (raw)'!$B$2:$B$824=$C51)*('Picked Students (raw)'!$D$2:$D$824=$D51)*('Picked Students (raw)'!$C$2:$C$824&lt;&gt;"")*(('Picked Students (raw)'!$C$2:$C$824-$E51)&lt;300))))))</f>
        <v/>
      </c>
      <c r="AB51" s="5">
        <f>IF($A51="","",IF(AA51="-","-",IF($G51=0,0,AA51/$G51)))</f>
        <v/>
      </c>
      <c r="AC51" s="3">
        <f>IF($A51="","",IF($E51="","",IF(TODAY()&lt;$E51+330,"-",IF($D51="",SUMPRODUCT(('Picked Students (raw)'!$B$2:$B$824=$C51)*('Picked Students (raw)'!$C$2:$C$824&lt;&gt;"")*(('Picked Students (raw)'!$C$2:$C$824-$E51)&lt;330)),SUMPRODUCT(('Picked Students (raw)'!$B$2:$B$824=$C51)*('Picked Students (raw)'!$D$2:$D$824=$D51)*('Picked Students (raw)'!$C$2:$C$824&lt;&gt;"")*(('Picked Students (raw)'!$C$2:$C$824-$E51)&lt;330))))))</f>
        <v/>
      </c>
      <c r="AD51" s="5">
        <f>IF($A51="","",IF(AC51="-","-",IF($G51=0,0,AC51/$G51)))</f>
        <v/>
      </c>
      <c r="AE51" s="3">
        <f>IF($A51="","",IF($E51="","",IF(TODAY()&lt;$E51+360,"-",IF($D51="",SUMPRODUCT(('Picked Students (raw)'!$B$2:$B$824=$C51)*('Picked Students (raw)'!$C$2:$C$824&lt;&gt;"")*(('Picked Students (raw)'!$C$2:$C$824-$E51)&lt;360)),SUMPRODUCT(('Picked Students (raw)'!$B$2:$B$824=$C51)*('Picked Students (raw)'!$D$2:$D$824=$D51)*('Picked Students (raw)'!$C$2:$C$824&lt;&gt;"")*(('Picked Students (raw)'!$C$2:$C$824-$E51)&lt;360))))))</f>
        <v/>
      </c>
      <c r="AF51" s="5">
        <f>IF($A51="","",IF(AE51="-","-",IF($G51=0,0,AE51/$G51)))</f>
        <v/>
      </c>
      <c r="AG51" s="3">
        <f>IF($A51="","",IF($E51="","",IF(TODAY()&lt;$E51+390,"-",IF($D51="",SUMPRODUCT(('Picked Students (raw)'!$B$2:$B$824=$C51)*('Picked Students (raw)'!$C$2:$C$824&lt;&gt;"")*(('Picked Students (raw)'!$C$2:$C$824-$E51)&lt;390)),SUMPRODUCT(('Picked Students (raw)'!$B$2:$B$824=$C51)*('Picked Students (raw)'!$D$2:$D$824=$D51)*('Picked Students (raw)'!$C$2:$C$824&lt;&gt;"")*(('Picked Students (raw)'!$C$2:$C$824-$E51)&lt;390))))))</f>
        <v/>
      </c>
      <c r="AH51" s="5">
        <f>IF($A51="","",IF(AG51="-","-",IF($G51=0,0,AG51/$G51)))</f>
        <v/>
      </c>
      <c r="AI51" s="3">
        <f>IF($A51="","",IF($E51="","",IF(TODAY()&lt;$E51+420,"-",IF($D51="",SUMPRODUCT(('Picked Students (raw)'!$B$2:$B$824=$C51)*('Picked Students (raw)'!$C$2:$C$824&lt;&gt;"")*(('Picked Students (raw)'!$C$2:$C$824-$E51)&lt;420)),SUMPRODUCT(('Picked Students (raw)'!$B$2:$B$824=$C51)*('Picked Students (raw)'!$D$2:$D$824=$D51)*('Picked Students (raw)'!$C$2:$C$824&lt;&gt;"")*(('Picked Students (raw)'!$C$2:$C$824-$E51)&lt;420))))))</f>
        <v/>
      </c>
      <c r="AJ51" s="5">
        <f>IF($A51="","",IF(AI51="-","-",IF($G51=0,0,AI51/$G51)))</f>
        <v/>
      </c>
      <c r="AK51" s="3">
        <f>IF($A51="","",IF($E51="","",IF(TODAY()&lt;$E51+450,"-",IF($D51="",SUMPRODUCT(('Picked Students (raw)'!$B$2:$B$824=$C51)*('Picked Students (raw)'!$C$2:$C$824&lt;&gt;"")*(('Picked Students (raw)'!$C$2:$C$824-$E51)&lt;450)),SUMPRODUCT(('Picked Students (raw)'!$B$2:$B$824=$C51)*('Picked Students (raw)'!$D$2:$D$824=$D51)*('Picked Students (raw)'!$C$2:$C$824&lt;&gt;"")*(('Picked Students (raw)'!$C$2:$C$824-$E51)&lt;450))))))</f>
        <v/>
      </c>
      <c r="AL51" s="5">
        <f>IF($A51="","",IF(AK51="-","-",IF($G51=0,0,AK51/$G51)))</f>
        <v/>
      </c>
      <c r="AM51" s="3">
        <f>IF($A51="","",IF($E51="","",IF(TODAY()&lt;$E51+480,"-",IF($D51="",SUMPRODUCT(('Picked Students (raw)'!$B$2:$B$824=$C51)*('Picked Students (raw)'!$C$2:$C$824&lt;&gt;"")*(('Picked Students (raw)'!$C$2:$C$824-$E51)&lt;480)),SUMPRODUCT(('Picked Students (raw)'!$B$2:$B$824=$C51)*('Picked Students (raw)'!$D$2:$D$824=$D51)*('Picked Students (raw)'!$C$2:$C$824&lt;&gt;"")*(('Picked Students (raw)'!$C$2:$C$824-$E51)&lt;480))))))</f>
        <v/>
      </c>
      <c r="AN51" s="5">
        <f>IF($A51="","",IF(AM51="-","-",IF($G51=0,0,AM51/$G51)))</f>
        <v/>
      </c>
      <c r="AO51" s="3">
        <f>IF($A51="","",IF($E51="","",IF(TODAY()&lt;$E51+510,"-",IF($D51="",SUMPRODUCT(('Picked Students (raw)'!$B$2:$B$824=$C51)*('Picked Students (raw)'!$C$2:$C$824&lt;&gt;"")*(('Picked Students (raw)'!$C$2:$C$824-$E51)&lt;510)),SUMPRODUCT(('Picked Students (raw)'!$B$2:$B$824=$C51)*('Picked Students (raw)'!$D$2:$D$824=$D51)*('Picked Students (raw)'!$C$2:$C$824&lt;&gt;"")*(('Picked Students (raw)'!$C$2:$C$824-$E51)&lt;510))))))</f>
        <v/>
      </c>
      <c r="AP51" s="5">
        <f>IF($A51="","",IF(AO51="-","-",IF($G51=0,0,AO51/$G51)))</f>
        <v/>
      </c>
      <c r="AQ51" s="3">
        <f>IF($A51="","",IF($E51="","",IF(TODAY()&lt;$E51+540,"-",IF($D51="",SUMPRODUCT(('Picked Students (raw)'!$B$2:$B$824=$C51)*('Picked Students (raw)'!$C$2:$C$824&lt;&gt;"")*(('Picked Students (raw)'!$C$2:$C$824-$E51)&lt;540)),SUMPRODUCT(('Picked Students (raw)'!$B$2:$B$824=$C51)*('Picked Students (raw)'!$D$2:$D$824=$D51)*('Picked Students (raw)'!$C$2:$C$824&lt;&gt;"")*(('Picked Students (raw)'!$C$2:$C$824-$E51)&lt;540))))))</f>
        <v/>
      </c>
      <c r="AR51" s="5">
        <f>IF($A51="","",IF(AQ51="-","-",IF($G51=0,0,AQ51/$G51)))</f>
        <v/>
      </c>
      <c r="AS51" s="3">
        <f>IF($A51="","",IF(AQ51="-","-",$H51-AQ51))</f>
        <v/>
      </c>
    </row>
    <row r="52">
      <c r="A52" s="3" t="n"/>
      <c r="B52" s="3">
        <f>IF($A52="","",IFERROR(IF(INDEX('Batch Enrollment (Metabase)'!$C$2:$C$47,MATCH($A52,'Batch Enrollment (Metabase)'!$A$2:$A$47,0))="GEM","A",IF(INDEX('Batch Enrollment (Metabase)'!$C$2:$C$47,MATCH($A52,'Batch Enrollment (Metabase)'!$A$2:$A$47,0))="Non-GEM","B","")),""))</f>
        <v/>
      </c>
      <c r="C52" s="3">
        <f>IF($A52="","",IFERROR(INDEX('Batch Enrollment (Metabase)'!$B$2:$B$47,MATCH($A52,'Batch Enrollment (Metabase)'!$A$2:$A$47,0)),""))</f>
        <v/>
      </c>
      <c r="D52" s="3">
        <f>IF($A52="","",IFERROR(INDEX('Batch Enrollment (Metabase)'!$C$2:$C$47,MATCH($A52,'Batch Enrollment (Metabase)'!$A$2:$A$47,0)),""))</f>
        <v/>
      </c>
      <c r="E52" s="4">
        <f>IF($A52="","",IFERROR(INDEX('Batch Enrollment (Metabase)'!$D$2:$D$47,MATCH($A52,'Batch Enrollment (Metabase)'!$A$2:$A$47,0)),""))</f>
        <v/>
      </c>
      <c r="F52" s="3">
        <f>IF($A52="","",IFERROR(INDEX('Batch Enrollment (Metabase)'!$E$2:$E$47,MATCH($A52,'Batch Enrollment (Metabase)'!$A$2:$A$47,0)),""))</f>
        <v/>
      </c>
      <c r="G52" s="3">
        <f>IF($A52="","",IFERROR(INDEX('Batch Enrollment (Metabase)'!$F$2:$F$47,MATCH($A52,'Batch Enrollment (Metabase)'!$A$2:$A$47,0)),""))</f>
        <v/>
      </c>
      <c r="H52" s="3">
        <f>IF($A52="","",IF($D52="",COUNTIF('Picked Students (raw)'!$B$2:$B$824,$C52),COUNTIFS('Picked Students (raw)'!$B$2:$B$824,$C52,'Picked Students (raw)'!$D$2:$D$824,$D52)))</f>
        <v/>
      </c>
      <c r="I52" s="3">
        <f>IF($A52="","",IF($E52="","",IF(TODAY()&lt;$E52+30,"-",IF($D52="",SUMPRODUCT(('Picked Students (raw)'!$B$2:$B$824=$C52)*('Picked Students (raw)'!$C$2:$C$824&lt;&gt;"")*(('Picked Students (raw)'!$C$2:$C$824-$E52)&lt;30)),SUMPRODUCT(('Picked Students (raw)'!$B$2:$B$824=$C52)*('Picked Students (raw)'!$D$2:$D$824=$D52)*('Picked Students (raw)'!$C$2:$C$824&lt;&gt;"")*(('Picked Students (raw)'!$C$2:$C$824-$E52)&lt;30))))))</f>
        <v/>
      </c>
      <c r="J52" s="5">
        <f>IF($A52="","",IF(I52="-","-",IF($G52=0,0,I52/$G52)))</f>
        <v/>
      </c>
      <c r="K52" s="3">
        <f>IF($A52="","",IF($E52="","",IF(TODAY()&lt;$E52+60,"-",IF($D52="",SUMPRODUCT(('Picked Students (raw)'!$B$2:$B$824=$C52)*('Picked Students (raw)'!$C$2:$C$824&lt;&gt;"")*(('Picked Students (raw)'!$C$2:$C$824-$E52)&lt;60)),SUMPRODUCT(('Picked Students (raw)'!$B$2:$B$824=$C52)*('Picked Students (raw)'!$D$2:$D$824=$D52)*('Picked Students (raw)'!$C$2:$C$824&lt;&gt;"")*(('Picked Students (raw)'!$C$2:$C$824-$E52)&lt;60))))))</f>
        <v/>
      </c>
      <c r="L52" s="5">
        <f>IF($A52="","",IF(K52="-","-",IF($G52=0,0,K52/$G52)))</f>
        <v/>
      </c>
      <c r="M52" s="3">
        <f>IF($A52="","",IF($E52="","",IF(TODAY()&lt;$E52+90,"-",IF($D52="",SUMPRODUCT(('Picked Students (raw)'!$B$2:$B$824=$C52)*('Picked Students (raw)'!$C$2:$C$824&lt;&gt;"")*(('Picked Students (raw)'!$C$2:$C$824-$E52)&lt;90)),SUMPRODUCT(('Picked Students (raw)'!$B$2:$B$824=$C52)*('Picked Students (raw)'!$D$2:$D$824=$D52)*('Picked Students (raw)'!$C$2:$C$824&lt;&gt;"")*(('Picked Students (raw)'!$C$2:$C$824-$E52)&lt;90))))))</f>
        <v/>
      </c>
      <c r="N52" s="5">
        <f>IF($A52="","",IF(M52="-","-",IF($G52=0,0,M52/$G52)))</f>
        <v/>
      </c>
      <c r="O52" s="3">
        <f>IF($A52="","",IF($E52="","",IF(TODAY()&lt;$E52+120,"-",IF($D52="",SUMPRODUCT(('Picked Students (raw)'!$B$2:$B$824=$C52)*('Picked Students (raw)'!$C$2:$C$824&lt;&gt;"")*(('Picked Students (raw)'!$C$2:$C$824-$E52)&lt;120)),SUMPRODUCT(('Picked Students (raw)'!$B$2:$B$824=$C52)*('Picked Students (raw)'!$D$2:$D$824=$D52)*('Picked Students (raw)'!$C$2:$C$824&lt;&gt;"")*(('Picked Students (raw)'!$C$2:$C$824-$E52)&lt;120))))))</f>
        <v/>
      </c>
      <c r="P52" s="5">
        <f>IF($A52="","",IF(O52="-","-",IF($G52=0,0,O52/$G52)))</f>
        <v/>
      </c>
      <c r="Q52" s="3">
        <f>IF($A52="","",IF($E52="","",IF(TODAY()&lt;$E52+150,"-",IF($D52="",SUMPRODUCT(('Picked Students (raw)'!$B$2:$B$824=$C52)*('Picked Students (raw)'!$C$2:$C$824&lt;&gt;"")*(('Picked Students (raw)'!$C$2:$C$824-$E52)&lt;150)),SUMPRODUCT(('Picked Students (raw)'!$B$2:$B$824=$C52)*('Picked Students (raw)'!$D$2:$D$824=$D52)*('Picked Students (raw)'!$C$2:$C$824&lt;&gt;"")*(('Picked Students (raw)'!$C$2:$C$824-$E52)&lt;150))))))</f>
        <v/>
      </c>
      <c r="R52" s="5">
        <f>IF($A52="","",IF(Q52="-","-",IF($G52=0,0,Q52/$G52)))</f>
        <v/>
      </c>
      <c r="S52" s="3">
        <f>IF($A52="","",IF($E52="","",IF(TODAY()&lt;$E52+180,"-",IF($D52="",SUMPRODUCT(('Picked Students (raw)'!$B$2:$B$824=$C52)*('Picked Students (raw)'!$C$2:$C$824&lt;&gt;"")*(('Picked Students (raw)'!$C$2:$C$824-$E52)&lt;180)),SUMPRODUCT(('Picked Students (raw)'!$B$2:$B$824=$C52)*('Picked Students (raw)'!$D$2:$D$824=$D52)*('Picked Students (raw)'!$C$2:$C$824&lt;&gt;"")*(('Picked Students (raw)'!$C$2:$C$824-$E52)&lt;180))))))</f>
        <v/>
      </c>
      <c r="T52" s="5">
        <f>IF($A52="","",IF(S52="-","-",IF($G52=0,0,S52/$G52)))</f>
        <v/>
      </c>
      <c r="U52" s="3">
        <f>IF($A52="","",IF($E52="","",IF(TODAY()&lt;$E52+210,"-",IF($D52="",SUMPRODUCT(('Picked Students (raw)'!$B$2:$B$824=$C52)*('Picked Students (raw)'!$C$2:$C$824&lt;&gt;"")*(('Picked Students (raw)'!$C$2:$C$824-$E52)&lt;210)),SUMPRODUCT(('Picked Students (raw)'!$B$2:$B$824=$C52)*('Picked Students (raw)'!$D$2:$D$824=$D52)*('Picked Students (raw)'!$C$2:$C$824&lt;&gt;"")*(('Picked Students (raw)'!$C$2:$C$824-$E52)&lt;210))))))</f>
        <v/>
      </c>
      <c r="V52" s="5">
        <f>IF($A52="","",IF(U52="-","-",IF($G52=0,0,U52/$G52)))</f>
        <v/>
      </c>
      <c r="W52" s="3">
        <f>IF($A52="","",IF($E52="","",IF(TODAY()&lt;$E52+240,"-",IF($D52="",SUMPRODUCT(('Picked Students (raw)'!$B$2:$B$824=$C52)*('Picked Students (raw)'!$C$2:$C$824&lt;&gt;"")*(('Picked Students (raw)'!$C$2:$C$824-$E52)&lt;240)),SUMPRODUCT(('Picked Students (raw)'!$B$2:$B$824=$C52)*('Picked Students (raw)'!$D$2:$D$824=$D52)*('Picked Students (raw)'!$C$2:$C$824&lt;&gt;"")*(('Picked Students (raw)'!$C$2:$C$824-$E52)&lt;240))))))</f>
        <v/>
      </c>
      <c r="X52" s="5">
        <f>IF($A52="","",IF(W52="-","-",IF($G52=0,0,W52/$G52)))</f>
        <v/>
      </c>
      <c r="Y52" s="3">
        <f>IF($A52="","",IF($E52="","",IF(TODAY()&lt;$E52+270,"-",IF($D52="",SUMPRODUCT(('Picked Students (raw)'!$B$2:$B$824=$C52)*('Picked Students (raw)'!$C$2:$C$824&lt;&gt;"")*(('Picked Students (raw)'!$C$2:$C$824-$E52)&lt;270)),SUMPRODUCT(('Picked Students (raw)'!$B$2:$B$824=$C52)*('Picked Students (raw)'!$D$2:$D$824=$D52)*('Picked Students (raw)'!$C$2:$C$824&lt;&gt;"")*(('Picked Students (raw)'!$C$2:$C$824-$E52)&lt;270))))))</f>
        <v/>
      </c>
      <c r="Z52" s="5">
        <f>IF($A52="","",IF(Y52="-","-",IF($G52=0,0,Y52/$G52)))</f>
        <v/>
      </c>
      <c r="AA52" s="3">
        <f>IF($A52="","",IF($E52="","",IF(TODAY()&lt;$E52+300,"-",IF($D52="",SUMPRODUCT(('Picked Students (raw)'!$B$2:$B$824=$C52)*('Picked Students (raw)'!$C$2:$C$824&lt;&gt;"")*(('Picked Students (raw)'!$C$2:$C$824-$E52)&lt;300)),SUMPRODUCT(('Picked Students (raw)'!$B$2:$B$824=$C52)*('Picked Students (raw)'!$D$2:$D$824=$D52)*('Picked Students (raw)'!$C$2:$C$824&lt;&gt;"")*(('Picked Students (raw)'!$C$2:$C$824-$E52)&lt;300))))))</f>
        <v/>
      </c>
      <c r="AB52" s="5">
        <f>IF($A52="","",IF(AA52="-","-",IF($G52=0,0,AA52/$G52)))</f>
        <v/>
      </c>
      <c r="AC52" s="3">
        <f>IF($A52="","",IF($E52="","",IF(TODAY()&lt;$E52+330,"-",IF($D52="",SUMPRODUCT(('Picked Students (raw)'!$B$2:$B$824=$C52)*('Picked Students (raw)'!$C$2:$C$824&lt;&gt;"")*(('Picked Students (raw)'!$C$2:$C$824-$E52)&lt;330)),SUMPRODUCT(('Picked Students (raw)'!$B$2:$B$824=$C52)*('Picked Students (raw)'!$D$2:$D$824=$D52)*('Picked Students (raw)'!$C$2:$C$824&lt;&gt;"")*(('Picked Students (raw)'!$C$2:$C$824-$E52)&lt;330))))))</f>
        <v/>
      </c>
      <c r="AD52" s="5">
        <f>IF($A52="","",IF(AC52="-","-",IF($G52=0,0,AC52/$G52)))</f>
        <v/>
      </c>
      <c r="AE52" s="3">
        <f>IF($A52="","",IF($E52="","",IF(TODAY()&lt;$E52+360,"-",IF($D52="",SUMPRODUCT(('Picked Students (raw)'!$B$2:$B$824=$C52)*('Picked Students (raw)'!$C$2:$C$824&lt;&gt;"")*(('Picked Students (raw)'!$C$2:$C$824-$E52)&lt;360)),SUMPRODUCT(('Picked Students (raw)'!$B$2:$B$824=$C52)*('Picked Students (raw)'!$D$2:$D$824=$D52)*('Picked Students (raw)'!$C$2:$C$824&lt;&gt;"")*(('Picked Students (raw)'!$C$2:$C$824-$E52)&lt;360))))))</f>
        <v/>
      </c>
      <c r="AF52" s="5">
        <f>IF($A52="","",IF(AE52="-","-",IF($G52=0,0,AE52/$G52)))</f>
        <v/>
      </c>
      <c r="AG52" s="3">
        <f>IF($A52="","",IF($E52="","",IF(TODAY()&lt;$E52+390,"-",IF($D52="",SUMPRODUCT(('Picked Students (raw)'!$B$2:$B$824=$C52)*('Picked Students (raw)'!$C$2:$C$824&lt;&gt;"")*(('Picked Students (raw)'!$C$2:$C$824-$E52)&lt;390)),SUMPRODUCT(('Picked Students (raw)'!$B$2:$B$824=$C52)*('Picked Students (raw)'!$D$2:$D$824=$D52)*('Picked Students (raw)'!$C$2:$C$824&lt;&gt;"")*(('Picked Students (raw)'!$C$2:$C$824-$E52)&lt;390))))))</f>
        <v/>
      </c>
      <c r="AH52" s="5">
        <f>IF($A52="","",IF(AG52="-","-",IF($G52=0,0,AG52/$G52)))</f>
        <v/>
      </c>
      <c r="AI52" s="3">
        <f>IF($A52="","",IF($E52="","",IF(TODAY()&lt;$E52+420,"-",IF($D52="",SUMPRODUCT(('Picked Students (raw)'!$B$2:$B$824=$C52)*('Picked Students (raw)'!$C$2:$C$824&lt;&gt;"")*(('Picked Students (raw)'!$C$2:$C$824-$E52)&lt;420)),SUMPRODUCT(('Picked Students (raw)'!$B$2:$B$824=$C52)*('Picked Students (raw)'!$D$2:$D$824=$D52)*('Picked Students (raw)'!$C$2:$C$824&lt;&gt;"")*(('Picked Students (raw)'!$C$2:$C$824-$E52)&lt;420))))))</f>
        <v/>
      </c>
      <c r="AJ52" s="5">
        <f>IF($A52="","",IF(AI52="-","-",IF($G52=0,0,AI52/$G52)))</f>
        <v/>
      </c>
      <c r="AK52" s="3">
        <f>IF($A52="","",IF($E52="","",IF(TODAY()&lt;$E52+450,"-",IF($D52="",SUMPRODUCT(('Picked Students (raw)'!$B$2:$B$824=$C52)*('Picked Students (raw)'!$C$2:$C$824&lt;&gt;"")*(('Picked Students (raw)'!$C$2:$C$824-$E52)&lt;450)),SUMPRODUCT(('Picked Students (raw)'!$B$2:$B$824=$C52)*('Picked Students (raw)'!$D$2:$D$824=$D52)*('Picked Students (raw)'!$C$2:$C$824&lt;&gt;"")*(('Picked Students (raw)'!$C$2:$C$824-$E52)&lt;450))))))</f>
        <v/>
      </c>
      <c r="AL52" s="5">
        <f>IF($A52="","",IF(AK52="-","-",IF($G52=0,0,AK52/$G52)))</f>
        <v/>
      </c>
      <c r="AM52" s="3">
        <f>IF($A52="","",IF($E52="","",IF(TODAY()&lt;$E52+480,"-",IF($D52="",SUMPRODUCT(('Picked Students (raw)'!$B$2:$B$824=$C52)*('Picked Students (raw)'!$C$2:$C$824&lt;&gt;"")*(('Picked Students (raw)'!$C$2:$C$824-$E52)&lt;480)),SUMPRODUCT(('Picked Students (raw)'!$B$2:$B$824=$C52)*('Picked Students (raw)'!$D$2:$D$824=$D52)*('Picked Students (raw)'!$C$2:$C$824&lt;&gt;"")*(('Picked Students (raw)'!$C$2:$C$824-$E52)&lt;480))))))</f>
        <v/>
      </c>
      <c r="AN52" s="5">
        <f>IF($A52="","",IF(AM52="-","-",IF($G52=0,0,AM52/$G52)))</f>
        <v/>
      </c>
      <c r="AO52" s="3">
        <f>IF($A52="","",IF($E52="","",IF(TODAY()&lt;$E52+510,"-",IF($D52="",SUMPRODUCT(('Picked Students (raw)'!$B$2:$B$824=$C52)*('Picked Students (raw)'!$C$2:$C$824&lt;&gt;"")*(('Picked Students (raw)'!$C$2:$C$824-$E52)&lt;510)),SUMPRODUCT(('Picked Students (raw)'!$B$2:$B$824=$C52)*('Picked Students (raw)'!$D$2:$D$824=$D52)*('Picked Students (raw)'!$C$2:$C$824&lt;&gt;"")*(('Picked Students (raw)'!$C$2:$C$824-$E52)&lt;510))))))</f>
        <v/>
      </c>
      <c r="AP52" s="5">
        <f>IF($A52="","",IF(AO52="-","-",IF($G52=0,0,AO52/$G52)))</f>
        <v/>
      </c>
      <c r="AQ52" s="3">
        <f>IF($A52="","",IF($E52="","",IF(TODAY()&lt;$E52+540,"-",IF($D52="",SUMPRODUCT(('Picked Students (raw)'!$B$2:$B$824=$C52)*('Picked Students (raw)'!$C$2:$C$824&lt;&gt;"")*(('Picked Students (raw)'!$C$2:$C$824-$E52)&lt;540)),SUMPRODUCT(('Picked Students (raw)'!$B$2:$B$824=$C52)*('Picked Students (raw)'!$D$2:$D$824=$D52)*('Picked Students (raw)'!$C$2:$C$824&lt;&gt;"")*(('Picked Students (raw)'!$C$2:$C$824-$E52)&lt;540))))))</f>
        <v/>
      </c>
      <c r="AR52" s="5">
        <f>IF($A52="","",IF(AQ52="-","-",IF($G52=0,0,AQ52/$G52)))</f>
        <v/>
      </c>
      <c r="AS52" s="3">
        <f>IF($A52="","",IF(AQ52="-","-",$H52-AQ52))</f>
        <v/>
      </c>
    </row>
    <row r="53">
      <c r="A53" s="3" t="n"/>
      <c r="B53" s="3">
        <f>IF($A53="","",IFERROR(IF(INDEX('Batch Enrollment (Metabase)'!$C$2:$C$47,MATCH($A53,'Batch Enrollment (Metabase)'!$A$2:$A$47,0))="GEM","A",IF(INDEX('Batch Enrollment (Metabase)'!$C$2:$C$47,MATCH($A53,'Batch Enrollment (Metabase)'!$A$2:$A$47,0))="Non-GEM","B","")),""))</f>
        <v/>
      </c>
      <c r="C53" s="3">
        <f>IF($A53="","",IFERROR(INDEX('Batch Enrollment (Metabase)'!$B$2:$B$47,MATCH($A53,'Batch Enrollment (Metabase)'!$A$2:$A$47,0)),""))</f>
        <v/>
      </c>
      <c r="D53" s="3">
        <f>IF($A53="","",IFERROR(INDEX('Batch Enrollment (Metabase)'!$C$2:$C$47,MATCH($A53,'Batch Enrollment (Metabase)'!$A$2:$A$47,0)),""))</f>
        <v/>
      </c>
      <c r="E53" s="4">
        <f>IF($A53="","",IFERROR(INDEX('Batch Enrollment (Metabase)'!$D$2:$D$47,MATCH($A53,'Batch Enrollment (Metabase)'!$A$2:$A$47,0)),""))</f>
        <v/>
      </c>
      <c r="F53" s="3">
        <f>IF($A53="","",IFERROR(INDEX('Batch Enrollment (Metabase)'!$E$2:$E$47,MATCH($A53,'Batch Enrollment (Metabase)'!$A$2:$A$47,0)),""))</f>
        <v/>
      </c>
      <c r="G53" s="3">
        <f>IF($A53="","",IFERROR(INDEX('Batch Enrollment (Metabase)'!$F$2:$F$47,MATCH($A53,'Batch Enrollment (Metabase)'!$A$2:$A$47,0)),""))</f>
        <v/>
      </c>
      <c r="H53" s="3">
        <f>IF($A53="","",IF($D53="",COUNTIF('Picked Students (raw)'!$B$2:$B$824,$C53),COUNTIFS('Picked Students (raw)'!$B$2:$B$824,$C53,'Picked Students (raw)'!$D$2:$D$824,$D53)))</f>
        <v/>
      </c>
      <c r="I53" s="3">
        <f>IF($A53="","",IF($E53="","",IF(TODAY()&lt;$E53+30,"-",IF($D53="",SUMPRODUCT(('Picked Students (raw)'!$B$2:$B$824=$C53)*('Picked Students (raw)'!$C$2:$C$824&lt;&gt;"")*(('Picked Students (raw)'!$C$2:$C$824-$E53)&lt;30)),SUMPRODUCT(('Picked Students (raw)'!$B$2:$B$824=$C53)*('Picked Students (raw)'!$D$2:$D$824=$D53)*('Picked Students (raw)'!$C$2:$C$824&lt;&gt;"")*(('Picked Students (raw)'!$C$2:$C$824-$E53)&lt;30))))))</f>
        <v/>
      </c>
      <c r="J53" s="5">
        <f>IF($A53="","",IF(I53="-","-",IF($G53=0,0,I53/$G53)))</f>
        <v/>
      </c>
      <c r="K53" s="3">
        <f>IF($A53="","",IF($E53="","",IF(TODAY()&lt;$E53+60,"-",IF($D53="",SUMPRODUCT(('Picked Students (raw)'!$B$2:$B$824=$C53)*('Picked Students (raw)'!$C$2:$C$824&lt;&gt;"")*(('Picked Students (raw)'!$C$2:$C$824-$E53)&lt;60)),SUMPRODUCT(('Picked Students (raw)'!$B$2:$B$824=$C53)*('Picked Students (raw)'!$D$2:$D$824=$D53)*('Picked Students (raw)'!$C$2:$C$824&lt;&gt;"")*(('Picked Students (raw)'!$C$2:$C$824-$E53)&lt;60))))))</f>
        <v/>
      </c>
      <c r="L53" s="5">
        <f>IF($A53="","",IF(K53="-","-",IF($G53=0,0,K53/$G53)))</f>
        <v/>
      </c>
      <c r="M53" s="3">
        <f>IF($A53="","",IF($E53="","",IF(TODAY()&lt;$E53+90,"-",IF($D53="",SUMPRODUCT(('Picked Students (raw)'!$B$2:$B$824=$C53)*('Picked Students (raw)'!$C$2:$C$824&lt;&gt;"")*(('Picked Students (raw)'!$C$2:$C$824-$E53)&lt;90)),SUMPRODUCT(('Picked Students (raw)'!$B$2:$B$824=$C53)*('Picked Students (raw)'!$D$2:$D$824=$D53)*('Picked Students (raw)'!$C$2:$C$824&lt;&gt;"")*(('Picked Students (raw)'!$C$2:$C$824-$E53)&lt;90))))))</f>
        <v/>
      </c>
      <c r="N53" s="5">
        <f>IF($A53="","",IF(M53="-","-",IF($G53=0,0,M53/$G53)))</f>
        <v/>
      </c>
      <c r="O53" s="3">
        <f>IF($A53="","",IF($E53="","",IF(TODAY()&lt;$E53+120,"-",IF($D53="",SUMPRODUCT(('Picked Students (raw)'!$B$2:$B$824=$C53)*('Picked Students (raw)'!$C$2:$C$824&lt;&gt;"")*(('Picked Students (raw)'!$C$2:$C$824-$E53)&lt;120)),SUMPRODUCT(('Picked Students (raw)'!$B$2:$B$824=$C53)*('Picked Students (raw)'!$D$2:$D$824=$D53)*('Picked Students (raw)'!$C$2:$C$824&lt;&gt;"")*(('Picked Students (raw)'!$C$2:$C$824-$E53)&lt;120))))))</f>
        <v/>
      </c>
      <c r="P53" s="5">
        <f>IF($A53="","",IF(O53="-","-",IF($G53=0,0,O53/$G53)))</f>
        <v/>
      </c>
      <c r="Q53" s="3">
        <f>IF($A53="","",IF($E53="","",IF(TODAY()&lt;$E53+150,"-",IF($D53="",SUMPRODUCT(('Picked Students (raw)'!$B$2:$B$824=$C53)*('Picked Students (raw)'!$C$2:$C$824&lt;&gt;"")*(('Picked Students (raw)'!$C$2:$C$824-$E53)&lt;150)),SUMPRODUCT(('Picked Students (raw)'!$B$2:$B$824=$C53)*('Picked Students (raw)'!$D$2:$D$824=$D53)*('Picked Students (raw)'!$C$2:$C$824&lt;&gt;"")*(('Picked Students (raw)'!$C$2:$C$824-$E53)&lt;150))))))</f>
        <v/>
      </c>
      <c r="R53" s="5">
        <f>IF($A53="","",IF(Q53="-","-",IF($G53=0,0,Q53/$G53)))</f>
        <v/>
      </c>
      <c r="S53" s="3">
        <f>IF($A53="","",IF($E53="","",IF(TODAY()&lt;$E53+180,"-",IF($D53="",SUMPRODUCT(('Picked Students (raw)'!$B$2:$B$824=$C53)*('Picked Students (raw)'!$C$2:$C$824&lt;&gt;"")*(('Picked Students (raw)'!$C$2:$C$824-$E53)&lt;180)),SUMPRODUCT(('Picked Students (raw)'!$B$2:$B$824=$C53)*('Picked Students (raw)'!$D$2:$D$824=$D53)*('Picked Students (raw)'!$C$2:$C$824&lt;&gt;"")*(('Picked Students (raw)'!$C$2:$C$824-$E53)&lt;180))))))</f>
        <v/>
      </c>
      <c r="T53" s="5">
        <f>IF($A53="","",IF(S53="-","-",IF($G53=0,0,S53/$G53)))</f>
        <v/>
      </c>
      <c r="U53" s="3">
        <f>IF($A53="","",IF($E53="","",IF(TODAY()&lt;$E53+210,"-",IF($D53="",SUMPRODUCT(('Picked Students (raw)'!$B$2:$B$824=$C53)*('Picked Students (raw)'!$C$2:$C$824&lt;&gt;"")*(('Picked Students (raw)'!$C$2:$C$824-$E53)&lt;210)),SUMPRODUCT(('Picked Students (raw)'!$B$2:$B$824=$C53)*('Picked Students (raw)'!$D$2:$D$824=$D53)*('Picked Students (raw)'!$C$2:$C$824&lt;&gt;"")*(('Picked Students (raw)'!$C$2:$C$824-$E53)&lt;210))))))</f>
        <v/>
      </c>
      <c r="V53" s="5">
        <f>IF($A53="","",IF(U53="-","-",IF($G53=0,0,U53/$G53)))</f>
        <v/>
      </c>
      <c r="W53" s="3">
        <f>IF($A53="","",IF($E53="","",IF(TODAY()&lt;$E53+240,"-",IF($D53="",SUMPRODUCT(('Picked Students (raw)'!$B$2:$B$824=$C53)*('Picked Students (raw)'!$C$2:$C$824&lt;&gt;"")*(('Picked Students (raw)'!$C$2:$C$824-$E53)&lt;240)),SUMPRODUCT(('Picked Students (raw)'!$B$2:$B$824=$C53)*('Picked Students (raw)'!$D$2:$D$824=$D53)*('Picked Students (raw)'!$C$2:$C$824&lt;&gt;"")*(('Picked Students (raw)'!$C$2:$C$824-$E53)&lt;240))))))</f>
        <v/>
      </c>
      <c r="X53" s="5">
        <f>IF($A53="","",IF(W53="-","-",IF($G53=0,0,W53/$G53)))</f>
        <v/>
      </c>
      <c r="Y53" s="3">
        <f>IF($A53="","",IF($E53="","",IF(TODAY()&lt;$E53+270,"-",IF($D53="",SUMPRODUCT(('Picked Students (raw)'!$B$2:$B$824=$C53)*('Picked Students (raw)'!$C$2:$C$824&lt;&gt;"")*(('Picked Students (raw)'!$C$2:$C$824-$E53)&lt;270)),SUMPRODUCT(('Picked Students (raw)'!$B$2:$B$824=$C53)*('Picked Students (raw)'!$D$2:$D$824=$D53)*('Picked Students (raw)'!$C$2:$C$824&lt;&gt;"")*(('Picked Students (raw)'!$C$2:$C$824-$E53)&lt;270))))))</f>
        <v/>
      </c>
      <c r="Z53" s="5">
        <f>IF($A53="","",IF(Y53="-","-",IF($G53=0,0,Y53/$G53)))</f>
        <v/>
      </c>
      <c r="AA53" s="3">
        <f>IF($A53="","",IF($E53="","",IF(TODAY()&lt;$E53+300,"-",IF($D53="",SUMPRODUCT(('Picked Students (raw)'!$B$2:$B$824=$C53)*('Picked Students (raw)'!$C$2:$C$824&lt;&gt;"")*(('Picked Students (raw)'!$C$2:$C$824-$E53)&lt;300)),SUMPRODUCT(('Picked Students (raw)'!$B$2:$B$824=$C53)*('Picked Students (raw)'!$D$2:$D$824=$D53)*('Picked Students (raw)'!$C$2:$C$824&lt;&gt;"")*(('Picked Students (raw)'!$C$2:$C$824-$E53)&lt;300))))))</f>
        <v/>
      </c>
      <c r="AB53" s="5">
        <f>IF($A53="","",IF(AA53="-","-",IF($G53=0,0,AA53/$G53)))</f>
        <v/>
      </c>
      <c r="AC53" s="3">
        <f>IF($A53="","",IF($E53="","",IF(TODAY()&lt;$E53+330,"-",IF($D53="",SUMPRODUCT(('Picked Students (raw)'!$B$2:$B$824=$C53)*('Picked Students (raw)'!$C$2:$C$824&lt;&gt;"")*(('Picked Students (raw)'!$C$2:$C$824-$E53)&lt;330)),SUMPRODUCT(('Picked Students (raw)'!$B$2:$B$824=$C53)*('Picked Students (raw)'!$D$2:$D$824=$D53)*('Picked Students (raw)'!$C$2:$C$824&lt;&gt;"")*(('Picked Students (raw)'!$C$2:$C$824-$E53)&lt;330))))))</f>
        <v/>
      </c>
      <c r="AD53" s="5">
        <f>IF($A53="","",IF(AC53="-","-",IF($G53=0,0,AC53/$G53)))</f>
        <v/>
      </c>
      <c r="AE53" s="3">
        <f>IF($A53="","",IF($E53="","",IF(TODAY()&lt;$E53+360,"-",IF($D53="",SUMPRODUCT(('Picked Students (raw)'!$B$2:$B$824=$C53)*('Picked Students (raw)'!$C$2:$C$824&lt;&gt;"")*(('Picked Students (raw)'!$C$2:$C$824-$E53)&lt;360)),SUMPRODUCT(('Picked Students (raw)'!$B$2:$B$824=$C53)*('Picked Students (raw)'!$D$2:$D$824=$D53)*('Picked Students (raw)'!$C$2:$C$824&lt;&gt;"")*(('Picked Students (raw)'!$C$2:$C$824-$E53)&lt;360))))))</f>
        <v/>
      </c>
      <c r="AF53" s="5">
        <f>IF($A53="","",IF(AE53="-","-",IF($G53=0,0,AE53/$G53)))</f>
        <v/>
      </c>
      <c r="AG53" s="3">
        <f>IF($A53="","",IF($E53="","",IF(TODAY()&lt;$E53+390,"-",IF($D53="",SUMPRODUCT(('Picked Students (raw)'!$B$2:$B$824=$C53)*('Picked Students (raw)'!$C$2:$C$824&lt;&gt;"")*(('Picked Students (raw)'!$C$2:$C$824-$E53)&lt;390)),SUMPRODUCT(('Picked Students (raw)'!$B$2:$B$824=$C53)*('Picked Students (raw)'!$D$2:$D$824=$D53)*('Picked Students (raw)'!$C$2:$C$824&lt;&gt;"")*(('Picked Students (raw)'!$C$2:$C$824-$E53)&lt;390))))))</f>
        <v/>
      </c>
      <c r="AH53" s="5">
        <f>IF($A53="","",IF(AG53="-","-",IF($G53=0,0,AG53/$G53)))</f>
        <v/>
      </c>
      <c r="AI53" s="3">
        <f>IF($A53="","",IF($E53="","",IF(TODAY()&lt;$E53+420,"-",IF($D53="",SUMPRODUCT(('Picked Students (raw)'!$B$2:$B$824=$C53)*('Picked Students (raw)'!$C$2:$C$824&lt;&gt;"")*(('Picked Students (raw)'!$C$2:$C$824-$E53)&lt;420)),SUMPRODUCT(('Picked Students (raw)'!$B$2:$B$824=$C53)*('Picked Students (raw)'!$D$2:$D$824=$D53)*('Picked Students (raw)'!$C$2:$C$824&lt;&gt;"")*(('Picked Students (raw)'!$C$2:$C$824-$E53)&lt;420))))))</f>
        <v/>
      </c>
      <c r="AJ53" s="5">
        <f>IF($A53="","",IF(AI53="-","-",IF($G53=0,0,AI53/$G53)))</f>
        <v/>
      </c>
      <c r="AK53" s="3">
        <f>IF($A53="","",IF($E53="","",IF(TODAY()&lt;$E53+450,"-",IF($D53="",SUMPRODUCT(('Picked Students (raw)'!$B$2:$B$824=$C53)*('Picked Students (raw)'!$C$2:$C$824&lt;&gt;"")*(('Picked Students (raw)'!$C$2:$C$824-$E53)&lt;450)),SUMPRODUCT(('Picked Students (raw)'!$B$2:$B$824=$C53)*('Picked Students (raw)'!$D$2:$D$824=$D53)*('Picked Students (raw)'!$C$2:$C$824&lt;&gt;"")*(('Picked Students (raw)'!$C$2:$C$824-$E53)&lt;450))))))</f>
        <v/>
      </c>
      <c r="AL53" s="5">
        <f>IF($A53="","",IF(AK53="-","-",IF($G53=0,0,AK53/$G53)))</f>
        <v/>
      </c>
      <c r="AM53" s="3">
        <f>IF($A53="","",IF($E53="","",IF(TODAY()&lt;$E53+480,"-",IF($D53="",SUMPRODUCT(('Picked Students (raw)'!$B$2:$B$824=$C53)*('Picked Students (raw)'!$C$2:$C$824&lt;&gt;"")*(('Picked Students (raw)'!$C$2:$C$824-$E53)&lt;480)),SUMPRODUCT(('Picked Students (raw)'!$B$2:$B$824=$C53)*('Picked Students (raw)'!$D$2:$D$824=$D53)*('Picked Students (raw)'!$C$2:$C$824&lt;&gt;"")*(('Picked Students (raw)'!$C$2:$C$824-$E53)&lt;480))))))</f>
        <v/>
      </c>
      <c r="AN53" s="5">
        <f>IF($A53="","",IF(AM53="-","-",IF($G53=0,0,AM53/$G53)))</f>
        <v/>
      </c>
      <c r="AO53" s="3">
        <f>IF($A53="","",IF($E53="","",IF(TODAY()&lt;$E53+510,"-",IF($D53="",SUMPRODUCT(('Picked Students (raw)'!$B$2:$B$824=$C53)*('Picked Students (raw)'!$C$2:$C$824&lt;&gt;"")*(('Picked Students (raw)'!$C$2:$C$824-$E53)&lt;510)),SUMPRODUCT(('Picked Students (raw)'!$B$2:$B$824=$C53)*('Picked Students (raw)'!$D$2:$D$824=$D53)*('Picked Students (raw)'!$C$2:$C$824&lt;&gt;"")*(('Picked Students (raw)'!$C$2:$C$824-$E53)&lt;510))))))</f>
        <v/>
      </c>
      <c r="AP53" s="5">
        <f>IF($A53="","",IF(AO53="-","-",IF($G53=0,0,AO53/$G53)))</f>
        <v/>
      </c>
      <c r="AQ53" s="3">
        <f>IF($A53="","",IF($E53="","",IF(TODAY()&lt;$E53+540,"-",IF($D53="",SUMPRODUCT(('Picked Students (raw)'!$B$2:$B$824=$C53)*('Picked Students (raw)'!$C$2:$C$824&lt;&gt;"")*(('Picked Students (raw)'!$C$2:$C$824-$E53)&lt;540)),SUMPRODUCT(('Picked Students (raw)'!$B$2:$B$824=$C53)*('Picked Students (raw)'!$D$2:$D$824=$D53)*('Picked Students (raw)'!$C$2:$C$824&lt;&gt;"")*(('Picked Students (raw)'!$C$2:$C$824-$E53)&lt;540))))))</f>
        <v/>
      </c>
      <c r="AR53" s="5">
        <f>IF($A53="","",IF(AQ53="-","-",IF($G53=0,0,AQ53/$G53)))</f>
        <v/>
      </c>
      <c r="AS53" s="3">
        <f>IF($A53="","",IF(AQ53="-","-",$H53-AQ53))</f>
        <v/>
      </c>
    </row>
    <row r="54">
      <c r="A54" s="3" t="n"/>
      <c r="B54" s="3">
        <f>IF($A54="","",IFERROR(IF(INDEX('Batch Enrollment (Metabase)'!$C$2:$C$47,MATCH($A54,'Batch Enrollment (Metabase)'!$A$2:$A$47,0))="GEM","A",IF(INDEX('Batch Enrollment (Metabase)'!$C$2:$C$47,MATCH($A54,'Batch Enrollment (Metabase)'!$A$2:$A$47,0))="Non-GEM","B","")),""))</f>
        <v/>
      </c>
      <c r="C54" s="3">
        <f>IF($A54="","",IFERROR(INDEX('Batch Enrollment (Metabase)'!$B$2:$B$47,MATCH($A54,'Batch Enrollment (Metabase)'!$A$2:$A$47,0)),""))</f>
        <v/>
      </c>
      <c r="D54" s="3">
        <f>IF($A54="","",IFERROR(INDEX('Batch Enrollment (Metabase)'!$C$2:$C$47,MATCH($A54,'Batch Enrollment (Metabase)'!$A$2:$A$47,0)),""))</f>
        <v/>
      </c>
      <c r="E54" s="4">
        <f>IF($A54="","",IFERROR(INDEX('Batch Enrollment (Metabase)'!$D$2:$D$47,MATCH($A54,'Batch Enrollment (Metabase)'!$A$2:$A$47,0)),""))</f>
        <v/>
      </c>
      <c r="F54" s="3">
        <f>IF($A54="","",IFERROR(INDEX('Batch Enrollment (Metabase)'!$E$2:$E$47,MATCH($A54,'Batch Enrollment (Metabase)'!$A$2:$A$47,0)),""))</f>
        <v/>
      </c>
      <c r="G54" s="3">
        <f>IF($A54="","",IFERROR(INDEX('Batch Enrollment (Metabase)'!$F$2:$F$47,MATCH($A54,'Batch Enrollment (Metabase)'!$A$2:$A$47,0)),""))</f>
        <v/>
      </c>
      <c r="H54" s="3">
        <f>IF($A54="","",IF($D54="",COUNTIF('Picked Students (raw)'!$B$2:$B$824,$C54),COUNTIFS('Picked Students (raw)'!$B$2:$B$824,$C54,'Picked Students (raw)'!$D$2:$D$824,$D54)))</f>
        <v/>
      </c>
      <c r="I54" s="3">
        <f>IF($A54="","",IF($E54="","",IF(TODAY()&lt;$E54+30,"-",IF($D54="",SUMPRODUCT(('Picked Students (raw)'!$B$2:$B$824=$C54)*('Picked Students (raw)'!$C$2:$C$824&lt;&gt;"")*(('Picked Students (raw)'!$C$2:$C$824-$E54)&lt;30)),SUMPRODUCT(('Picked Students (raw)'!$B$2:$B$824=$C54)*('Picked Students (raw)'!$D$2:$D$824=$D54)*('Picked Students (raw)'!$C$2:$C$824&lt;&gt;"")*(('Picked Students (raw)'!$C$2:$C$824-$E54)&lt;30))))))</f>
        <v/>
      </c>
      <c r="J54" s="5">
        <f>IF($A54="","",IF(I54="-","-",IF($G54=0,0,I54/$G54)))</f>
        <v/>
      </c>
      <c r="K54" s="3">
        <f>IF($A54="","",IF($E54="","",IF(TODAY()&lt;$E54+60,"-",IF($D54="",SUMPRODUCT(('Picked Students (raw)'!$B$2:$B$824=$C54)*('Picked Students (raw)'!$C$2:$C$824&lt;&gt;"")*(('Picked Students (raw)'!$C$2:$C$824-$E54)&lt;60)),SUMPRODUCT(('Picked Students (raw)'!$B$2:$B$824=$C54)*('Picked Students (raw)'!$D$2:$D$824=$D54)*('Picked Students (raw)'!$C$2:$C$824&lt;&gt;"")*(('Picked Students (raw)'!$C$2:$C$824-$E54)&lt;60))))))</f>
        <v/>
      </c>
      <c r="L54" s="5">
        <f>IF($A54="","",IF(K54="-","-",IF($G54=0,0,K54/$G54)))</f>
        <v/>
      </c>
      <c r="M54" s="3">
        <f>IF($A54="","",IF($E54="","",IF(TODAY()&lt;$E54+90,"-",IF($D54="",SUMPRODUCT(('Picked Students (raw)'!$B$2:$B$824=$C54)*('Picked Students (raw)'!$C$2:$C$824&lt;&gt;"")*(('Picked Students (raw)'!$C$2:$C$824-$E54)&lt;90)),SUMPRODUCT(('Picked Students (raw)'!$B$2:$B$824=$C54)*('Picked Students (raw)'!$D$2:$D$824=$D54)*('Picked Students (raw)'!$C$2:$C$824&lt;&gt;"")*(('Picked Students (raw)'!$C$2:$C$824-$E54)&lt;90))))))</f>
        <v/>
      </c>
      <c r="N54" s="5">
        <f>IF($A54="","",IF(M54="-","-",IF($G54=0,0,M54/$G54)))</f>
        <v/>
      </c>
      <c r="O54" s="3">
        <f>IF($A54="","",IF($E54="","",IF(TODAY()&lt;$E54+120,"-",IF($D54="",SUMPRODUCT(('Picked Students (raw)'!$B$2:$B$824=$C54)*('Picked Students (raw)'!$C$2:$C$824&lt;&gt;"")*(('Picked Students (raw)'!$C$2:$C$824-$E54)&lt;120)),SUMPRODUCT(('Picked Students (raw)'!$B$2:$B$824=$C54)*('Picked Students (raw)'!$D$2:$D$824=$D54)*('Picked Students (raw)'!$C$2:$C$824&lt;&gt;"")*(('Picked Students (raw)'!$C$2:$C$824-$E54)&lt;120))))))</f>
        <v/>
      </c>
      <c r="P54" s="5">
        <f>IF($A54="","",IF(O54="-","-",IF($G54=0,0,O54/$G54)))</f>
        <v/>
      </c>
      <c r="Q54" s="3">
        <f>IF($A54="","",IF($E54="","",IF(TODAY()&lt;$E54+150,"-",IF($D54="",SUMPRODUCT(('Picked Students (raw)'!$B$2:$B$824=$C54)*('Picked Students (raw)'!$C$2:$C$824&lt;&gt;"")*(('Picked Students (raw)'!$C$2:$C$824-$E54)&lt;150)),SUMPRODUCT(('Picked Students (raw)'!$B$2:$B$824=$C54)*('Picked Students (raw)'!$D$2:$D$824=$D54)*('Picked Students (raw)'!$C$2:$C$824&lt;&gt;"")*(('Picked Students (raw)'!$C$2:$C$824-$E54)&lt;150))))))</f>
        <v/>
      </c>
      <c r="R54" s="5">
        <f>IF($A54="","",IF(Q54="-","-",IF($G54=0,0,Q54/$G54)))</f>
        <v/>
      </c>
      <c r="S54" s="3">
        <f>IF($A54="","",IF($E54="","",IF(TODAY()&lt;$E54+180,"-",IF($D54="",SUMPRODUCT(('Picked Students (raw)'!$B$2:$B$824=$C54)*('Picked Students (raw)'!$C$2:$C$824&lt;&gt;"")*(('Picked Students (raw)'!$C$2:$C$824-$E54)&lt;180)),SUMPRODUCT(('Picked Students (raw)'!$B$2:$B$824=$C54)*('Picked Students (raw)'!$D$2:$D$824=$D54)*('Picked Students (raw)'!$C$2:$C$824&lt;&gt;"")*(('Picked Students (raw)'!$C$2:$C$824-$E54)&lt;180))))))</f>
        <v/>
      </c>
      <c r="T54" s="5">
        <f>IF($A54="","",IF(S54="-","-",IF($G54=0,0,S54/$G54)))</f>
        <v/>
      </c>
      <c r="U54" s="3">
        <f>IF($A54="","",IF($E54="","",IF(TODAY()&lt;$E54+210,"-",IF($D54="",SUMPRODUCT(('Picked Students (raw)'!$B$2:$B$824=$C54)*('Picked Students (raw)'!$C$2:$C$824&lt;&gt;"")*(('Picked Students (raw)'!$C$2:$C$824-$E54)&lt;210)),SUMPRODUCT(('Picked Students (raw)'!$B$2:$B$824=$C54)*('Picked Students (raw)'!$D$2:$D$824=$D54)*('Picked Students (raw)'!$C$2:$C$824&lt;&gt;"")*(('Picked Students (raw)'!$C$2:$C$824-$E54)&lt;210))))))</f>
        <v/>
      </c>
      <c r="V54" s="5">
        <f>IF($A54="","",IF(U54="-","-",IF($G54=0,0,U54/$G54)))</f>
        <v/>
      </c>
      <c r="W54" s="3">
        <f>IF($A54="","",IF($E54="","",IF(TODAY()&lt;$E54+240,"-",IF($D54="",SUMPRODUCT(('Picked Students (raw)'!$B$2:$B$824=$C54)*('Picked Students (raw)'!$C$2:$C$824&lt;&gt;"")*(('Picked Students (raw)'!$C$2:$C$824-$E54)&lt;240)),SUMPRODUCT(('Picked Students (raw)'!$B$2:$B$824=$C54)*('Picked Students (raw)'!$D$2:$D$824=$D54)*('Picked Students (raw)'!$C$2:$C$824&lt;&gt;"")*(('Picked Students (raw)'!$C$2:$C$824-$E54)&lt;240))))))</f>
        <v/>
      </c>
      <c r="X54" s="5">
        <f>IF($A54="","",IF(W54="-","-",IF($G54=0,0,W54/$G54)))</f>
        <v/>
      </c>
      <c r="Y54" s="3">
        <f>IF($A54="","",IF($E54="","",IF(TODAY()&lt;$E54+270,"-",IF($D54="",SUMPRODUCT(('Picked Students (raw)'!$B$2:$B$824=$C54)*('Picked Students (raw)'!$C$2:$C$824&lt;&gt;"")*(('Picked Students (raw)'!$C$2:$C$824-$E54)&lt;270)),SUMPRODUCT(('Picked Students (raw)'!$B$2:$B$824=$C54)*('Picked Students (raw)'!$D$2:$D$824=$D54)*('Picked Students (raw)'!$C$2:$C$824&lt;&gt;"")*(('Picked Students (raw)'!$C$2:$C$824-$E54)&lt;270))))))</f>
        <v/>
      </c>
      <c r="Z54" s="5">
        <f>IF($A54="","",IF(Y54="-","-",IF($G54=0,0,Y54/$G54)))</f>
        <v/>
      </c>
      <c r="AA54" s="3">
        <f>IF($A54="","",IF($E54="","",IF(TODAY()&lt;$E54+300,"-",IF($D54="",SUMPRODUCT(('Picked Students (raw)'!$B$2:$B$824=$C54)*('Picked Students (raw)'!$C$2:$C$824&lt;&gt;"")*(('Picked Students (raw)'!$C$2:$C$824-$E54)&lt;300)),SUMPRODUCT(('Picked Students (raw)'!$B$2:$B$824=$C54)*('Picked Students (raw)'!$D$2:$D$824=$D54)*('Picked Students (raw)'!$C$2:$C$824&lt;&gt;"")*(('Picked Students (raw)'!$C$2:$C$824-$E54)&lt;300))))))</f>
        <v/>
      </c>
      <c r="AB54" s="5">
        <f>IF($A54="","",IF(AA54="-","-",IF($G54=0,0,AA54/$G54)))</f>
        <v/>
      </c>
      <c r="AC54" s="3">
        <f>IF($A54="","",IF($E54="","",IF(TODAY()&lt;$E54+330,"-",IF($D54="",SUMPRODUCT(('Picked Students (raw)'!$B$2:$B$824=$C54)*('Picked Students (raw)'!$C$2:$C$824&lt;&gt;"")*(('Picked Students (raw)'!$C$2:$C$824-$E54)&lt;330)),SUMPRODUCT(('Picked Students (raw)'!$B$2:$B$824=$C54)*('Picked Students (raw)'!$D$2:$D$824=$D54)*('Picked Students (raw)'!$C$2:$C$824&lt;&gt;"")*(('Picked Students (raw)'!$C$2:$C$824-$E54)&lt;330))))))</f>
        <v/>
      </c>
      <c r="AD54" s="5">
        <f>IF($A54="","",IF(AC54="-","-",IF($G54=0,0,AC54/$G54)))</f>
        <v/>
      </c>
      <c r="AE54" s="3">
        <f>IF($A54="","",IF($E54="","",IF(TODAY()&lt;$E54+360,"-",IF($D54="",SUMPRODUCT(('Picked Students (raw)'!$B$2:$B$824=$C54)*('Picked Students (raw)'!$C$2:$C$824&lt;&gt;"")*(('Picked Students (raw)'!$C$2:$C$824-$E54)&lt;360)),SUMPRODUCT(('Picked Students (raw)'!$B$2:$B$824=$C54)*('Picked Students (raw)'!$D$2:$D$824=$D54)*('Picked Students (raw)'!$C$2:$C$824&lt;&gt;"")*(('Picked Students (raw)'!$C$2:$C$824-$E54)&lt;360))))))</f>
        <v/>
      </c>
      <c r="AF54" s="5">
        <f>IF($A54="","",IF(AE54="-","-",IF($G54=0,0,AE54/$G54)))</f>
        <v/>
      </c>
      <c r="AG54" s="3">
        <f>IF($A54="","",IF($E54="","",IF(TODAY()&lt;$E54+390,"-",IF($D54="",SUMPRODUCT(('Picked Students (raw)'!$B$2:$B$824=$C54)*('Picked Students (raw)'!$C$2:$C$824&lt;&gt;"")*(('Picked Students (raw)'!$C$2:$C$824-$E54)&lt;390)),SUMPRODUCT(('Picked Students (raw)'!$B$2:$B$824=$C54)*('Picked Students (raw)'!$D$2:$D$824=$D54)*('Picked Students (raw)'!$C$2:$C$824&lt;&gt;"")*(('Picked Students (raw)'!$C$2:$C$824-$E54)&lt;390))))))</f>
        <v/>
      </c>
      <c r="AH54" s="5">
        <f>IF($A54="","",IF(AG54="-","-",IF($G54=0,0,AG54/$G54)))</f>
        <v/>
      </c>
      <c r="AI54" s="3">
        <f>IF($A54="","",IF($E54="","",IF(TODAY()&lt;$E54+420,"-",IF($D54="",SUMPRODUCT(('Picked Students (raw)'!$B$2:$B$824=$C54)*('Picked Students (raw)'!$C$2:$C$824&lt;&gt;"")*(('Picked Students (raw)'!$C$2:$C$824-$E54)&lt;420)),SUMPRODUCT(('Picked Students (raw)'!$B$2:$B$824=$C54)*('Picked Students (raw)'!$D$2:$D$824=$D54)*('Picked Students (raw)'!$C$2:$C$824&lt;&gt;"")*(('Picked Students (raw)'!$C$2:$C$824-$E54)&lt;420))))))</f>
        <v/>
      </c>
      <c r="AJ54" s="5">
        <f>IF($A54="","",IF(AI54="-","-",IF($G54=0,0,AI54/$G54)))</f>
        <v/>
      </c>
      <c r="AK54" s="3">
        <f>IF($A54="","",IF($E54="","",IF(TODAY()&lt;$E54+450,"-",IF($D54="",SUMPRODUCT(('Picked Students (raw)'!$B$2:$B$824=$C54)*('Picked Students (raw)'!$C$2:$C$824&lt;&gt;"")*(('Picked Students (raw)'!$C$2:$C$824-$E54)&lt;450)),SUMPRODUCT(('Picked Students (raw)'!$B$2:$B$824=$C54)*('Picked Students (raw)'!$D$2:$D$824=$D54)*('Picked Students (raw)'!$C$2:$C$824&lt;&gt;"")*(('Picked Students (raw)'!$C$2:$C$824-$E54)&lt;450))))))</f>
        <v/>
      </c>
      <c r="AL54" s="5">
        <f>IF($A54="","",IF(AK54="-","-",IF($G54=0,0,AK54/$G54)))</f>
        <v/>
      </c>
      <c r="AM54" s="3">
        <f>IF($A54="","",IF($E54="","",IF(TODAY()&lt;$E54+480,"-",IF($D54="",SUMPRODUCT(('Picked Students (raw)'!$B$2:$B$824=$C54)*('Picked Students (raw)'!$C$2:$C$824&lt;&gt;"")*(('Picked Students (raw)'!$C$2:$C$824-$E54)&lt;480)),SUMPRODUCT(('Picked Students (raw)'!$B$2:$B$824=$C54)*('Picked Students (raw)'!$D$2:$D$824=$D54)*('Picked Students (raw)'!$C$2:$C$824&lt;&gt;"")*(('Picked Students (raw)'!$C$2:$C$824-$E54)&lt;480))))))</f>
        <v/>
      </c>
      <c r="AN54" s="5">
        <f>IF($A54="","",IF(AM54="-","-",IF($G54=0,0,AM54/$G54)))</f>
        <v/>
      </c>
      <c r="AO54" s="3">
        <f>IF($A54="","",IF($E54="","",IF(TODAY()&lt;$E54+510,"-",IF($D54="",SUMPRODUCT(('Picked Students (raw)'!$B$2:$B$824=$C54)*('Picked Students (raw)'!$C$2:$C$824&lt;&gt;"")*(('Picked Students (raw)'!$C$2:$C$824-$E54)&lt;510)),SUMPRODUCT(('Picked Students (raw)'!$B$2:$B$824=$C54)*('Picked Students (raw)'!$D$2:$D$824=$D54)*('Picked Students (raw)'!$C$2:$C$824&lt;&gt;"")*(('Picked Students (raw)'!$C$2:$C$824-$E54)&lt;510))))))</f>
        <v/>
      </c>
      <c r="AP54" s="5">
        <f>IF($A54="","",IF(AO54="-","-",IF($G54=0,0,AO54/$G54)))</f>
        <v/>
      </c>
      <c r="AQ54" s="3">
        <f>IF($A54="","",IF($E54="","",IF(TODAY()&lt;$E54+540,"-",IF($D54="",SUMPRODUCT(('Picked Students (raw)'!$B$2:$B$824=$C54)*('Picked Students (raw)'!$C$2:$C$824&lt;&gt;"")*(('Picked Students (raw)'!$C$2:$C$824-$E54)&lt;540)),SUMPRODUCT(('Picked Students (raw)'!$B$2:$B$824=$C54)*('Picked Students (raw)'!$D$2:$D$824=$D54)*('Picked Students (raw)'!$C$2:$C$824&lt;&gt;"")*(('Picked Students (raw)'!$C$2:$C$824-$E54)&lt;540))))))</f>
        <v/>
      </c>
      <c r="AR54" s="5">
        <f>IF($A54="","",IF(AQ54="-","-",IF($G54=0,0,AQ54/$G54)))</f>
        <v/>
      </c>
      <c r="AS54" s="3">
        <f>IF($A54="","",IF(AQ54="-","-",$H54-AQ54))</f>
        <v/>
      </c>
    </row>
    <row r="55">
      <c r="A55" s="3" t="n"/>
      <c r="B55" s="3">
        <f>IF($A55="","",IFERROR(IF(INDEX('Batch Enrollment (Metabase)'!$C$2:$C$47,MATCH($A55,'Batch Enrollment (Metabase)'!$A$2:$A$47,0))="GEM","A",IF(INDEX('Batch Enrollment (Metabase)'!$C$2:$C$47,MATCH($A55,'Batch Enrollment (Metabase)'!$A$2:$A$47,0))="Non-GEM","B","")),""))</f>
        <v/>
      </c>
      <c r="C55" s="3">
        <f>IF($A55="","",IFERROR(INDEX('Batch Enrollment (Metabase)'!$B$2:$B$47,MATCH($A55,'Batch Enrollment (Metabase)'!$A$2:$A$47,0)),""))</f>
        <v/>
      </c>
      <c r="D55" s="3">
        <f>IF($A55="","",IFERROR(INDEX('Batch Enrollment (Metabase)'!$C$2:$C$47,MATCH($A55,'Batch Enrollment (Metabase)'!$A$2:$A$47,0)),""))</f>
        <v/>
      </c>
      <c r="E55" s="4">
        <f>IF($A55="","",IFERROR(INDEX('Batch Enrollment (Metabase)'!$D$2:$D$47,MATCH($A55,'Batch Enrollment (Metabase)'!$A$2:$A$47,0)),""))</f>
        <v/>
      </c>
      <c r="F55" s="3">
        <f>IF($A55="","",IFERROR(INDEX('Batch Enrollment (Metabase)'!$E$2:$E$47,MATCH($A55,'Batch Enrollment (Metabase)'!$A$2:$A$47,0)),""))</f>
        <v/>
      </c>
      <c r="G55" s="3">
        <f>IF($A55="","",IFERROR(INDEX('Batch Enrollment (Metabase)'!$F$2:$F$47,MATCH($A55,'Batch Enrollment (Metabase)'!$A$2:$A$47,0)),""))</f>
        <v/>
      </c>
      <c r="H55" s="3">
        <f>IF($A55="","",IF($D55="",COUNTIF('Picked Students (raw)'!$B$2:$B$824,$C55),COUNTIFS('Picked Students (raw)'!$B$2:$B$824,$C55,'Picked Students (raw)'!$D$2:$D$824,$D55)))</f>
        <v/>
      </c>
      <c r="I55" s="3">
        <f>IF($A55="","",IF($E55="","",IF(TODAY()&lt;$E55+30,"-",IF($D55="",SUMPRODUCT(('Picked Students (raw)'!$B$2:$B$824=$C55)*('Picked Students (raw)'!$C$2:$C$824&lt;&gt;"")*(('Picked Students (raw)'!$C$2:$C$824-$E55)&lt;30)),SUMPRODUCT(('Picked Students (raw)'!$B$2:$B$824=$C55)*('Picked Students (raw)'!$D$2:$D$824=$D55)*('Picked Students (raw)'!$C$2:$C$824&lt;&gt;"")*(('Picked Students (raw)'!$C$2:$C$824-$E55)&lt;30))))))</f>
        <v/>
      </c>
      <c r="J55" s="5">
        <f>IF($A55="","",IF(I55="-","-",IF($G55=0,0,I55/$G55)))</f>
        <v/>
      </c>
      <c r="K55" s="3">
        <f>IF($A55="","",IF($E55="","",IF(TODAY()&lt;$E55+60,"-",IF($D55="",SUMPRODUCT(('Picked Students (raw)'!$B$2:$B$824=$C55)*('Picked Students (raw)'!$C$2:$C$824&lt;&gt;"")*(('Picked Students (raw)'!$C$2:$C$824-$E55)&lt;60)),SUMPRODUCT(('Picked Students (raw)'!$B$2:$B$824=$C55)*('Picked Students (raw)'!$D$2:$D$824=$D55)*('Picked Students (raw)'!$C$2:$C$824&lt;&gt;"")*(('Picked Students (raw)'!$C$2:$C$824-$E55)&lt;60))))))</f>
        <v/>
      </c>
      <c r="L55" s="5">
        <f>IF($A55="","",IF(K55="-","-",IF($G55=0,0,K55/$G55)))</f>
        <v/>
      </c>
      <c r="M55" s="3">
        <f>IF($A55="","",IF($E55="","",IF(TODAY()&lt;$E55+90,"-",IF($D55="",SUMPRODUCT(('Picked Students (raw)'!$B$2:$B$824=$C55)*('Picked Students (raw)'!$C$2:$C$824&lt;&gt;"")*(('Picked Students (raw)'!$C$2:$C$824-$E55)&lt;90)),SUMPRODUCT(('Picked Students (raw)'!$B$2:$B$824=$C55)*('Picked Students (raw)'!$D$2:$D$824=$D55)*('Picked Students (raw)'!$C$2:$C$824&lt;&gt;"")*(('Picked Students (raw)'!$C$2:$C$824-$E55)&lt;90))))))</f>
        <v/>
      </c>
      <c r="N55" s="5">
        <f>IF($A55="","",IF(M55="-","-",IF($G55=0,0,M55/$G55)))</f>
        <v/>
      </c>
      <c r="O55" s="3">
        <f>IF($A55="","",IF($E55="","",IF(TODAY()&lt;$E55+120,"-",IF($D55="",SUMPRODUCT(('Picked Students (raw)'!$B$2:$B$824=$C55)*('Picked Students (raw)'!$C$2:$C$824&lt;&gt;"")*(('Picked Students (raw)'!$C$2:$C$824-$E55)&lt;120)),SUMPRODUCT(('Picked Students (raw)'!$B$2:$B$824=$C55)*('Picked Students (raw)'!$D$2:$D$824=$D55)*('Picked Students (raw)'!$C$2:$C$824&lt;&gt;"")*(('Picked Students (raw)'!$C$2:$C$824-$E55)&lt;120))))))</f>
        <v/>
      </c>
      <c r="P55" s="5">
        <f>IF($A55="","",IF(O55="-","-",IF($G55=0,0,O55/$G55)))</f>
        <v/>
      </c>
      <c r="Q55" s="3">
        <f>IF($A55="","",IF($E55="","",IF(TODAY()&lt;$E55+150,"-",IF($D55="",SUMPRODUCT(('Picked Students (raw)'!$B$2:$B$824=$C55)*('Picked Students (raw)'!$C$2:$C$824&lt;&gt;"")*(('Picked Students (raw)'!$C$2:$C$824-$E55)&lt;150)),SUMPRODUCT(('Picked Students (raw)'!$B$2:$B$824=$C55)*('Picked Students (raw)'!$D$2:$D$824=$D55)*('Picked Students (raw)'!$C$2:$C$824&lt;&gt;"")*(('Picked Students (raw)'!$C$2:$C$824-$E55)&lt;150))))))</f>
        <v/>
      </c>
      <c r="R55" s="5">
        <f>IF($A55="","",IF(Q55="-","-",IF($G55=0,0,Q55/$G55)))</f>
        <v/>
      </c>
      <c r="S55" s="3">
        <f>IF($A55="","",IF($E55="","",IF(TODAY()&lt;$E55+180,"-",IF($D55="",SUMPRODUCT(('Picked Students (raw)'!$B$2:$B$824=$C55)*('Picked Students (raw)'!$C$2:$C$824&lt;&gt;"")*(('Picked Students (raw)'!$C$2:$C$824-$E55)&lt;180)),SUMPRODUCT(('Picked Students (raw)'!$B$2:$B$824=$C55)*('Picked Students (raw)'!$D$2:$D$824=$D55)*('Picked Students (raw)'!$C$2:$C$824&lt;&gt;"")*(('Picked Students (raw)'!$C$2:$C$824-$E55)&lt;180))))))</f>
        <v/>
      </c>
      <c r="T55" s="5">
        <f>IF($A55="","",IF(S55="-","-",IF($G55=0,0,S55/$G55)))</f>
        <v/>
      </c>
      <c r="U55" s="3">
        <f>IF($A55="","",IF($E55="","",IF(TODAY()&lt;$E55+210,"-",IF($D55="",SUMPRODUCT(('Picked Students (raw)'!$B$2:$B$824=$C55)*('Picked Students (raw)'!$C$2:$C$824&lt;&gt;"")*(('Picked Students (raw)'!$C$2:$C$824-$E55)&lt;210)),SUMPRODUCT(('Picked Students (raw)'!$B$2:$B$824=$C55)*('Picked Students (raw)'!$D$2:$D$824=$D55)*('Picked Students (raw)'!$C$2:$C$824&lt;&gt;"")*(('Picked Students (raw)'!$C$2:$C$824-$E55)&lt;210))))))</f>
        <v/>
      </c>
      <c r="V55" s="5">
        <f>IF($A55="","",IF(U55="-","-",IF($G55=0,0,U55/$G55)))</f>
        <v/>
      </c>
      <c r="W55" s="3">
        <f>IF($A55="","",IF($E55="","",IF(TODAY()&lt;$E55+240,"-",IF($D55="",SUMPRODUCT(('Picked Students (raw)'!$B$2:$B$824=$C55)*('Picked Students (raw)'!$C$2:$C$824&lt;&gt;"")*(('Picked Students (raw)'!$C$2:$C$824-$E55)&lt;240)),SUMPRODUCT(('Picked Students (raw)'!$B$2:$B$824=$C55)*('Picked Students (raw)'!$D$2:$D$824=$D55)*('Picked Students (raw)'!$C$2:$C$824&lt;&gt;"")*(('Picked Students (raw)'!$C$2:$C$824-$E55)&lt;240))))))</f>
        <v/>
      </c>
      <c r="X55" s="5">
        <f>IF($A55="","",IF(W55="-","-",IF($G55=0,0,W55/$G55)))</f>
        <v/>
      </c>
      <c r="Y55" s="3">
        <f>IF($A55="","",IF($E55="","",IF(TODAY()&lt;$E55+270,"-",IF($D55="",SUMPRODUCT(('Picked Students (raw)'!$B$2:$B$824=$C55)*('Picked Students (raw)'!$C$2:$C$824&lt;&gt;"")*(('Picked Students (raw)'!$C$2:$C$824-$E55)&lt;270)),SUMPRODUCT(('Picked Students (raw)'!$B$2:$B$824=$C55)*('Picked Students (raw)'!$D$2:$D$824=$D55)*('Picked Students (raw)'!$C$2:$C$824&lt;&gt;"")*(('Picked Students (raw)'!$C$2:$C$824-$E55)&lt;270))))))</f>
        <v/>
      </c>
      <c r="Z55" s="5">
        <f>IF($A55="","",IF(Y55="-","-",IF($G55=0,0,Y55/$G55)))</f>
        <v/>
      </c>
      <c r="AA55" s="3">
        <f>IF($A55="","",IF($E55="","",IF(TODAY()&lt;$E55+300,"-",IF($D55="",SUMPRODUCT(('Picked Students (raw)'!$B$2:$B$824=$C55)*('Picked Students (raw)'!$C$2:$C$824&lt;&gt;"")*(('Picked Students (raw)'!$C$2:$C$824-$E55)&lt;300)),SUMPRODUCT(('Picked Students (raw)'!$B$2:$B$824=$C55)*('Picked Students (raw)'!$D$2:$D$824=$D55)*('Picked Students (raw)'!$C$2:$C$824&lt;&gt;"")*(('Picked Students (raw)'!$C$2:$C$824-$E55)&lt;300))))))</f>
        <v/>
      </c>
      <c r="AB55" s="5">
        <f>IF($A55="","",IF(AA55="-","-",IF($G55=0,0,AA55/$G55)))</f>
        <v/>
      </c>
      <c r="AC55" s="3">
        <f>IF($A55="","",IF($E55="","",IF(TODAY()&lt;$E55+330,"-",IF($D55="",SUMPRODUCT(('Picked Students (raw)'!$B$2:$B$824=$C55)*('Picked Students (raw)'!$C$2:$C$824&lt;&gt;"")*(('Picked Students (raw)'!$C$2:$C$824-$E55)&lt;330)),SUMPRODUCT(('Picked Students (raw)'!$B$2:$B$824=$C55)*('Picked Students (raw)'!$D$2:$D$824=$D55)*('Picked Students (raw)'!$C$2:$C$824&lt;&gt;"")*(('Picked Students (raw)'!$C$2:$C$824-$E55)&lt;330))))))</f>
        <v/>
      </c>
      <c r="AD55" s="5">
        <f>IF($A55="","",IF(AC55="-","-",IF($G55=0,0,AC55/$G55)))</f>
        <v/>
      </c>
      <c r="AE55" s="3">
        <f>IF($A55="","",IF($E55="","",IF(TODAY()&lt;$E55+360,"-",IF($D55="",SUMPRODUCT(('Picked Students (raw)'!$B$2:$B$824=$C55)*('Picked Students (raw)'!$C$2:$C$824&lt;&gt;"")*(('Picked Students (raw)'!$C$2:$C$824-$E55)&lt;360)),SUMPRODUCT(('Picked Students (raw)'!$B$2:$B$824=$C55)*('Picked Students (raw)'!$D$2:$D$824=$D55)*('Picked Students (raw)'!$C$2:$C$824&lt;&gt;"")*(('Picked Students (raw)'!$C$2:$C$824-$E55)&lt;360))))))</f>
        <v/>
      </c>
      <c r="AF55" s="5">
        <f>IF($A55="","",IF(AE55="-","-",IF($G55=0,0,AE55/$G55)))</f>
        <v/>
      </c>
      <c r="AG55" s="3">
        <f>IF($A55="","",IF($E55="","",IF(TODAY()&lt;$E55+390,"-",IF($D55="",SUMPRODUCT(('Picked Students (raw)'!$B$2:$B$824=$C55)*('Picked Students (raw)'!$C$2:$C$824&lt;&gt;"")*(('Picked Students (raw)'!$C$2:$C$824-$E55)&lt;390)),SUMPRODUCT(('Picked Students (raw)'!$B$2:$B$824=$C55)*('Picked Students (raw)'!$D$2:$D$824=$D55)*('Picked Students (raw)'!$C$2:$C$824&lt;&gt;"")*(('Picked Students (raw)'!$C$2:$C$824-$E55)&lt;390))))))</f>
        <v/>
      </c>
      <c r="AH55" s="5">
        <f>IF($A55="","",IF(AG55="-","-",IF($G55=0,0,AG55/$G55)))</f>
        <v/>
      </c>
      <c r="AI55" s="3">
        <f>IF($A55="","",IF($E55="","",IF(TODAY()&lt;$E55+420,"-",IF($D55="",SUMPRODUCT(('Picked Students (raw)'!$B$2:$B$824=$C55)*('Picked Students (raw)'!$C$2:$C$824&lt;&gt;"")*(('Picked Students (raw)'!$C$2:$C$824-$E55)&lt;420)),SUMPRODUCT(('Picked Students (raw)'!$B$2:$B$824=$C55)*('Picked Students (raw)'!$D$2:$D$824=$D55)*('Picked Students (raw)'!$C$2:$C$824&lt;&gt;"")*(('Picked Students (raw)'!$C$2:$C$824-$E55)&lt;420))))))</f>
        <v/>
      </c>
      <c r="AJ55" s="5">
        <f>IF($A55="","",IF(AI55="-","-",IF($G55=0,0,AI55/$G55)))</f>
        <v/>
      </c>
      <c r="AK55" s="3">
        <f>IF($A55="","",IF($E55="","",IF(TODAY()&lt;$E55+450,"-",IF($D55="",SUMPRODUCT(('Picked Students (raw)'!$B$2:$B$824=$C55)*('Picked Students (raw)'!$C$2:$C$824&lt;&gt;"")*(('Picked Students (raw)'!$C$2:$C$824-$E55)&lt;450)),SUMPRODUCT(('Picked Students (raw)'!$B$2:$B$824=$C55)*('Picked Students (raw)'!$D$2:$D$824=$D55)*('Picked Students (raw)'!$C$2:$C$824&lt;&gt;"")*(('Picked Students (raw)'!$C$2:$C$824-$E55)&lt;450))))))</f>
        <v/>
      </c>
      <c r="AL55" s="5">
        <f>IF($A55="","",IF(AK55="-","-",IF($G55=0,0,AK55/$G55)))</f>
        <v/>
      </c>
      <c r="AM55" s="3">
        <f>IF($A55="","",IF($E55="","",IF(TODAY()&lt;$E55+480,"-",IF($D55="",SUMPRODUCT(('Picked Students (raw)'!$B$2:$B$824=$C55)*('Picked Students (raw)'!$C$2:$C$824&lt;&gt;"")*(('Picked Students (raw)'!$C$2:$C$824-$E55)&lt;480)),SUMPRODUCT(('Picked Students (raw)'!$B$2:$B$824=$C55)*('Picked Students (raw)'!$D$2:$D$824=$D55)*('Picked Students (raw)'!$C$2:$C$824&lt;&gt;"")*(('Picked Students (raw)'!$C$2:$C$824-$E55)&lt;480))))))</f>
        <v/>
      </c>
      <c r="AN55" s="5">
        <f>IF($A55="","",IF(AM55="-","-",IF($G55=0,0,AM55/$G55)))</f>
        <v/>
      </c>
      <c r="AO55" s="3">
        <f>IF($A55="","",IF($E55="","",IF(TODAY()&lt;$E55+510,"-",IF($D55="",SUMPRODUCT(('Picked Students (raw)'!$B$2:$B$824=$C55)*('Picked Students (raw)'!$C$2:$C$824&lt;&gt;"")*(('Picked Students (raw)'!$C$2:$C$824-$E55)&lt;510)),SUMPRODUCT(('Picked Students (raw)'!$B$2:$B$824=$C55)*('Picked Students (raw)'!$D$2:$D$824=$D55)*('Picked Students (raw)'!$C$2:$C$824&lt;&gt;"")*(('Picked Students (raw)'!$C$2:$C$824-$E55)&lt;510))))))</f>
        <v/>
      </c>
      <c r="AP55" s="5">
        <f>IF($A55="","",IF(AO55="-","-",IF($G55=0,0,AO55/$G55)))</f>
        <v/>
      </c>
      <c r="AQ55" s="3">
        <f>IF($A55="","",IF($E55="","",IF(TODAY()&lt;$E55+540,"-",IF($D55="",SUMPRODUCT(('Picked Students (raw)'!$B$2:$B$824=$C55)*('Picked Students (raw)'!$C$2:$C$824&lt;&gt;"")*(('Picked Students (raw)'!$C$2:$C$824-$E55)&lt;540)),SUMPRODUCT(('Picked Students (raw)'!$B$2:$B$824=$C55)*('Picked Students (raw)'!$D$2:$D$824=$D55)*('Picked Students (raw)'!$C$2:$C$824&lt;&gt;"")*(('Picked Students (raw)'!$C$2:$C$824-$E55)&lt;540))))))</f>
        <v/>
      </c>
      <c r="AR55" s="5">
        <f>IF($A55="","",IF(AQ55="-","-",IF($G55=0,0,AQ55/$G55)))</f>
        <v/>
      </c>
      <c r="AS55" s="3">
        <f>IF($A55="","",IF(AQ55="-","-",$H55-AQ55))</f>
        <v/>
      </c>
    </row>
    <row r="56">
      <c r="A56" s="3" t="n"/>
      <c r="B56" s="3">
        <f>IF($A56="","",IFERROR(IF(INDEX('Batch Enrollment (Metabase)'!$C$2:$C$47,MATCH($A56,'Batch Enrollment (Metabase)'!$A$2:$A$47,0))="GEM","A",IF(INDEX('Batch Enrollment (Metabase)'!$C$2:$C$47,MATCH($A56,'Batch Enrollment (Metabase)'!$A$2:$A$47,0))="Non-GEM","B","")),""))</f>
        <v/>
      </c>
      <c r="C56" s="3">
        <f>IF($A56="","",IFERROR(INDEX('Batch Enrollment (Metabase)'!$B$2:$B$47,MATCH($A56,'Batch Enrollment (Metabase)'!$A$2:$A$47,0)),""))</f>
        <v/>
      </c>
      <c r="D56" s="3">
        <f>IF($A56="","",IFERROR(INDEX('Batch Enrollment (Metabase)'!$C$2:$C$47,MATCH($A56,'Batch Enrollment (Metabase)'!$A$2:$A$47,0)),""))</f>
        <v/>
      </c>
      <c r="E56" s="4">
        <f>IF($A56="","",IFERROR(INDEX('Batch Enrollment (Metabase)'!$D$2:$D$47,MATCH($A56,'Batch Enrollment (Metabase)'!$A$2:$A$47,0)),""))</f>
        <v/>
      </c>
      <c r="F56" s="3">
        <f>IF($A56="","",IFERROR(INDEX('Batch Enrollment (Metabase)'!$E$2:$E$47,MATCH($A56,'Batch Enrollment (Metabase)'!$A$2:$A$47,0)),""))</f>
        <v/>
      </c>
      <c r="G56" s="3">
        <f>IF($A56="","",IFERROR(INDEX('Batch Enrollment (Metabase)'!$F$2:$F$47,MATCH($A56,'Batch Enrollment (Metabase)'!$A$2:$A$47,0)),""))</f>
        <v/>
      </c>
      <c r="H56" s="3">
        <f>IF($A56="","",IF($D56="",COUNTIF('Picked Students (raw)'!$B$2:$B$824,$C56),COUNTIFS('Picked Students (raw)'!$B$2:$B$824,$C56,'Picked Students (raw)'!$D$2:$D$824,$D56)))</f>
        <v/>
      </c>
      <c r="I56" s="3">
        <f>IF($A56="","",IF($E56="","",IF(TODAY()&lt;$E56+30,"-",IF($D56="",SUMPRODUCT(('Picked Students (raw)'!$B$2:$B$824=$C56)*('Picked Students (raw)'!$C$2:$C$824&lt;&gt;"")*(('Picked Students (raw)'!$C$2:$C$824-$E56)&lt;30)),SUMPRODUCT(('Picked Students (raw)'!$B$2:$B$824=$C56)*('Picked Students (raw)'!$D$2:$D$824=$D56)*('Picked Students (raw)'!$C$2:$C$824&lt;&gt;"")*(('Picked Students (raw)'!$C$2:$C$824-$E56)&lt;30))))))</f>
        <v/>
      </c>
      <c r="J56" s="5">
        <f>IF($A56="","",IF(I56="-","-",IF($G56=0,0,I56/$G56)))</f>
        <v/>
      </c>
      <c r="K56" s="3">
        <f>IF($A56="","",IF($E56="","",IF(TODAY()&lt;$E56+60,"-",IF($D56="",SUMPRODUCT(('Picked Students (raw)'!$B$2:$B$824=$C56)*('Picked Students (raw)'!$C$2:$C$824&lt;&gt;"")*(('Picked Students (raw)'!$C$2:$C$824-$E56)&lt;60)),SUMPRODUCT(('Picked Students (raw)'!$B$2:$B$824=$C56)*('Picked Students (raw)'!$D$2:$D$824=$D56)*('Picked Students (raw)'!$C$2:$C$824&lt;&gt;"")*(('Picked Students (raw)'!$C$2:$C$824-$E56)&lt;60))))))</f>
        <v/>
      </c>
      <c r="L56" s="5">
        <f>IF($A56="","",IF(K56="-","-",IF($G56=0,0,K56/$G56)))</f>
        <v/>
      </c>
      <c r="M56" s="3">
        <f>IF($A56="","",IF($E56="","",IF(TODAY()&lt;$E56+90,"-",IF($D56="",SUMPRODUCT(('Picked Students (raw)'!$B$2:$B$824=$C56)*('Picked Students (raw)'!$C$2:$C$824&lt;&gt;"")*(('Picked Students (raw)'!$C$2:$C$824-$E56)&lt;90)),SUMPRODUCT(('Picked Students (raw)'!$B$2:$B$824=$C56)*('Picked Students (raw)'!$D$2:$D$824=$D56)*('Picked Students (raw)'!$C$2:$C$824&lt;&gt;"")*(('Picked Students (raw)'!$C$2:$C$824-$E56)&lt;90))))))</f>
        <v/>
      </c>
      <c r="N56" s="5">
        <f>IF($A56="","",IF(M56="-","-",IF($G56=0,0,M56/$G56)))</f>
        <v/>
      </c>
      <c r="O56" s="3">
        <f>IF($A56="","",IF($E56="","",IF(TODAY()&lt;$E56+120,"-",IF($D56="",SUMPRODUCT(('Picked Students (raw)'!$B$2:$B$824=$C56)*('Picked Students (raw)'!$C$2:$C$824&lt;&gt;"")*(('Picked Students (raw)'!$C$2:$C$824-$E56)&lt;120)),SUMPRODUCT(('Picked Students (raw)'!$B$2:$B$824=$C56)*('Picked Students (raw)'!$D$2:$D$824=$D56)*('Picked Students (raw)'!$C$2:$C$824&lt;&gt;"")*(('Picked Students (raw)'!$C$2:$C$824-$E56)&lt;120))))))</f>
        <v/>
      </c>
      <c r="P56" s="5">
        <f>IF($A56="","",IF(O56="-","-",IF($G56=0,0,O56/$G56)))</f>
        <v/>
      </c>
      <c r="Q56" s="3">
        <f>IF($A56="","",IF($E56="","",IF(TODAY()&lt;$E56+150,"-",IF($D56="",SUMPRODUCT(('Picked Students (raw)'!$B$2:$B$824=$C56)*('Picked Students (raw)'!$C$2:$C$824&lt;&gt;"")*(('Picked Students (raw)'!$C$2:$C$824-$E56)&lt;150)),SUMPRODUCT(('Picked Students (raw)'!$B$2:$B$824=$C56)*('Picked Students (raw)'!$D$2:$D$824=$D56)*('Picked Students (raw)'!$C$2:$C$824&lt;&gt;"")*(('Picked Students (raw)'!$C$2:$C$824-$E56)&lt;150))))))</f>
        <v/>
      </c>
      <c r="R56" s="5">
        <f>IF($A56="","",IF(Q56="-","-",IF($G56=0,0,Q56/$G56)))</f>
        <v/>
      </c>
      <c r="S56" s="3">
        <f>IF($A56="","",IF($E56="","",IF(TODAY()&lt;$E56+180,"-",IF($D56="",SUMPRODUCT(('Picked Students (raw)'!$B$2:$B$824=$C56)*('Picked Students (raw)'!$C$2:$C$824&lt;&gt;"")*(('Picked Students (raw)'!$C$2:$C$824-$E56)&lt;180)),SUMPRODUCT(('Picked Students (raw)'!$B$2:$B$824=$C56)*('Picked Students (raw)'!$D$2:$D$824=$D56)*('Picked Students (raw)'!$C$2:$C$824&lt;&gt;"")*(('Picked Students (raw)'!$C$2:$C$824-$E56)&lt;180))))))</f>
        <v/>
      </c>
      <c r="T56" s="5">
        <f>IF($A56="","",IF(S56="-","-",IF($G56=0,0,S56/$G56)))</f>
        <v/>
      </c>
      <c r="U56" s="3">
        <f>IF($A56="","",IF($E56="","",IF(TODAY()&lt;$E56+210,"-",IF($D56="",SUMPRODUCT(('Picked Students (raw)'!$B$2:$B$824=$C56)*('Picked Students (raw)'!$C$2:$C$824&lt;&gt;"")*(('Picked Students (raw)'!$C$2:$C$824-$E56)&lt;210)),SUMPRODUCT(('Picked Students (raw)'!$B$2:$B$824=$C56)*('Picked Students (raw)'!$D$2:$D$824=$D56)*('Picked Students (raw)'!$C$2:$C$824&lt;&gt;"")*(('Picked Students (raw)'!$C$2:$C$824-$E56)&lt;210))))))</f>
        <v/>
      </c>
      <c r="V56" s="5">
        <f>IF($A56="","",IF(U56="-","-",IF($G56=0,0,U56/$G56)))</f>
        <v/>
      </c>
      <c r="W56" s="3">
        <f>IF($A56="","",IF($E56="","",IF(TODAY()&lt;$E56+240,"-",IF($D56="",SUMPRODUCT(('Picked Students (raw)'!$B$2:$B$824=$C56)*('Picked Students (raw)'!$C$2:$C$824&lt;&gt;"")*(('Picked Students (raw)'!$C$2:$C$824-$E56)&lt;240)),SUMPRODUCT(('Picked Students (raw)'!$B$2:$B$824=$C56)*('Picked Students (raw)'!$D$2:$D$824=$D56)*('Picked Students (raw)'!$C$2:$C$824&lt;&gt;"")*(('Picked Students (raw)'!$C$2:$C$824-$E56)&lt;240))))))</f>
        <v/>
      </c>
      <c r="X56" s="5">
        <f>IF($A56="","",IF(W56="-","-",IF($G56=0,0,W56/$G56)))</f>
        <v/>
      </c>
      <c r="Y56" s="3">
        <f>IF($A56="","",IF($E56="","",IF(TODAY()&lt;$E56+270,"-",IF($D56="",SUMPRODUCT(('Picked Students (raw)'!$B$2:$B$824=$C56)*('Picked Students (raw)'!$C$2:$C$824&lt;&gt;"")*(('Picked Students (raw)'!$C$2:$C$824-$E56)&lt;270)),SUMPRODUCT(('Picked Students (raw)'!$B$2:$B$824=$C56)*('Picked Students (raw)'!$D$2:$D$824=$D56)*('Picked Students (raw)'!$C$2:$C$824&lt;&gt;"")*(('Picked Students (raw)'!$C$2:$C$824-$E56)&lt;270))))))</f>
        <v/>
      </c>
      <c r="Z56" s="5">
        <f>IF($A56="","",IF(Y56="-","-",IF($G56=0,0,Y56/$G56)))</f>
        <v/>
      </c>
      <c r="AA56" s="3">
        <f>IF($A56="","",IF($E56="","",IF(TODAY()&lt;$E56+300,"-",IF($D56="",SUMPRODUCT(('Picked Students (raw)'!$B$2:$B$824=$C56)*('Picked Students (raw)'!$C$2:$C$824&lt;&gt;"")*(('Picked Students (raw)'!$C$2:$C$824-$E56)&lt;300)),SUMPRODUCT(('Picked Students (raw)'!$B$2:$B$824=$C56)*('Picked Students (raw)'!$D$2:$D$824=$D56)*('Picked Students (raw)'!$C$2:$C$824&lt;&gt;"")*(('Picked Students (raw)'!$C$2:$C$824-$E56)&lt;300))))))</f>
        <v/>
      </c>
      <c r="AB56" s="5">
        <f>IF($A56="","",IF(AA56="-","-",IF($G56=0,0,AA56/$G56)))</f>
        <v/>
      </c>
      <c r="AC56" s="3">
        <f>IF($A56="","",IF($E56="","",IF(TODAY()&lt;$E56+330,"-",IF($D56="",SUMPRODUCT(('Picked Students (raw)'!$B$2:$B$824=$C56)*('Picked Students (raw)'!$C$2:$C$824&lt;&gt;"")*(('Picked Students (raw)'!$C$2:$C$824-$E56)&lt;330)),SUMPRODUCT(('Picked Students (raw)'!$B$2:$B$824=$C56)*('Picked Students (raw)'!$D$2:$D$824=$D56)*('Picked Students (raw)'!$C$2:$C$824&lt;&gt;"")*(('Picked Students (raw)'!$C$2:$C$824-$E56)&lt;330))))))</f>
        <v/>
      </c>
      <c r="AD56" s="5">
        <f>IF($A56="","",IF(AC56="-","-",IF($G56=0,0,AC56/$G56)))</f>
        <v/>
      </c>
      <c r="AE56" s="3">
        <f>IF($A56="","",IF($E56="","",IF(TODAY()&lt;$E56+360,"-",IF($D56="",SUMPRODUCT(('Picked Students (raw)'!$B$2:$B$824=$C56)*('Picked Students (raw)'!$C$2:$C$824&lt;&gt;"")*(('Picked Students (raw)'!$C$2:$C$824-$E56)&lt;360)),SUMPRODUCT(('Picked Students (raw)'!$B$2:$B$824=$C56)*('Picked Students (raw)'!$D$2:$D$824=$D56)*('Picked Students (raw)'!$C$2:$C$824&lt;&gt;"")*(('Picked Students (raw)'!$C$2:$C$824-$E56)&lt;360))))))</f>
        <v/>
      </c>
      <c r="AF56" s="5">
        <f>IF($A56="","",IF(AE56="-","-",IF($G56=0,0,AE56/$G56)))</f>
        <v/>
      </c>
      <c r="AG56" s="3">
        <f>IF($A56="","",IF($E56="","",IF(TODAY()&lt;$E56+390,"-",IF($D56="",SUMPRODUCT(('Picked Students (raw)'!$B$2:$B$824=$C56)*('Picked Students (raw)'!$C$2:$C$824&lt;&gt;"")*(('Picked Students (raw)'!$C$2:$C$824-$E56)&lt;390)),SUMPRODUCT(('Picked Students (raw)'!$B$2:$B$824=$C56)*('Picked Students (raw)'!$D$2:$D$824=$D56)*('Picked Students (raw)'!$C$2:$C$824&lt;&gt;"")*(('Picked Students (raw)'!$C$2:$C$824-$E56)&lt;390))))))</f>
        <v/>
      </c>
      <c r="AH56" s="5">
        <f>IF($A56="","",IF(AG56="-","-",IF($G56=0,0,AG56/$G56)))</f>
        <v/>
      </c>
      <c r="AI56" s="3">
        <f>IF($A56="","",IF($E56="","",IF(TODAY()&lt;$E56+420,"-",IF($D56="",SUMPRODUCT(('Picked Students (raw)'!$B$2:$B$824=$C56)*('Picked Students (raw)'!$C$2:$C$824&lt;&gt;"")*(('Picked Students (raw)'!$C$2:$C$824-$E56)&lt;420)),SUMPRODUCT(('Picked Students (raw)'!$B$2:$B$824=$C56)*('Picked Students (raw)'!$D$2:$D$824=$D56)*('Picked Students (raw)'!$C$2:$C$824&lt;&gt;"")*(('Picked Students (raw)'!$C$2:$C$824-$E56)&lt;420))))))</f>
        <v/>
      </c>
      <c r="AJ56" s="5">
        <f>IF($A56="","",IF(AI56="-","-",IF($G56=0,0,AI56/$G56)))</f>
        <v/>
      </c>
      <c r="AK56" s="3">
        <f>IF($A56="","",IF($E56="","",IF(TODAY()&lt;$E56+450,"-",IF($D56="",SUMPRODUCT(('Picked Students (raw)'!$B$2:$B$824=$C56)*('Picked Students (raw)'!$C$2:$C$824&lt;&gt;"")*(('Picked Students (raw)'!$C$2:$C$824-$E56)&lt;450)),SUMPRODUCT(('Picked Students (raw)'!$B$2:$B$824=$C56)*('Picked Students (raw)'!$D$2:$D$824=$D56)*('Picked Students (raw)'!$C$2:$C$824&lt;&gt;"")*(('Picked Students (raw)'!$C$2:$C$824-$E56)&lt;450))))))</f>
        <v/>
      </c>
      <c r="AL56" s="5">
        <f>IF($A56="","",IF(AK56="-","-",IF($G56=0,0,AK56/$G56)))</f>
        <v/>
      </c>
      <c r="AM56" s="3">
        <f>IF($A56="","",IF($E56="","",IF(TODAY()&lt;$E56+480,"-",IF($D56="",SUMPRODUCT(('Picked Students (raw)'!$B$2:$B$824=$C56)*('Picked Students (raw)'!$C$2:$C$824&lt;&gt;"")*(('Picked Students (raw)'!$C$2:$C$824-$E56)&lt;480)),SUMPRODUCT(('Picked Students (raw)'!$B$2:$B$824=$C56)*('Picked Students (raw)'!$D$2:$D$824=$D56)*('Picked Students (raw)'!$C$2:$C$824&lt;&gt;"")*(('Picked Students (raw)'!$C$2:$C$824-$E56)&lt;480))))))</f>
        <v/>
      </c>
      <c r="AN56" s="5">
        <f>IF($A56="","",IF(AM56="-","-",IF($G56=0,0,AM56/$G56)))</f>
        <v/>
      </c>
      <c r="AO56" s="3">
        <f>IF($A56="","",IF($E56="","",IF(TODAY()&lt;$E56+510,"-",IF($D56="",SUMPRODUCT(('Picked Students (raw)'!$B$2:$B$824=$C56)*('Picked Students (raw)'!$C$2:$C$824&lt;&gt;"")*(('Picked Students (raw)'!$C$2:$C$824-$E56)&lt;510)),SUMPRODUCT(('Picked Students (raw)'!$B$2:$B$824=$C56)*('Picked Students (raw)'!$D$2:$D$824=$D56)*('Picked Students (raw)'!$C$2:$C$824&lt;&gt;"")*(('Picked Students (raw)'!$C$2:$C$824-$E56)&lt;510))))))</f>
        <v/>
      </c>
      <c r="AP56" s="5">
        <f>IF($A56="","",IF(AO56="-","-",IF($G56=0,0,AO56/$G56)))</f>
        <v/>
      </c>
      <c r="AQ56" s="3">
        <f>IF($A56="","",IF($E56="","",IF(TODAY()&lt;$E56+540,"-",IF($D56="",SUMPRODUCT(('Picked Students (raw)'!$B$2:$B$824=$C56)*('Picked Students (raw)'!$C$2:$C$824&lt;&gt;"")*(('Picked Students (raw)'!$C$2:$C$824-$E56)&lt;540)),SUMPRODUCT(('Picked Students (raw)'!$B$2:$B$824=$C56)*('Picked Students (raw)'!$D$2:$D$824=$D56)*('Picked Students (raw)'!$C$2:$C$824&lt;&gt;"")*(('Picked Students (raw)'!$C$2:$C$824-$E56)&lt;540))))))</f>
        <v/>
      </c>
      <c r="AR56" s="5">
        <f>IF($A56="","",IF(AQ56="-","-",IF($G56=0,0,AQ56/$G56)))</f>
        <v/>
      </c>
      <c r="AS56" s="3">
        <f>IF($A56="","",IF(AQ56="-","-",$H56-AQ56))</f>
        <v/>
      </c>
    </row>
    <row r="57">
      <c r="A57" s="6" t="inlineStr">
        <is>
          <t>TOTAL</t>
        </is>
      </c>
      <c r="F57" s="6">
        <f>SUMIF($B$2:$B$56,"",F2:F56)</f>
        <v/>
      </c>
      <c r="G57" s="6">
        <f>SUMIF($B$2:$B$56,"",G2:G56)</f>
        <v/>
      </c>
      <c r="H57" s="6">
        <f>SUMIF($B$2:$B$56,"",H2:H56)</f>
        <v/>
      </c>
      <c r="I57" s="6">
        <f>SUMIF($B$2:$B$56,"",I2:I56)</f>
        <v/>
      </c>
      <c r="J57" s="7">
        <f>IF(SUMIF($B$2:$B$56,"",$G$2:$G$56)=0,0,I57/SUMIF($B$2:$B$56,"",$G$2:$G$56))</f>
        <v/>
      </c>
      <c r="K57" s="6">
        <f>SUMIF($B$2:$B$56,"",K2:K56)</f>
        <v/>
      </c>
      <c r="L57" s="7">
        <f>IF(SUMIF($B$2:$B$56,"",$G$2:$G$56)=0,0,K57/SUMIF($B$2:$B$56,"",$G$2:$G$56))</f>
        <v/>
      </c>
      <c r="M57" s="6">
        <f>SUMIF($B$2:$B$56,"",M2:M56)</f>
        <v/>
      </c>
      <c r="N57" s="7">
        <f>IF(SUMIF($B$2:$B$56,"",$G$2:$G$56)=0,0,M57/SUMIF($B$2:$B$56,"",$G$2:$G$56))</f>
        <v/>
      </c>
      <c r="O57" s="6">
        <f>SUMIF($B$2:$B$56,"",O2:O56)</f>
        <v/>
      </c>
      <c r="P57" s="7">
        <f>IF(SUMIF($B$2:$B$56,"",$G$2:$G$56)=0,0,O57/SUMIF($B$2:$B$56,"",$G$2:$G$56))</f>
        <v/>
      </c>
      <c r="Q57" s="6">
        <f>SUMIF($B$2:$B$56,"",Q2:Q56)</f>
        <v/>
      </c>
      <c r="R57" s="7">
        <f>IF(SUMIF($B$2:$B$56,"",$G$2:$G$56)=0,0,Q57/SUMIF($B$2:$B$56,"",$G$2:$G$56))</f>
        <v/>
      </c>
      <c r="S57" s="6">
        <f>SUMIF($B$2:$B$56,"",S2:S56)</f>
        <v/>
      </c>
      <c r="T57" s="7">
        <f>IF(SUMIF($B$2:$B$56,"",$G$2:$G$56)=0,0,S57/SUMIF($B$2:$B$56,"",$G$2:$G$56))</f>
        <v/>
      </c>
      <c r="U57" s="6">
        <f>SUMIF($B$2:$B$56,"",U2:U56)</f>
        <v/>
      </c>
      <c r="V57" s="7">
        <f>IF(SUMIF($B$2:$B$56,"",$G$2:$G$56)=0,0,U57/SUMIF($B$2:$B$56,"",$G$2:$G$56))</f>
        <v/>
      </c>
      <c r="W57" s="6">
        <f>SUMIF($B$2:$B$56,"",W2:W56)</f>
        <v/>
      </c>
      <c r="X57" s="7">
        <f>IF(SUMIF($B$2:$B$56,"",$G$2:$G$56)=0,0,W57/SUMIF($B$2:$B$56,"",$G$2:$G$56))</f>
        <v/>
      </c>
      <c r="Y57" s="6">
        <f>SUMIF($B$2:$B$56,"",Y2:Y56)</f>
        <v/>
      </c>
      <c r="Z57" s="7">
        <f>IF(SUMIF($B$2:$B$56,"",$G$2:$G$56)=0,0,Y57/SUMIF($B$2:$B$56,"",$G$2:$G$56))</f>
        <v/>
      </c>
      <c r="AA57" s="6">
        <f>SUMIF($B$2:$B$56,"",AA2:AA56)</f>
        <v/>
      </c>
      <c r="AB57" s="7">
        <f>IF(SUMIF($B$2:$B$56,"",$G$2:$G$56)=0,0,AA57/SUMIF($B$2:$B$56,"",$G$2:$G$56))</f>
        <v/>
      </c>
      <c r="AC57" s="6">
        <f>SUMIF($B$2:$B$56,"",AC2:AC56)</f>
        <v/>
      </c>
      <c r="AD57" s="7">
        <f>IF(SUMIF($B$2:$B$56,"",$G$2:$G$56)=0,0,AC57/SUMIF($B$2:$B$56,"",$G$2:$G$56))</f>
        <v/>
      </c>
      <c r="AE57" s="6">
        <f>SUMIF($B$2:$B$56,"",AE2:AE56)</f>
        <v/>
      </c>
      <c r="AF57" s="7">
        <f>IF(SUMIF($B$2:$B$56,"",$G$2:$G$56)=0,0,AE57/SUMIF($B$2:$B$56,"",$G$2:$G$56))</f>
        <v/>
      </c>
      <c r="AG57" s="6">
        <f>SUMIF($B$2:$B$56,"",AG2:AG56)</f>
        <v/>
      </c>
      <c r="AH57" s="7">
        <f>IF(SUMIF($B$2:$B$56,"",$G$2:$G$56)=0,0,AG57/SUMIF($B$2:$B$56,"",$G$2:$G$56))</f>
        <v/>
      </c>
      <c r="AI57" s="6">
        <f>SUMIF($B$2:$B$56,"",AI2:AI56)</f>
        <v/>
      </c>
      <c r="AJ57" s="7">
        <f>IF(SUMIF($B$2:$B$56,"",$G$2:$G$56)=0,0,AI57/SUMIF($B$2:$B$56,"",$G$2:$G$56))</f>
        <v/>
      </c>
      <c r="AK57" s="6">
        <f>SUMIF($B$2:$B$56,"",AK2:AK56)</f>
        <v/>
      </c>
      <c r="AL57" s="7">
        <f>IF(SUMIF($B$2:$B$56,"",$G$2:$G$56)=0,0,AK57/SUMIF($B$2:$B$56,"",$G$2:$G$56))</f>
        <v/>
      </c>
      <c r="AM57" s="6">
        <f>SUMIF($B$2:$B$56,"",AM2:AM56)</f>
        <v/>
      </c>
      <c r="AN57" s="7">
        <f>IF(SUMIF($B$2:$B$56,"",$G$2:$G$56)=0,0,AM57/SUMIF($B$2:$B$56,"",$G$2:$G$56))</f>
        <v/>
      </c>
      <c r="AO57" s="6">
        <f>SUMIF($B$2:$B$56,"",AO2:AO56)</f>
        <v/>
      </c>
      <c r="AP57" s="7">
        <f>IF(SUMIF($B$2:$B$56,"",$G$2:$G$56)=0,0,AO57/SUMIF($B$2:$B$56,"",$G$2:$G$56))</f>
        <v/>
      </c>
      <c r="AQ57" s="6">
        <f>SUMIF($B$2:$B$56,"",AQ2:AQ56)</f>
        <v/>
      </c>
      <c r="AR57" s="7">
        <f>IF(SUMIF($B$2:$B$56,"",$G$2:$G$56)=0,0,AQ57/SUMIF($B$2:$B$56,"",$G$2:$G$56))</f>
        <v/>
      </c>
      <c r="AS57" s="6">
        <f>H57-AQ57</f>
        <v/>
      </c>
    </row>
  </sheetData>
  <conditionalFormatting sqref="J2:J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5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5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5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5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5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6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56">
    <cfRule type="colorScale" priority="20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Batch</t>
        </is>
      </c>
      <c r="B1" s="1" t="inlineStr">
        <is>
          <t>Batch Start Date</t>
        </is>
      </c>
      <c r="C1" s="1" t="inlineStr">
        <is>
          <t>Initially Enrolled</t>
        </is>
      </c>
      <c r="D1" s="1" t="inlineStr">
        <is>
          <t>Currently Enrolled</t>
        </is>
      </c>
      <c r="E1" s="1" t="inlineStr">
        <is>
          <t>Picked Students</t>
        </is>
      </c>
      <c r="F1" s="1" t="inlineStr">
        <is>
          <t>Within 30 Days</t>
        </is>
      </c>
      <c r="G1" s="1" t="inlineStr">
        <is>
          <t>% of Currently Enrolled</t>
        </is>
      </c>
      <c r="H1" s="1" t="inlineStr">
        <is>
          <t>Within 60 Days</t>
        </is>
      </c>
      <c r="I1" s="1" t="inlineStr">
        <is>
          <t>% of Currently Enrolled</t>
        </is>
      </c>
      <c r="J1" s="1" t="inlineStr">
        <is>
          <t>Within 90 Days</t>
        </is>
      </c>
      <c r="K1" s="1" t="inlineStr">
        <is>
          <t>% of Currently Enrolled</t>
        </is>
      </c>
      <c r="L1" s="1" t="inlineStr">
        <is>
          <t>Within 120 Days</t>
        </is>
      </c>
      <c r="M1" s="1" t="inlineStr">
        <is>
          <t>% of Currently Enrolled</t>
        </is>
      </c>
      <c r="N1" s="1" t="inlineStr">
        <is>
          <t>Within 150 Days</t>
        </is>
      </c>
      <c r="O1" s="1" t="inlineStr">
        <is>
          <t>% of Currently Enrolled</t>
        </is>
      </c>
      <c r="P1" s="1" t="inlineStr">
        <is>
          <t>Within 180 Days</t>
        </is>
      </c>
      <c r="Q1" s="1" t="inlineStr">
        <is>
          <t>% of Currently Enrolled</t>
        </is>
      </c>
      <c r="R1" s="1" t="inlineStr">
        <is>
          <t>Within 210 Days</t>
        </is>
      </c>
      <c r="S1" s="1" t="inlineStr">
        <is>
          <t>% of Currently Enrolled</t>
        </is>
      </c>
      <c r="T1" s="1" t="inlineStr">
        <is>
          <t>Within 240 Days</t>
        </is>
      </c>
      <c r="U1" s="1" t="inlineStr">
        <is>
          <t>% of Currently Enrolled</t>
        </is>
      </c>
      <c r="V1" s="1" t="inlineStr">
        <is>
          <t>Within 270 Days</t>
        </is>
      </c>
      <c r="W1" s="1" t="inlineStr">
        <is>
          <t>% of Currently Enrolled</t>
        </is>
      </c>
      <c r="X1" s="1" t="inlineStr">
        <is>
          <t>Within 300 Days</t>
        </is>
      </c>
      <c r="Y1" s="1" t="inlineStr">
        <is>
          <t>% of Currently Enrolled</t>
        </is>
      </c>
      <c r="Z1" s="1" t="inlineStr">
        <is>
          <t>Within 330 Days</t>
        </is>
      </c>
      <c r="AA1" s="1" t="inlineStr">
        <is>
          <t>% of Currently Enrolled</t>
        </is>
      </c>
      <c r="AB1" s="1" t="inlineStr">
        <is>
          <t>Within 360 Days</t>
        </is>
      </c>
      <c r="AC1" s="1" t="inlineStr">
        <is>
          <t>% of Currently Enrolled</t>
        </is>
      </c>
      <c r="AD1" s="1" t="inlineStr">
        <is>
          <t>Within 390 Days</t>
        </is>
      </c>
      <c r="AE1" s="1" t="inlineStr">
        <is>
          <t>% of Currently Enrolled</t>
        </is>
      </c>
      <c r="AF1" s="1" t="inlineStr">
        <is>
          <t>Within 420 Days</t>
        </is>
      </c>
      <c r="AG1" s="1" t="inlineStr">
        <is>
          <t>% of Currently Enrolled</t>
        </is>
      </c>
      <c r="AH1" s="1" t="inlineStr">
        <is>
          <t>Within 450 Days</t>
        </is>
      </c>
      <c r="AI1" s="1" t="inlineStr">
        <is>
          <t>% of Currently Enrolled</t>
        </is>
      </c>
      <c r="AJ1" s="1" t="inlineStr">
        <is>
          <t>Within 480 Days</t>
        </is>
      </c>
      <c r="AK1" s="1" t="inlineStr">
        <is>
          <t>% of Currently Enrolled</t>
        </is>
      </c>
      <c r="AL1" s="1" t="inlineStr">
        <is>
          <t>Within 510 Days</t>
        </is>
      </c>
      <c r="AM1" s="1" t="inlineStr">
        <is>
          <t>% of Currently Enrolled</t>
        </is>
      </c>
      <c r="AN1" s="1" t="inlineStr">
        <is>
          <t>Within 540 Days</t>
        </is>
      </c>
      <c r="AO1" s="1" t="inlineStr">
        <is>
          <t>% of Currently Enrolled</t>
        </is>
      </c>
      <c r="AP1" s="1" t="inlineStr">
        <is>
          <t>Not Placed yet</t>
        </is>
      </c>
      <c r="AR1" s="2" t="inlineStr">
        <is>
          <t>Filtered to Picked Students where "Type of Experience" = "Fresher" (FlyWheel column I). Same "-" and % of Currently Enrolled logic as the main tab.</t>
        </is>
      </c>
    </row>
    <row r="2">
      <c r="A2" s="3" t="inlineStr">
        <is>
          <t>Professional Certificate Course In Data Science - April 2023</t>
        </is>
      </c>
      <c r="B2" s="4">
        <f>IF($A2="","",IFERROR(INDEX('Batch Enrollment (Metabase)'!$D$2:$D$47,MATCH($A2,'Batch Enrollment (Metabase)'!$A$2:$A$47,0)),""))</f>
        <v/>
      </c>
      <c r="C2" s="3">
        <f>IF($A2="","",IFERROR(INDEX('Batch Enrollment (Metabase)'!$E$2:$E$47,MATCH($A2,'Batch Enrollment (Metabase)'!$A$2:$A$47,0)),""))</f>
        <v/>
      </c>
      <c r="D2" s="3">
        <f>IF($A2="","",IFERROR(INDEX('Batch Enrollment (Metabase)'!$F$2:$F$47,MATCH($A2,'Batch Enrollment (Metabase)'!$A$2:$A$47,0)),""))</f>
        <v/>
      </c>
      <c r="E2" s="3">
        <f>IF($A2="","",COUNTIFS('Picked Students (raw)'!$B$2:$B$824,$A2,'Picked Students (raw)'!$E$2:$E$824,"Fresher"))</f>
        <v/>
      </c>
      <c r="F2" s="3">
        <f>IF($A2="","",IF($B2="","",IF(TODAY()&lt;$B2+30,"-",SUMPRODUCT(('Picked Students (raw)'!$B$2:$B$824=$A2)*('Picked Students (raw)'!$E$2:$E$824="Fresher")*('Picked Students (raw)'!$C$2:$C$824&lt;&gt;"")*(('Picked Students (raw)'!$C$2:$C$824-$B2)&lt;30)))))</f>
        <v/>
      </c>
      <c r="G2" s="5">
        <f>IF($A2="","",IF(F2="-","-",IF($D2=0,0,F2/$D2)))</f>
        <v/>
      </c>
      <c r="H2" s="3">
        <f>IF($A2="","",IF($B2="","",IF(TODAY()&lt;$B2+60,"-",SUMPRODUCT(('Picked Students (raw)'!$B$2:$B$824=$A2)*('Picked Students (raw)'!$E$2:$E$824="Fresher")*('Picked Students (raw)'!$C$2:$C$824&lt;&gt;"")*(('Picked Students (raw)'!$C$2:$C$824-$B2)&lt;60)))))</f>
        <v/>
      </c>
      <c r="I2" s="5">
        <f>IF($A2="","",IF(H2="-","-",IF($D2=0,0,H2/$D2)))</f>
        <v/>
      </c>
      <c r="J2" s="3">
        <f>IF($A2="","",IF($B2="","",IF(TODAY()&lt;$B2+90,"-",SUMPRODUCT(('Picked Students (raw)'!$B$2:$B$824=$A2)*('Picked Students (raw)'!$E$2:$E$824="Fresher")*('Picked Students (raw)'!$C$2:$C$824&lt;&gt;"")*(('Picked Students (raw)'!$C$2:$C$824-$B2)&lt;90)))))</f>
        <v/>
      </c>
      <c r="K2" s="5">
        <f>IF($A2="","",IF(J2="-","-",IF($D2=0,0,J2/$D2)))</f>
        <v/>
      </c>
      <c r="L2" s="3">
        <f>IF($A2="","",IF($B2="","",IF(TODAY()&lt;$B2+120,"-",SUMPRODUCT(('Picked Students (raw)'!$B$2:$B$824=$A2)*('Picked Students (raw)'!$E$2:$E$824="Fresher")*('Picked Students (raw)'!$C$2:$C$824&lt;&gt;"")*(('Picked Students (raw)'!$C$2:$C$824-$B2)&lt;120)))))</f>
        <v/>
      </c>
      <c r="M2" s="5">
        <f>IF($A2="","",IF(L2="-","-",IF($D2=0,0,L2/$D2)))</f>
        <v/>
      </c>
      <c r="N2" s="3">
        <f>IF($A2="","",IF($B2="","",IF(TODAY()&lt;$B2+150,"-",SUMPRODUCT(('Picked Students (raw)'!$B$2:$B$824=$A2)*('Picked Students (raw)'!$E$2:$E$824="Fresher")*('Picked Students (raw)'!$C$2:$C$824&lt;&gt;"")*(('Picked Students (raw)'!$C$2:$C$824-$B2)&lt;150)))))</f>
        <v/>
      </c>
      <c r="O2" s="5">
        <f>IF($A2="","",IF(N2="-","-",IF($D2=0,0,N2/$D2)))</f>
        <v/>
      </c>
      <c r="P2" s="3">
        <f>IF($A2="","",IF($B2="","",IF(TODAY()&lt;$B2+180,"-",SUMPRODUCT(('Picked Students (raw)'!$B$2:$B$824=$A2)*('Picked Students (raw)'!$E$2:$E$824="Fresher")*('Picked Students (raw)'!$C$2:$C$824&lt;&gt;"")*(('Picked Students (raw)'!$C$2:$C$824-$B2)&lt;180)))))</f>
        <v/>
      </c>
      <c r="Q2" s="5">
        <f>IF($A2="","",IF(P2="-","-",IF($D2=0,0,P2/$D2)))</f>
        <v/>
      </c>
      <c r="R2" s="3">
        <f>IF($A2="","",IF($B2="","",IF(TODAY()&lt;$B2+210,"-",SUMPRODUCT(('Picked Students (raw)'!$B$2:$B$824=$A2)*('Picked Students (raw)'!$E$2:$E$824="Fresher")*('Picked Students (raw)'!$C$2:$C$824&lt;&gt;"")*(('Picked Students (raw)'!$C$2:$C$824-$B2)&lt;210)))))</f>
        <v/>
      </c>
      <c r="S2" s="5">
        <f>IF($A2="","",IF(R2="-","-",IF($D2=0,0,R2/$D2)))</f>
        <v/>
      </c>
      <c r="T2" s="3">
        <f>IF($A2="","",IF($B2="","",IF(TODAY()&lt;$B2+240,"-",SUMPRODUCT(('Picked Students (raw)'!$B$2:$B$824=$A2)*('Picked Students (raw)'!$E$2:$E$824="Fresher")*('Picked Students (raw)'!$C$2:$C$824&lt;&gt;"")*(('Picked Students (raw)'!$C$2:$C$824-$B2)&lt;240)))))</f>
        <v/>
      </c>
      <c r="U2" s="5">
        <f>IF($A2="","",IF(T2="-","-",IF($D2=0,0,T2/$D2)))</f>
        <v/>
      </c>
      <c r="V2" s="3">
        <f>IF($A2="","",IF($B2="","",IF(TODAY()&lt;$B2+270,"-",SUMPRODUCT(('Picked Students (raw)'!$B$2:$B$824=$A2)*('Picked Students (raw)'!$E$2:$E$824="Fresher")*('Picked Students (raw)'!$C$2:$C$824&lt;&gt;"")*(('Picked Students (raw)'!$C$2:$C$824-$B2)&lt;270)))))</f>
        <v/>
      </c>
      <c r="W2" s="5">
        <f>IF($A2="","",IF(V2="-","-",IF($D2=0,0,V2/$D2)))</f>
        <v/>
      </c>
      <c r="X2" s="3">
        <f>IF($A2="","",IF($B2="","",IF(TODAY()&lt;$B2+300,"-",SUMPRODUCT(('Picked Students (raw)'!$B$2:$B$824=$A2)*('Picked Students (raw)'!$E$2:$E$824="Fresher")*('Picked Students (raw)'!$C$2:$C$824&lt;&gt;"")*(('Picked Students (raw)'!$C$2:$C$824-$B2)&lt;300)))))</f>
        <v/>
      </c>
      <c r="Y2" s="5">
        <f>IF($A2="","",IF(X2="-","-",IF($D2=0,0,X2/$D2)))</f>
        <v/>
      </c>
      <c r="Z2" s="3">
        <f>IF($A2="","",IF($B2="","",IF(TODAY()&lt;$B2+330,"-",SUMPRODUCT(('Picked Students (raw)'!$B$2:$B$824=$A2)*('Picked Students (raw)'!$E$2:$E$824="Fresher")*('Picked Students (raw)'!$C$2:$C$824&lt;&gt;"")*(('Picked Students (raw)'!$C$2:$C$824-$B2)&lt;330)))))</f>
        <v/>
      </c>
      <c r="AA2" s="5">
        <f>IF($A2="","",IF(Z2="-","-",IF($D2=0,0,Z2/$D2)))</f>
        <v/>
      </c>
      <c r="AB2" s="3">
        <f>IF($A2="","",IF($B2="","",IF(TODAY()&lt;$B2+360,"-",SUMPRODUCT(('Picked Students (raw)'!$B$2:$B$824=$A2)*('Picked Students (raw)'!$E$2:$E$824="Fresher")*('Picked Students (raw)'!$C$2:$C$824&lt;&gt;"")*(('Picked Students (raw)'!$C$2:$C$824-$B2)&lt;360)))))</f>
        <v/>
      </c>
      <c r="AC2" s="5">
        <f>IF($A2="","",IF(AB2="-","-",IF($D2=0,0,AB2/$D2)))</f>
        <v/>
      </c>
      <c r="AD2" s="3">
        <f>IF($A2="","",IF($B2="","",IF(TODAY()&lt;$B2+390,"-",SUMPRODUCT(('Picked Students (raw)'!$B$2:$B$824=$A2)*('Picked Students (raw)'!$E$2:$E$824="Fresher")*('Picked Students (raw)'!$C$2:$C$824&lt;&gt;"")*(('Picked Students (raw)'!$C$2:$C$824-$B2)&lt;390)))))</f>
        <v/>
      </c>
      <c r="AE2" s="5">
        <f>IF($A2="","",IF(AD2="-","-",IF($D2=0,0,AD2/$D2)))</f>
        <v/>
      </c>
      <c r="AF2" s="3">
        <f>IF($A2="","",IF($B2="","",IF(TODAY()&lt;$B2+420,"-",SUMPRODUCT(('Picked Students (raw)'!$B$2:$B$824=$A2)*('Picked Students (raw)'!$E$2:$E$824="Fresher")*('Picked Students (raw)'!$C$2:$C$824&lt;&gt;"")*(('Picked Students (raw)'!$C$2:$C$824-$B2)&lt;420)))))</f>
        <v/>
      </c>
      <c r="AG2" s="5">
        <f>IF($A2="","",IF(AF2="-","-",IF($D2=0,0,AF2/$D2)))</f>
        <v/>
      </c>
      <c r="AH2" s="3">
        <f>IF($A2="","",IF($B2="","",IF(TODAY()&lt;$B2+450,"-",SUMPRODUCT(('Picked Students (raw)'!$B$2:$B$824=$A2)*('Picked Students (raw)'!$E$2:$E$824="Fresher")*('Picked Students (raw)'!$C$2:$C$824&lt;&gt;"")*(('Picked Students (raw)'!$C$2:$C$824-$B2)&lt;450)))))</f>
        <v/>
      </c>
      <c r="AI2" s="5">
        <f>IF($A2="","",IF(AH2="-","-",IF($D2=0,0,AH2/$D2)))</f>
        <v/>
      </c>
      <c r="AJ2" s="3">
        <f>IF($A2="","",IF($B2="","",IF(TODAY()&lt;$B2+480,"-",SUMPRODUCT(('Picked Students (raw)'!$B$2:$B$824=$A2)*('Picked Students (raw)'!$E$2:$E$824="Fresher")*('Picked Students (raw)'!$C$2:$C$824&lt;&gt;"")*(('Picked Students (raw)'!$C$2:$C$824-$B2)&lt;480)))))</f>
        <v/>
      </c>
      <c r="AK2" s="5">
        <f>IF($A2="","",IF(AJ2="-","-",IF($D2=0,0,AJ2/$D2)))</f>
        <v/>
      </c>
      <c r="AL2" s="3">
        <f>IF($A2="","",IF($B2="","",IF(TODAY()&lt;$B2+510,"-",SUMPRODUCT(('Picked Students (raw)'!$B$2:$B$824=$A2)*('Picked Students (raw)'!$E$2:$E$824="Fresher")*('Picked Students (raw)'!$C$2:$C$824&lt;&gt;"")*(('Picked Students (raw)'!$C$2:$C$824-$B2)&lt;510)))))</f>
        <v/>
      </c>
      <c r="AM2" s="5">
        <f>IF($A2="","",IF(AL2="-","-",IF($D2=0,0,AL2/$D2)))</f>
        <v/>
      </c>
      <c r="AN2" s="3">
        <f>IF($A2="","",IF($B2="","",IF(TODAY()&lt;$B2+540,"-",SUMPRODUCT(('Picked Students (raw)'!$B$2:$B$824=$A2)*('Picked Students (raw)'!$E$2:$E$824="Fresher")*('Picked Students (raw)'!$C$2:$C$824&lt;&gt;"")*(('Picked Students (raw)'!$C$2:$C$824-$B2)&lt;540)))))</f>
        <v/>
      </c>
      <c r="AO2" s="5">
        <f>IF($A2="","",IF(AN2="-","-",IF($D2=0,0,AN2/$D2)))</f>
        <v/>
      </c>
      <c r="AP2" s="3">
        <f>IF($A2="","",IF(AN2="-","-",$E2-AN2))</f>
        <v/>
      </c>
    </row>
    <row r="3">
      <c r="A3" s="3" t="inlineStr">
        <is>
          <t>Professional Certificate Course In Data Science - May 2023</t>
        </is>
      </c>
      <c r="B3" s="4">
        <f>IF($A3="","",IFERROR(INDEX('Batch Enrollment (Metabase)'!$D$2:$D$47,MATCH($A3,'Batch Enrollment (Metabase)'!$A$2:$A$47,0)),""))</f>
        <v/>
      </c>
      <c r="C3" s="3">
        <f>IF($A3="","",IFERROR(INDEX('Batch Enrollment (Metabase)'!$E$2:$E$47,MATCH($A3,'Batch Enrollment (Metabase)'!$A$2:$A$47,0)),""))</f>
        <v/>
      </c>
      <c r="D3" s="3">
        <f>IF($A3="","",IFERROR(INDEX('Batch Enrollment (Metabase)'!$F$2:$F$47,MATCH($A3,'Batch Enrollment (Metabase)'!$A$2:$A$47,0)),""))</f>
        <v/>
      </c>
      <c r="E3" s="3">
        <f>IF($A3="","",COUNTIFS('Picked Students (raw)'!$B$2:$B$824,$A3,'Picked Students (raw)'!$E$2:$E$824,"Fresher"))</f>
        <v/>
      </c>
      <c r="F3" s="3">
        <f>IF($A3="","",IF($B3="","",IF(TODAY()&lt;$B3+30,"-",SUMPRODUCT(('Picked Students (raw)'!$B$2:$B$824=$A3)*('Picked Students (raw)'!$E$2:$E$824="Fresher")*('Picked Students (raw)'!$C$2:$C$824&lt;&gt;"")*(('Picked Students (raw)'!$C$2:$C$824-$B3)&lt;30)))))</f>
        <v/>
      </c>
      <c r="G3" s="5">
        <f>IF($A3="","",IF(F3="-","-",IF($D3=0,0,F3/$D3)))</f>
        <v/>
      </c>
      <c r="H3" s="3">
        <f>IF($A3="","",IF($B3="","",IF(TODAY()&lt;$B3+60,"-",SUMPRODUCT(('Picked Students (raw)'!$B$2:$B$824=$A3)*('Picked Students (raw)'!$E$2:$E$824="Fresher")*('Picked Students (raw)'!$C$2:$C$824&lt;&gt;"")*(('Picked Students (raw)'!$C$2:$C$824-$B3)&lt;60)))))</f>
        <v/>
      </c>
      <c r="I3" s="5">
        <f>IF($A3="","",IF(H3="-","-",IF($D3=0,0,H3/$D3)))</f>
        <v/>
      </c>
      <c r="J3" s="3">
        <f>IF($A3="","",IF($B3="","",IF(TODAY()&lt;$B3+90,"-",SUMPRODUCT(('Picked Students (raw)'!$B$2:$B$824=$A3)*('Picked Students (raw)'!$E$2:$E$824="Fresher")*('Picked Students (raw)'!$C$2:$C$824&lt;&gt;"")*(('Picked Students (raw)'!$C$2:$C$824-$B3)&lt;90)))))</f>
        <v/>
      </c>
      <c r="K3" s="5">
        <f>IF($A3="","",IF(J3="-","-",IF($D3=0,0,J3/$D3)))</f>
        <v/>
      </c>
      <c r="L3" s="3">
        <f>IF($A3="","",IF($B3="","",IF(TODAY()&lt;$B3+120,"-",SUMPRODUCT(('Picked Students (raw)'!$B$2:$B$824=$A3)*('Picked Students (raw)'!$E$2:$E$824="Fresher")*('Picked Students (raw)'!$C$2:$C$824&lt;&gt;"")*(('Picked Students (raw)'!$C$2:$C$824-$B3)&lt;120)))))</f>
        <v/>
      </c>
      <c r="M3" s="5">
        <f>IF($A3="","",IF(L3="-","-",IF($D3=0,0,L3/$D3)))</f>
        <v/>
      </c>
      <c r="N3" s="3">
        <f>IF($A3="","",IF($B3="","",IF(TODAY()&lt;$B3+150,"-",SUMPRODUCT(('Picked Students (raw)'!$B$2:$B$824=$A3)*('Picked Students (raw)'!$E$2:$E$824="Fresher")*('Picked Students (raw)'!$C$2:$C$824&lt;&gt;"")*(('Picked Students (raw)'!$C$2:$C$824-$B3)&lt;150)))))</f>
        <v/>
      </c>
      <c r="O3" s="5">
        <f>IF($A3="","",IF(N3="-","-",IF($D3=0,0,N3/$D3)))</f>
        <v/>
      </c>
      <c r="P3" s="3">
        <f>IF($A3="","",IF($B3="","",IF(TODAY()&lt;$B3+180,"-",SUMPRODUCT(('Picked Students (raw)'!$B$2:$B$824=$A3)*('Picked Students (raw)'!$E$2:$E$824="Fresher")*('Picked Students (raw)'!$C$2:$C$824&lt;&gt;"")*(('Picked Students (raw)'!$C$2:$C$824-$B3)&lt;180)))))</f>
        <v/>
      </c>
      <c r="Q3" s="5">
        <f>IF($A3="","",IF(P3="-","-",IF($D3=0,0,P3/$D3)))</f>
        <v/>
      </c>
      <c r="R3" s="3">
        <f>IF($A3="","",IF($B3="","",IF(TODAY()&lt;$B3+210,"-",SUMPRODUCT(('Picked Students (raw)'!$B$2:$B$824=$A3)*('Picked Students (raw)'!$E$2:$E$824="Fresher")*('Picked Students (raw)'!$C$2:$C$824&lt;&gt;"")*(('Picked Students (raw)'!$C$2:$C$824-$B3)&lt;210)))))</f>
        <v/>
      </c>
      <c r="S3" s="5">
        <f>IF($A3="","",IF(R3="-","-",IF($D3=0,0,R3/$D3)))</f>
        <v/>
      </c>
      <c r="T3" s="3">
        <f>IF($A3="","",IF($B3="","",IF(TODAY()&lt;$B3+240,"-",SUMPRODUCT(('Picked Students (raw)'!$B$2:$B$824=$A3)*('Picked Students (raw)'!$E$2:$E$824="Fresher")*('Picked Students (raw)'!$C$2:$C$824&lt;&gt;"")*(('Picked Students (raw)'!$C$2:$C$824-$B3)&lt;240)))))</f>
        <v/>
      </c>
      <c r="U3" s="5">
        <f>IF($A3="","",IF(T3="-","-",IF($D3=0,0,T3/$D3)))</f>
        <v/>
      </c>
      <c r="V3" s="3">
        <f>IF($A3="","",IF($B3="","",IF(TODAY()&lt;$B3+270,"-",SUMPRODUCT(('Picked Students (raw)'!$B$2:$B$824=$A3)*('Picked Students (raw)'!$E$2:$E$824="Fresher")*('Picked Students (raw)'!$C$2:$C$824&lt;&gt;"")*(('Picked Students (raw)'!$C$2:$C$824-$B3)&lt;270)))))</f>
        <v/>
      </c>
      <c r="W3" s="5">
        <f>IF($A3="","",IF(V3="-","-",IF($D3=0,0,V3/$D3)))</f>
        <v/>
      </c>
      <c r="X3" s="3">
        <f>IF($A3="","",IF($B3="","",IF(TODAY()&lt;$B3+300,"-",SUMPRODUCT(('Picked Students (raw)'!$B$2:$B$824=$A3)*('Picked Students (raw)'!$E$2:$E$824="Fresher")*('Picked Students (raw)'!$C$2:$C$824&lt;&gt;"")*(('Picked Students (raw)'!$C$2:$C$824-$B3)&lt;300)))))</f>
        <v/>
      </c>
      <c r="Y3" s="5">
        <f>IF($A3="","",IF(X3="-","-",IF($D3=0,0,X3/$D3)))</f>
        <v/>
      </c>
      <c r="Z3" s="3">
        <f>IF($A3="","",IF($B3="","",IF(TODAY()&lt;$B3+330,"-",SUMPRODUCT(('Picked Students (raw)'!$B$2:$B$824=$A3)*('Picked Students (raw)'!$E$2:$E$824="Fresher")*('Picked Students (raw)'!$C$2:$C$824&lt;&gt;"")*(('Picked Students (raw)'!$C$2:$C$824-$B3)&lt;330)))))</f>
        <v/>
      </c>
      <c r="AA3" s="5">
        <f>IF($A3="","",IF(Z3="-","-",IF($D3=0,0,Z3/$D3)))</f>
        <v/>
      </c>
      <c r="AB3" s="3">
        <f>IF($A3="","",IF($B3="","",IF(TODAY()&lt;$B3+360,"-",SUMPRODUCT(('Picked Students (raw)'!$B$2:$B$824=$A3)*('Picked Students (raw)'!$E$2:$E$824="Fresher")*('Picked Students (raw)'!$C$2:$C$824&lt;&gt;"")*(('Picked Students (raw)'!$C$2:$C$824-$B3)&lt;360)))))</f>
        <v/>
      </c>
      <c r="AC3" s="5">
        <f>IF($A3="","",IF(AB3="-","-",IF($D3=0,0,AB3/$D3)))</f>
        <v/>
      </c>
      <c r="AD3" s="3">
        <f>IF($A3="","",IF($B3="","",IF(TODAY()&lt;$B3+390,"-",SUMPRODUCT(('Picked Students (raw)'!$B$2:$B$824=$A3)*('Picked Students (raw)'!$E$2:$E$824="Fresher")*('Picked Students (raw)'!$C$2:$C$824&lt;&gt;"")*(('Picked Students (raw)'!$C$2:$C$824-$B3)&lt;390)))))</f>
        <v/>
      </c>
      <c r="AE3" s="5">
        <f>IF($A3="","",IF(AD3="-","-",IF($D3=0,0,AD3/$D3)))</f>
        <v/>
      </c>
      <c r="AF3" s="3">
        <f>IF($A3="","",IF($B3="","",IF(TODAY()&lt;$B3+420,"-",SUMPRODUCT(('Picked Students (raw)'!$B$2:$B$824=$A3)*('Picked Students (raw)'!$E$2:$E$824="Fresher")*('Picked Students (raw)'!$C$2:$C$824&lt;&gt;"")*(('Picked Students (raw)'!$C$2:$C$824-$B3)&lt;420)))))</f>
        <v/>
      </c>
      <c r="AG3" s="5">
        <f>IF($A3="","",IF(AF3="-","-",IF($D3=0,0,AF3/$D3)))</f>
        <v/>
      </c>
      <c r="AH3" s="3">
        <f>IF($A3="","",IF($B3="","",IF(TODAY()&lt;$B3+450,"-",SUMPRODUCT(('Picked Students (raw)'!$B$2:$B$824=$A3)*('Picked Students (raw)'!$E$2:$E$824="Fresher")*('Picked Students (raw)'!$C$2:$C$824&lt;&gt;"")*(('Picked Students (raw)'!$C$2:$C$824-$B3)&lt;450)))))</f>
        <v/>
      </c>
      <c r="AI3" s="5">
        <f>IF($A3="","",IF(AH3="-","-",IF($D3=0,0,AH3/$D3)))</f>
        <v/>
      </c>
      <c r="AJ3" s="3">
        <f>IF($A3="","",IF($B3="","",IF(TODAY()&lt;$B3+480,"-",SUMPRODUCT(('Picked Students (raw)'!$B$2:$B$824=$A3)*('Picked Students (raw)'!$E$2:$E$824="Fresher")*('Picked Students (raw)'!$C$2:$C$824&lt;&gt;"")*(('Picked Students (raw)'!$C$2:$C$824-$B3)&lt;480)))))</f>
        <v/>
      </c>
      <c r="AK3" s="5">
        <f>IF($A3="","",IF(AJ3="-","-",IF($D3=0,0,AJ3/$D3)))</f>
        <v/>
      </c>
      <c r="AL3" s="3">
        <f>IF($A3="","",IF($B3="","",IF(TODAY()&lt;$B3+510,"-",SUMPRODUCT(('Picked Students (raw)'!$B$2:$B$824=$A3)*('Picked Students (raw)'!$E$2:$E$824="Fresher")*('Picked Students (raw)'!$C$2:$C$824&lt;&gt;"")*(('Picked Students (raw)'!$C$2:$C$824-$B3)&lt;510)))))</f>
        <v/>
      </c>
      <c r="AM3" s="5">
        <f>IF($A3="","",IF(AL3="-","-",IF($D3=0,0,AL3/$D3)))</f>
        <v/>
      </c>
      <c r="AN3" s="3">
        <f>IF($A3="","",IF($B3="","",IF(TODAY()&lt;$B3+540,"-",SUMPRODUCT(('Picked Students (raw)'!$B$2:$B$824=$A3)*('Picked Students (raw)'!$E$2:$E$824="Fresher")*('Picked Students (raw)'!$C$2:$C$824&lt;&gt;"")*(('Picked Students (raw)'!$C$2:$C$824-$B3)&lt;540)))))</f>
        <v/>
      </c>
      <c r="AO3" s="5">
        <f>IF($A3="","",IF(AN3="-","-",IF($D3=0,0,AN3/$D3)))</f>
        <v/>
      </c>
      <c r="AP3" s="3">
        <f>IF($A3="","",IF(AN3="-","-",$E3-AN3))</f>
        <v/>
      </c>
    </row>
    <row r="4">
      <c r="A4" s="3" t="inlineStr">
        <is>
          <t>Professional Certificate Course In Data Science - June 2023</t>
        </is>
      </c>
      <c r="B4" s="4">
        <f>IF($A4="","",IFERROR(INDEX('Batch Enrollment (Metabase)'!$D$2:$D$47,MATCH($A4,'Batch Enrollment (Metabase)'!$A$2:$A$47,0)),""))</f>
        <v/>
      </c>
      <c r="C4" s="3">
        <f>IF($A4="","",IFERROR(INDEX('Batch Enrollment (Metabase)'!$E$2:$E$47,MATCH($A4,'Batch Enrollment (Metabase)'!$A$2:$A$47,0)),""))</f>
        <v/>
      </c>
      <c r="D4" s="3">
        <f>IF($A4="","",IFERROR(INDEX('Batch Enrollment (Metabase)'!$F$2:$F$47,MATCH($A4,'Batch Enrollment (Metabase)'!$A$2:$A$47,0)),""))</f>
        <v/>
      </c>
      <c r="E4" s="3">
        <f>IF($A4="","",COUNTIFS('Picked Students (raw)'!$B$2:$B$824,$A4,'Picked Students (raw)'!$E$2:$E$824,"Fresher"))</f>
        <v/>
      </c>
      <c r="F4" s="3">
        <f>IF($A4="","",IF($B4="","",IF(TODAY()&lt;$B4+30,"-",SUMPRODUCT(('Picked Students (raw)'!$B$2:$B$824=$A4)*('Picked Students (raw)'!$E$2:$E$824="Fresher")*('Picked Students (raw)'!$C$2:$C$824&lt;&gt;"")*(('Picked Students (raw)'!$C$2:$C$824-$B4)&lt;30)))))</f>
        <v/>
      </c>
      <c r="G4" s="5">
        <f>IF($A4="","",IF(F4="-","-",IF($D4=0,0,F4/$D4)))</f>
        <v/>
      </c>
      <c r="H4" s="3">
        <f>IF($A4="","",IF($B4="","",IF(TODAY()&lt;$B4+60,"-",SUMPRODUCT(('Picked Students (raw)'!$B$2:$B$824=$A4)*('Picked Students (raw)'!$E$2:$E$824="Fresher")*('Picked Students (raw)'!$C$2:$C$824&lt;&gt;"")*(('Picked Students (raw)'!$C$2:$C$824-$B4)&lt;60)))))</f>
        <v/>
      </c>
      <c r="I4" s="5">
        <f>IF($A4="","",IF(H4="-","-",IF($D4=0,0,H4/$D4)))</f>
        <v/>
      </c>
      <c r="J4" s="3">
        <f>IF($A4="","",IF($B4="","",IF(TODAY()&lt;$B4+90,"-",SUMPRODUCT(('Picked Students (raw)'!$B$2:$B$824=$A4)*('Picked Students (raw)'!$E$2:$E$824="Fresher")*('Picked Students (raw)'!$C$2:$C$824&lt;&gt;"")*(('Picked Students (raw)'!$C$2:$C$824-$B4)&lt;90)))))</f>
        <v/>
      </c>
      <c r="K4" s="5">
        <f>IF($A4="","",IF(J4="-","-",IF($D4=0,0,J4/$D4)))</f>
        <v/>
      </c>
      <c r="L4" s="3">
        <f>IF($A4="","",IF($B4="","",IF(TODAY()&lt;$B4+120,"-",SUMPRODUCT(('Picked Students (raw)'!$B$2:$B$824=$A4)*('Picked Students (raw)'!$E$2:$E$824="Fresher")*('Picked Students (raw)'!$C$2:$C$824&lt;&gt;"")*(('Picked Students (raw)'!$C$2:$C$824-$B4)&lt;120)))))</f>
        <v/>
      </c>
      <c r="M4" s="5">
        <f>IF($A4="","",IF(L4="-","-",IF($D4=0,0,L4/$D4)))</f>
        <v/>
      </c>
      <c r="N4" s="3">
        <f>IF($A4="","",IF($B4="","",IF(TODAY()&lt;$B4+150,"-",SUMPRODUCT(('Picked Students (raw)'!$B$2:$B$824=$A4)*('Picked Students (raw)'!$E$2:$E$824="Fresher")*('Picked Students (raw)'!$C$2:$C$824&lt;&gt;"")*(('Picked Students (raw)'!$C$2:$C$824-$B4)&lt;150)))))</f>
        <v/>
      </c>
      <c r="O4" s="5">
        <f>IF($A4="","",IF(N4="-","-",IF($D4=0,0,N4/$D4)))</f>
        <v/>
      </c>
      <c r="P4" s="3">
        <f>IF($A4="","",IF($B4="","",IF(TODAY()&lt;$B4+180,"-",SUMPRODUCT(('Picked Students (raw)'!$B$2:$B$824=$A4)*('Picked Students (raw)'!$E$2:$E$824="Fresher")*('Picked Students (raw)'!$C$2:$C$824&lt;&gt;"")*(('Picked Students (raw)'!$C$2:$C$824-$B4)&lt;180)))))</f>
        <v/>
      </c>
      <c r="Q4" s="5">
        <f>IF($A4="","",IF(P4="-","-",IF($D4=0,0,P4/$D4)))</f>
        <v/>
      </c>
      <c r="R4" s="3">
        <f>IF($A4="","",IF($B4="","",IF(TODAY()&lt;$B4+210,"-",SUMPRODUCT(('Picked Students (raw)'!$B$2:$B$824=$A4)*('Picked Students (raw)'!$E$2:$E$824="Fresher")*('Picked Students (raw)'!$C$2:$C$824&lt;&gt;"")*(('Picked Students (raw)'!$C$2:$C$824-$B4)&lt;210)))))</f>
        <v/>
      </c>
      <c r="S4" s="5">
        <f>IF($A4="","",IF(R4="-","-",IF($D4=0,0,R4/$D4)))</f>
        <v/>
      </c>
      <c r="T4" s="3">
        <f>IF($A4="","",IF($B4="","",IF(TODAY()&lt;$B4+240,"-",SUMPRODUCT(('Picked Students (raw)'!$B$2:$B$824=$A4)*('Picked Students (raw)'!$E$2:$E$824="Fresher")*('Picked Students (raw)'!$C$2:$C$824&lt;&gt;"")*(('Picked Students (raw)'!$C$2:$C$824-$B4)&lt;240)))))</f>
        <v/>
      </c>
      <c r="U4" s="5">
        <f>IF($A4="","",IF(T4="-","-",IF($D4=0,0,T4/$D4)))</f>
        <v/>
      </c>
      <c r="V4" s="3">
        <f>IF($A4="","",IF($B4="","",IF(TODAY()&lt;$B4+270,"-",SUMPRODUCT(('Picked Students (raw)'!$B$2:$B$824=$A4)*('Picked Students (raw)'!$E$2:$E$824="Fresher")*('Picked Students (raw)'!$C$2:$C$824&lt;&gt;"")*(('Picked Students (raw)'!$C$2:$C$824-$B4)&lt;270)))))</f>
        <v/>
      </c>
      <c r="W4" s="5">
        <f>IF($A4="","",IF(V4="-","-",IF($D4=0,0,V4/$D4)))</f>
        <v/>
      </c>
      <c r="X4" s="3">
        <f>IF($A4="","",IF($B4="","",IF(TODAY()&lt;$B4+300,"-",SUMPRODUCT(('Picked Students (raw)'!$B$2:$B$824=$A4)*('Picked Students (raw)'!$E$2:$E$824="Fresher")*('Picked Students (raw)'!$C$2:$C$824&lt;&gt;"")*(('Picked Students (raw)'!$C$2:$C$824-$B4)&lt;300)))))</f>
        <v/>
      </c>
      <c r="Y4" s="5">
        <f>IF($A4="","",IF(X4="-","-",IF($D4=0,0,X4/$D4)))</f>
        <v/>
      </c>
      <c r="Z4" s="3">
        <f>IF($A4="","",IF($B4="","",IF(TODAY()&lt;$B4+330,"-",SUMPRODUCT(('Picked Students (raw)'!$B$2:$B$824=$A4)*('Picked Students (raw)'!$E$2:$E$824="Fresher")*('Picked Students (raw)'!$C$2:$C$824&lt;&gt;"")*(('Picked Students (raw)'!$C$2:$C$824-$B4)&lt;330)))))</f>
        <v/>
      </c>
      <c r="AA4" s="5">
        <f>IF($A4="","",IF(Z4="-","-",IF($D4=0,0,Z4/$D4)))</f>
        <v/>
      </c>
      <c r="AB4" s="3">
        <f>IF($A4="","",IF($B4="","",IF(TODAY()&lt;$B4+360,"-",SUMPRODUCT(('Picked Students (raw)'!$B$2:$B$824=$A4)*('Picked Students (raw)'!$E$2:$E$824="Fresher")*('Picked Students (raw)'!$C$2:$C$824&lt;&gt;"")*(('Picked Students (raw)'!$C$2:$C$824-$B4)&lt;360)))))</f>
        <v/>
      </c>
      <c r="AC4" s="5">
        <f>IF($A4="","",IF(AB4="-","-",IF($D4=0,0,AB4/$D4)))</f>
        <v/>
      </c>
      <c r="AD4" s="3">
        <f>IF($A4="","",IF($B4="","",IF(TODAY()&lt;$B4+390,"-",SUMPRODUCT(('Picked Students (raw)'!$B$2:$B$824=$A4)*('Picked Students (raw)'!$E$2:$E$824="Fresher")*('Picked Students (raw)'!$C$2:$C$824&lt;&gt;"")*(('Picked Students (raw)'!$C$2:$C$824-$B4)&lt;390)))))</f>
        <v/>
      </c>
      <c r="AE4" s="5">
        <f>IF($A4="","",IF(AD4="-","-",IF($D4=0,0,AD4/$D4)))</f>
        <v/>
      </c>
      <c r="AF4" s="3">
        <f>IF($A4="","",IF($B4="","",IF(TODAY()&lt;$B4+420,"-",SUMPRODUCT(('Picked Students (raw)'!$B$2:$B$824=$A4)*('Picked Students (raw)'!$E$2:$E$824="Fresher")*('Picked Students (raw)'!$C$2:$C$824&lt;&gt;"")*(('Picked Students (raw)'!$C$2:$C$824-$B4)&lt;420)))))</f>
        <v/>
      </c>
      <c r="AG4" s="5">
        <f>IF($A4="","",IF(AF4="-","-",IF($D4=0,0,AF4/$D4)))</f>
        <v/>
      </c>
      <c r="AH4" s="3">
        <f>IF($A4="","",IF($B4="","",IF(TODAY()&lt;$B4+450,"-",SUMPRODUCT(('Picked Students (raw)'!$B$2:$B$824=$A4)*('Picked Students (raw)'!$E$2:$E$824="Fresher")*('Picked Students (raw)'!$C$2:$C$824&lt;&gt;"")*(('Picked Students (raw)'!$C$2:$C$824-$B4)&lt;450)))))</f>
        <v/>
      </c>
      <c r="AI4" s="5">
        <f>IF($A4="","",IF(AH4="-","-",IF($D4=0,0,AH4/$D4)))</f>
        <v/>
      </c>
      <c r="AJ4" s="3">
        <f>IF($A4="","",IF($B4="","",IF(TODAY()&lt;$B4+480,"-",SUMPRODUCT(('Picked Students (raw)'!$B$2:$B$824=$A4)*('Picked Students (raw)'!$E$2:$E$824="Fresher")*('Picked Students (raw)'!$C$2:$C$824&lt;&gt;"")*(('Picked Students (raw)'!$C$2:$C$824-$B4)&lt;480)))))</f>
        <v/>
      </c>
      <c r="AK4" s="5">
        <f>IF($A4="","",IF(AJ4="-","-",IF($D4=0,0,AJ4/$D4)))</f>
        <v/>
      </c>
      <c r="AL4" s="3">
        <f>IF($A4="","",IF($B4="","",IF(TODAY()&lt;$B4+510,"-",SUMPRODUCT(('Picked Students (raw)'!$B$2:$B$824=$A4)*('Picked Students (raw)'!$E$2:$E$824="Fresher")*('Picked Students (raw)'!$C$2:$C$824&lt;&gt;"")*(('Picked Students (raw)'!$C$2:$C$824-$B4)&lt;510)))))</f>
        <v/>
      </c>
      <c r="AM4" s="5">
        <f>IF($A4="","",IF(AL4="-","-",IF($D4=0,0,AL4/$D4)))</f>
        <v/>
      </c>
      <c r="AN4" s="3">
        <f>IF($A4="","",IF($B4="","",IF(TODAY()&lt;$B4+540,"-",SUMPRODUCT(('Picked Students (raw)'!$B$2:$B$824=$A4)*('Picked Students (raw)'!$E$2:$E$824="Fresher")*('Picked Students (raw)'!$C$2:$C$824&lt;&gt;"")*(('Picked Students (raw)'!$C$2:$C$824-$B4)&lt;540)))))</f>
        <v/>
      </c>
      <c r="AO4" s="5">
        <f>IF($A4="","",IF(AN4="-","-",IF($D4=0,0,AN4/$D4)))</f>
        <v/>
      </c>
      <c r="AP4" s="3">
        <f>IF($A4="","",IF(AN4="-","-",$E4-AN4))</f>
        <v/>
      </c>
    </row>
    <row r="5">
      <c r="A5" s="3" t="inlineStr">
        <is>
          <t>Professional Certificate Course In Data Science - July 2023</t>
        </is>
      </c>
      <c r="B5" s="4">
        <f>IF($A5="","",IFERROR(INDEX('Batch Enrollment (Metabase)'!$D$2:$D$47,MATCH($A5,'Batch Enrollment (Metabase)'!$A$2:$A$47,0)),""))</f>
        <v/>
      </c>
      <c r="C5" s="3">
        <f>IF($A5="","",IFERROR(INDEX('Batch Enrollment (Metabase)'!$E$2:$E$47,MATCH($A5,'Batch Enrollment (Metabase)'!$A$2:$A$47,0)),""))</f>
        <v/>
      </c>
      <c r="D5" s="3">
        <f>IF($A5="","",IFERROR(INDEX('Batch Enrollment (Metabase)'!$F$2:$F$47,MATCH($A5,'Batch Enrollment (Metabase)'!$A$2:$A$47,0)),""))</f>
        <v/>
      </c>
      <c r="E5" s="3">
        <f>IF($A5="","",COUNTIFS('Picked Students (raw)'!$B$2:$B$824,$A5,'Picked Students (raw)'!$E$2:$E$824,"Fresher"))</f>
        <v/>
      </c>
      <c r="F5" s="3">
        <f>IF($A5="","",IF($B5="","",IF(TODAY()&lt;$B5+30,"-",SUMPRODUCT(('Picked Students (raw)'!$B$2:$B$824=$A5)*('Picked Students (raw)'!$E$2:$E$824="Fresher")*('Picked Students (raw)'!$C$2:$C$824&lt;&gt;"")*(('Picked Students (raw)'!$C$2:$C$824-$B5)&lt;30)))))</f>
        <v/>
      </c>
      <c r="G5" s="5">
        <f>IF($A5="","",IF(F5="-","-",IF($D5=0,0,F5/$D5)))</f>
        <v/>
      </c>
      <c r="H5" s="3">
        <f>IF($A5="","",IF($B5="","",IF(TODAY()&lt;$B5+60,"-",SUMPRODUCT(('Picked Students (raw)'!$B$2:$B$824=$A5)*('Picked Students (raw)'!$E$2:$E$824="Fresher")*('Picked Students (raw)'!$C$2:$C$824&lt;&gt;"")*(('Picked Students (raw)'!$C$2:$C$824-$B5)&lt;60)))))</f>
        <v/>
      </c>
      <c r="I5" s="5">
        <f>IF($A5="","",IF(H5="-","-",IF($D5=0,0,H5/$D5)))</f>
        <v/>
      </c>
      <c r="J5" s="3">
        <f>IF($A5="","",IF($B5="","",IF(TODAY()&lt;$B5+90,"-",SUMPRODUCT(('Picked Students (raw)'!$B$2:$B$824=$A5)*('Picked Students (raw)'!$E$2:$E$824="Fresher")*('Picked Students (raw)'!$C$2:$C$824&lt;&gt;"")*(('Picked Students (raw)'!$C$2:$C$824-$B5)&lt;90)))))</f>
        <v/>
      </c>
      <c r="K5" s="5">
        <f>IF($A5="","",IF(J5="-","-",IF($D5=0,0,J5/$D5)))</f>
        <v/>
      </c>
      <c r="L5" s="3">
        <f>IF($A5="","",IF($B5="","",IF(TODAY()&lt;$B5+120,"-",SUMPRODUCT(('Picked Students (raw)'!$B$2:$B$824=$A5)*('Picked Students (raw)'!$E$2:$E$824="Fresher")*('Picked Students (raw)'!$C$2:$C$824&lt;&gt;"")*(('Picked Students (raw)'!$C$2:$C$824-$B5)&lt;120)))))</f>
        <v/>
      </c>
      <c r="M5" s="5">
        <f>IF($A5="","",IF(L5="-","-",IF($D5=0,0,L5/$D5)))</f>
        <v/>
      </c>
      <c r="N5" s="3">
        <f>IF($A5="","",IF($B5="","",IF(TODAY()&lt;$B5+150,"-",SUMPRODUCT(('Picked Students (raw)'!$B$2:$B$824=$A5)*('Picked Students (raw)'!$E$2:$E$824="Fresher")*('Picked Students (raw)'!$C$2:$C$824&lt;&gt;"")*(('Picked Students (raw)'!$C$2:$C$824-$B5)&lt;150)))))</f>
        <v/>
      </c>
      <c r="O5" s="5">
        <f>IF($A5="","",IF(N5="-","-",IF($D5=0,0,N5/$D5)))</f>
        <v/>
      </c>
      <c r="P5" s="3">
        <f>IF($A5="","",IF($B5="","",IF(TODAY()&lt;$B5+180,"-",SUMPRODUCT(('Picked Students (raw)'!$B$2:$B$824=$A5)*('Picked Students (raw)'!$E$2:$E$824="Fresher")*('Picked Students (raw)'!$C$2:$C$824&lt;&gt;"")*(('Picked Students (raw)'!$C$2:$C$824-$B5)&lt;180)))))</f>
        <v/>
      </c>
      <c r="Q5" s="5">
        <f>IF($A5="","",IF(P5="-","-",IF($D5=0,0,P5/$D5)))</f>
        <v/>
      </c>
      <c r="R5" s="3">
        <f>IF($A5="","",IF($B5="","",IF(TODAY()&lt;$B5+210,"-",SUMPRODUCT(('Picked Students (raw)'!$B$2:$B$824=$A5)*('Picked Students (raw)'!$E$2:$E$824="Fresher")*('Picked Students (raw)'!$C$2:$C$824&lt;&gt;"")*(('Picked Students (raw)'!$C$2:$C$824-$B5)&lt;210)))))</f>
        <v/>
      </c>
      <c r="S5" s="5">
        <f>IF($A5="","",IF(R5="-","-",IF($D5=0,0,R5/$D5)))</f>
        <v/>
      </c>
      <c r="T5" s="3">
        <f>IF($A5="","",IF($B5="","",IF(TODAY()&lt;$B5+240,"-",SUMPRODUCT(('Picked Students (raw)'!$B$2:$B$824=$A5)*('Picked Students (raw)'!$E$2:$E$824="Fresher")*('Picked Students (raw)'!$C$2:$C$824&lt;&gt;"")*(('Picked Students (raw)'!$C$2:$C$824-$B5)&lt;240)))))</f>
        <v/>
      </c>
      <c r="U5" s="5">
        <f>IF($A5="","",IF(T5="-","-",IF($D5=0,0,T5/$D5)))</f>
        <v/>
      </c>
      <c r="V5" s="3">
        <f>IF($A5="","",IF($B5="","",IF(TODAY()&lt;$B5+270,"-",SUMPRODUCT(('Picked Students (raw)'!$B$2:$B$824=$A5)*('Picked Students (raw)'!$E$2:$E$824="Fresher")*('Picked Students (raw)'!$C$2:$C$824&lt;&gt;"")*(('Picked Students (raw)'!$C$2:$C$824-$B5)&lt;270)))))</f>
        <v/>
      </c>
      <c r="W5" s="5">
        <f>IF($A5="","",IF(V5="-","-",IF($D5=0,0,V5/$D5)))</f>
        <v/>
      </c>
      <c r="X5" s="3">
        <f>IF($A5="","",IF($B5="","",IF(TODAY()&lt;$B5+300,"-",SUMPRODUCT(('Picked Students (raw)'!$B$2:$B$824=$A5)*('Picked Students (raw)'!$E$2:$E$824="Fresher")*('Picked Students (raw)'!$C$2:$C$824&lt;&gt;"")*(('Picked Students (raw)'!$C$2:$C$824-$B5)&lt;300)))))</f>
        <v/>
      </c>
      <c r="Y5" s="5">
        <f>IF($A5="","",IF(X5="-","-",IF($D5=0,0,X5/$D5)))</f>
        <v/>
      </c>
      <c r="Z5" s="3">
        <f>IF($A5="","",IF($B5="","",IF(TODAY()&lt;$B5+330,"-",SUMPRODUCT(('Picked Students (raw)'!$B$2:$B$824=$A5)*('Picked Students (raw)'!$E$2:$E$824="Fresher")*('Picked Students (raw)'!$C$2:$C$824&lt;&gt;"")*(('Picked Students (raw)'!$C$2:$C$824-$B5)&lt;330)))))</f>
        <v/>
      </c>
      <c r="AA5" s="5">
        <f>IF($A5="","",IF(Z5="-","-",IF($D5=0,0,Z5/$D5)))</f>
        <v/>
      </c>
      <c r="AB5" s="3">
        <f>IF($A5="","",IF($B5="","",IF(TODAY()&lt;$B5+360,"-",SUMPRODUCT(('Picked Students (raw)'!$B$2:$B$824=$A5)*('Picked Students (raw)'!$E$2:$E$824="Fresher")*('Picked Students (raw)'!$C$2:$C$824&lt;&gt;"")*(('Picked Students (raw)'!$C$2:$C$824-$B5)&lt;360)))))</f>
        <v/>
      </c>
      <c r="AC5" s="5">
        <f>IF($A5="","",IF(AB5="-","-",IF($D5=0,0,AB5/$D5)))</f>
        <v/>
      </c>
      <c r="AD5" s="3">
        <f>IF($A5="","",IF($B5="","",IF(TODAY()&lt;$B5+390,"-",SUMPRODUCT(('Picked Students (raw)'!$B$2:$B$824=$A5)*('Picked Students (raw)'!$E$2:$E$824="Fresher")*('Picked Students (raw)'!$C$2:$C$824&lt;&gt;"")*(('Picked Students (raw)'!$C$2:$C$824-$B5)&lt;390)))))</f>
        <v/>
      </c>
      <c r="AE5" s="5">
        <f>IF($A5="","",IF(AD5="-","-",IF($D5=0,0,AD5/$D5)))</f>
        <v/>
      </c>
      <c r="AF5" s="3">
        <f>IF($A5="","",IF($B5="","",IF(TODAY()&lt;$B5+420,"-",SUMPRODUCT(('Picked Students (raw)'!$B$2:$B$824=$A5)*('Picked Students (raw)'!$E$2:$E$824="Fresher")*('Picked Students (raw)'!$C$2:$C$824&lt;&gt;"")*(('Picked Students (raw)'!$C$2:$C$824-$B5)&lt;420)))))</f>
        <v/>
      </c>
      <c r="AG5" s="5">
        <f>IF($A5="","",IF(AF5="-","-",IF($D5=0,0,AF5/$D5)))</f>
        <v/>
      </c>
      <c r="AH5" s="3">
        <f>IF($A5="","",IF($B5="","",IF(TODAY()&lt;$B5+450,"-",SUMPRODUCT(('Picked Students (raw)'!$B$2:$B$824=$A5)*('Picked Students (raw)'!$E$2:$E$824="Fresher")*('Picked Students (raw)'!$C$2:$C$824&lt;&gt;"")*(('Picked Students (raw)'!$C$2:$C$824-$B5)&lt;450)))))</f>
        <v/>
      </c>
      <c r="AI5" s="5">
        <f>IF($A5="","",IF(AH5="-","-",IF($D5=0,0,AH5/$D5)))</f>
        <v/>
      </c>
      <c r="AJ5" s="3">
        <f>IF($A5="","",IF($B5="","",IF(TODAY()&lt;$B5+480,"-",SUMPRODUCT(('Picked Students (raw)'!$B$2:$B$824=$A5)*('Picked Students (raw)'!$E$2:$E$824="Fresher")*('Picked Students (raw)'!$C$2:$C$824&lt;&gt;"")*(('Picked Students (raw)'!$C$2:$C$824-$B5)&lt;480)))))</f>
        <v/>
      </c>
      <c r="AK5" s="5">
        <f>IF($A5="","",IF(AJ5="-","-",IF($D5=0,0,AJ5/$D5)))</f>
        <v/>
      </c>
      <c r="AL5" s="3">
        <f>IF($A5="","",IF($B5="","",IF(TODAY()&lt;$B5+510,"-",SUMPRODUCT(('Picked Students (raw)'!$B$2:$B$824=$A5)*('Picked Students (raw)'!$E$2:$E$824="Fresher")*('Picked Students (raw)'!$C$2:$C$824&lt;&gt;"")*(('Picked Students (raw)'!$C$2:$C$824-$B5)&lt;510)))))</f>
        <v/>
      </c>
      <c r="AM5" s="5">
        <f>IF($A5="","",IF(AL5="-","-",IF($D5=0,0,AL5/$D5)))</f>
        <v/>
      </c>
      <c r="AN5" s="3">
        <f>IF($A5="","",IF($B5="","",IF(TODAY()&lt;$B5+540,"-",SUMPRODUCT(('Picked Students (raw)'!$B$2:$B$824=$A5)*('Picked Students (raw)'!$E$2:$E$824="Fresher")*('Picked Students (raw)'!$C$2:$C$824&lt;&gt;"")*(('Picked Students (raw)'!$C$2:$C$824-$B5)&lt;540)))))</f>
        <v/>
      </c>
      <c r="AO5" s="5">
        <f>IF($A5="","",IF(AN5="-","-",IF($D5=0,0,AN5/$D5)))</f>
        <v/>
      </c>
      <c r="AP5" s="3">
        <f>IF($A5="","",IF(AN5="-","-",$E5-AN5))</f>
        <v/>
      </c>
    </row>
    <row r="6">
      <c r="A6" s="3" t="inlineStr">
        <is>
          <t>Professional Certificate Course In Data Science - July 2023 - August 2023</t>
        </is>
      </c>
      <c r="B6" s="4">
        <f>IF($A6="","",IFERROR(INDEX('Batch Enrollment (Metabase)'!$D$2:$D$47,MATCH($A6,'Batch Enrollment (Metabase)'!$A$2:$A$47,0)),""))</f>
        <v/>
      </c>
      <c r="C6" s="3">
        <f>IF($A6="","",IFERROR(INDEX('Batch Enrollment (Metabase)'!$E$2:$E$47,MATCH($A6,'Batch Enrollment (Metabase)'!$A$2:$A$47,0)),""))</f>
        <v/>
      </c>
      <c r="D6" s="3">
        <f>IF($A6="","",IFERROR(INDEX('Batch Enrollment (Metabase)'!$F$2:$F$47,MATCH($A6,'Batch Enrollment (Metabase)'!$A$2:$A$47,0)),""))</f>
        <v/>
      </c>
      <c r="E6" s="3">
        <f>IF($A6="","",COUNTIFS('Picked Students (raw)'!$B$2:$B$824,$A6,'Picked Students (raw)'!$E$2:$E$824,"Fresher"))</f>
        <v/>
      </c>
      <c r="F6" s="3">
        <f>IF($A6="","",IF($B6="","",IF(TODAY()&lt;$B6+30,"-",SUMPRODUCT(('Picked Students (raw)'!$B$2:$B$824=$A6)*('Picked Students (raw)'!$E$2:$E$824="Fresher")*('Picked Students (raw)'!$C$2:$C$824&lt;&gt;"")*(('Picked Students (raw)'!$C$2:$C$824-$B6)&lt;30)))))</f>
        <v/>
      </c>
      <c r="G6" s="5">
        <f>IF($A6="","",IF(F6="-","-",IF($D6=0,0,F6/$D6)))</f>
        <v/>
      </c>
      <c r="H6" s="3">
        <f>IF($A6="","",IF($B6="","",IF(TODAY()&lt;$B6+60,"-",SUMPRODUCT(('Picked Students (raw)'!$B$2:$B$824=$A6)*('Picked Students (raw)'!$E$2:$E$824="Fresher")*('Picked Students (raw)'!$C$2:$C$824&lt;&gt;"")*(('Picked Students (raw)'!$C$2:$C$824-$B6)&lt;60)))))</f>
        <v/>
      </c>
      <c r="I6" s="5">
        <f>IF($A6="","",IF(H6="-","-",IF($D6=0,0,H6/$D6)))</f>
        <v/>
      </c>
      <c r="J6" s="3">
        <f>IF($A6="","",IF($B6="","",IF(TODAY()&lt;$B6+90,"-",SUMPRODUCT(('Picked Students (raw)'!$B$2:$B$824=$A6)*('Picked Students (raw)'!$E$2:$E$824="Fresher")*('Picked Students (raw)'!$C$2:$C$824&lt;&gt;"")*(('Picked Students (raw)'!$C$2:$C$824-$B6)&lt;90)))))</f>
        <v/>
      </c>
      <c r="K6" s="5">
        <f>IF($A6="","",IF(J6="-","-",IF($D6=0,0,J6/$D6)))</f>
        <v/>
      </c>
      <c r="L6" s="3">
        <f>IF($A6="","",IF($B6="","",IF(TODAY()&lt;$B6+120,"-",SUMPRODUCT(('Picked Students (raw)'!$B$2:$B$824=$A6)*('Picked Students (raw)'!$E$2:$E$824="Fresher")*('Picked Students (raw)'!$C$2:$C$824&lt;&gt;"")*(('Picked Students (raw)'!$C$2:$C$824-$B6)&lt;120)))))</f>
        <v/>
      </c>
      <c r="M6" s="5">
        <f>IF($A6="","",IF(L6="-","-",IF($D6=0,0,L6/$D6)))</f>
        <v/>
      </c>
      <c r="N6" s="3">
        <f>IF($A6="","",IF($B6="","",IF(TODAY()&lt;$B6+150,"-",SUMPRODUCT(('Picked Students (raw)'!$B$2:$B$824=$A6)*('Picked Students (raw)'!$E$2:$E$824="Fresher")*('Picked Students (raw)'!$C$2:$C$824&lt;&gt;"")*(('Picked Students (raw)'!$C$2:$C$824-$B6)&lt;150)))))</f>
        <v/>
      </c>
      <c r="O6" s="5">
        <f>IF($A6="","",IF(N6="-","-",IF($D6=0,0,N6/$D6)))</f>
        <v/>
      </c>
      <c r="P6" s="3">
        <f>IF($A6="","",IF($B6="","",IF(TODAY()&lt;$B6+180,"-",SUMPRODUCT(('Picked Students (raw)'!$B$2:$B$824=$A6)*('Picked Students (raw)'!$E$2:$E$824="Fresher")*('Picked Students (raw)'!$C$2:$C$824&lt;&gt;"")*(('Picked Students (raw)'!$C$2:$C$824-$B6)&lt;180)))))</f>
        <v/>
      </c>
      <c r="Q6" s="5">
        <f>IF($A6="","",IF(P6="-","-",IF($D6=0,0,P6/$D6)))</f>
        <v/>
      </c>
      <c r="R6" s="3">
        <f>IF($A6="","",IF($B6="","",IF(TODAY()&lt;$B6+210,"-",SUMPRODUCT(('Picked Students (raw)'!$B$2:$B$824=$A6)*('Picked Students (raw)'!$E$2:$E$824="Fresher")*('Picked Students (raw)'!$C$2:$C$824&lt;&gt;"")*(('Picked Students (raw)'!$C$2:$C$824-$B6)&lt;210)))))</f>
        <v/>
      </c>
      <c r="S6" s="5">
        <f>IF($A6="","",IF(R6="-","-",IF($D6=0,0,R6/$D6)))</f>
        <v/>
      </c>
      <c r="T6" s="3">
        <f>IF($A6="","",IF($B6="","",IF(TODAY()&lt;$B6+240,"-",SUMPRODUCT(('Picked Students (raw)'!$B$2:$B$824=$A6)*('Picked Students (raw)'!$E$2:$E$824="Fresher")*('Picked Students (raw)'!$C$2:$C$824&lt;&gt;"")*(('Picked Students (raw)'!$C$2:$C$824-$B6)&lt;240)))))</f>
        <v/>
      </c>
      <c r="U6" s="5">
        <f>IF($A6="","",IF(T6="-","-",IF($D6=0,0,T6/$D6)))</f>
        <v/>
      </c>
      <c r="V6" s="3">
        <f>IF($A6="","",IF($B6="","",IF(TODAY()&lt;$B6+270,"-",SUMPRODUCT(('Picked Students (raw)'!$B$2:$B$824=$A6)*('Picked Students (raw)'!$E$2:$E$824="Fresher")*('Picked Students (raw)'!$C$2:$C$824&lt;&gt;"")*(('Picked Students (raw)'!$C$2:$C$824-$B6)&lt;270)))))</f>
        <v/>
      </c>
      <c r="W6" s="5">
        <f>IF($A6="","",IF(V6="-","-",IF($D6=0,0,V6/$D6)))</f>
        <v/>
      </c>
      <c r="X6" s="3">
        <f>IF($A6="","",IF($B6="","",IF(TODAY()&lt;$B6+300,"-",SUMPRODUCT(('Picked Students (raw)'!$B$2:$B$824=$A6)*('Picked Students (raw)'!$E$2:$E$824="Fresher")*('Picked Students (raw)'!$C$2:$C$824&lt;&gt;"")*(('Picked Students (raw)'!$C$2:$C$824-$B6)&lt;300)))))</f>
        <v/>
      </c>
      <c r="Y6" s="5">
        <f>IF($A6="","",IF(X6="-","-",IF($D6=0,0,X6/$D6)))</f>
        <v/>
      </c>
      <c r="Z6" s="3">
        <f>IF($A6="","",IF($B6="","",IF(TODAY()&lt;$B6+330,"-",SUMPRODUCT(('Picked Students (raw)'!$B$2:$B$824=$A6)*('Picked Students (raw)'!$E$2:$E$824="Fresher")*('Picked Students (raw)'!$C$2:$C$824&lt;&gt;"")*(('Picked Students (raw)'!$C$2:$C$824-$B6)&lt;330)))))</f>
        <v/>
      </c>
      <c r="AA6" s="5">
        <f>IF($A6="","",IF(Z6="-","-",IF($D6=0,0,Z6/$D6)))</f>
        <v/>
      </c>
      <c r="AB6" s="3">
        <f>IF($A6="","",IF($B6="","",IF(TODAY()&lt;$B6+360,"-",SUMPRODUCT(('Picked Students (raw)'!$B$2:$B$824=$A6)*('Picked Students (raw)'!$E$2:$E$824="Fresher")*('Picked Students (raw)'!$C$2:$C$824&lt;&gt;"")*(('Picked Students (raw)'!$C$2:$C$824-$B6)&lt;360)))))</f>
        <v/>
      </c>
      <c r="AC6" s="5">
        <f>IF($A6="","",IF(AB6="-","-",IF($D6=0,0,AB6/$D6)))</f>
        <v/>
      </c>
      <c r="AD6" s="3">
        <f>IF($A6="","",IF($B6="","",IF(TODAY()&lt;$B6+390,"-",SUMPRODUCT(('Picked Students (raw)'!$B$2:$B$824=$A6)*('Picked Students (raw)'!$E$2:$E$824="Fresher")*('Picked Students (raw)'!$C$2:$C$824&lt;&gt;"")*(('Picked Students (raw)'!$C$2:$C$824-$B6)&lt;390)))))</f>
        <v/>
      </c>
      <c r="AE6" s="5">
        <f>IF($A6="","",IF(AD6="-","-",IF($D6=0,0,AD6/$D6)))</f>
        <v/>
      </c>
      <c r="AF6" s="3">
        <f>IF($A6="","",IF($B6="","",IF(TODAY()&lt;$B6+420,"-",SUMPRODUCT(('Picked Students (raw)'!$B$2:$B$824=$A6)*('Picked Students (raw)'!$E$2:$E$824="Fresher")*('Picked Students (raw)'!$C$2:$C$824&lt;&gt;"")*(('Picked Students (raw)'!$C$2:$C$824-$B6)&lt;420)))))</f>
        <v/>
      </c>
      <c r="AG6" s="5">
        <f>IF($A6="","",IF(AF6="-","-",IF($D6=0,0,AF6/$D6)))</f>
        <v/>
      </c>
      <c r="AH6" s="3">
        <f>IF($A6="","",IF($B6="","",IF(TODAY()&lt;$B6+450,"-",SUMPRODUCT(('Picked Students (raw)'!$B$2:$B$824=$A6)*('Picked Students (raw)'!$E$2:$E$824="Fresher")*('Picked Students (raw)'!$C$2:$C$824&lt;&gt;"")*(('Picked Students (raw)'!$C$2:$C$824-$B6)&lt;450)))))</f>
        <v/>
      </c>
      <c r="AI6" s="5">
        <f>IF($A6="","",IF(AH6="-","-",IF($D6=0,0,AH6/$D6)))</f>
        <v/>
      </c>
      <c r="AJ6" s="3">
        <f>IF($A6="","",IF($B6="","",IF(TODAY()&lt;$B6+480,"-",SUMPRODUCT(('Picked Students (raw)'!$B$2:$B$824=$A6)*('Picked Students (raw)'!$E$2:$E$824="Fresher")*('Picked Students (raw)'!$C$2:$C$824&lt;&gt;"")*(('Picked Students (raw)'!$C$2:$C$824-$B6)&lt;480)))))</f>
        <v/>
      </c>
      <c r="AK6" s="5">
        <f>IF($A6="","",IF(AJ6="-","-",IF($D6=0,0,AJ6/$D6)))</f>
        <v/>
      </c>
      <c r="AL6" s="3">
        <f>IF($A6="","",IF($B6="","",IF(TODAY()&lt;$B6+510,"-",SUMPRODUCT(('Picked Students (raw)'!$B$2:$B$824=$A6)*('Picked Students (raw)'!$E$2:$E$824="Fresher")*('Picked Students (raw)'!$C$2:$C$824&lt;&gt;"")*(('Picked Students (raw)'!$C$2:$C$824-$B6)&lt;510)))))</f>
        <v/>
      </c>
      <c r="AM6" s="5">
        <f>IF($A6="","",IF(AL6="-","-",IF($D6=0,0,AL6/$D6)))</f>
        <v/>
      </c>
      <c r="AN6" s="3">
        <f>IF($A6="","",IF($B6="","",IF(TODAY()&lt;$B6+540,"-",SUMPRODUCT(('Picked Students (raw)'!$B$2:$B$824=$A6)*('Picked Students (raw)'!$E$2:$E$824="Fresher")*('Picked Students (raw)'!$C$2:$C$824&lt;&gt;"")*(('Picked Students (raw)'!$C$2:$C$824-$B6)&lt;540)))))</f>
        <v/>
      </c>
      <c r="AO6" s="5">
        <f>IF($A6="","",IF(AN6="-","-",IF($D6=0,0,AN6/$D6)))</f>
        <v/>
      </c>
      <c r="AP6" s="3">
        <f>IF($A6="","",IF(AN6="-","-",$E6-AN6))</f>
        <v/>
      </c>
    </row>
    <row r="7">
      <c r="A7" s="3" t="inlineStr">
        <is>
          <t>Professional Certificate Course In Data Science - August 2023</t>
        </is>
      </c>
      <c r="B7" s="4">
        <f>IF($A7="","",IFERROR(INDEX('Batch Enrollment (Metabase)'!$D$2:$D$47,MATCH($A7,'Batch Enrollment (Metabase)'!$A$2:$A$47,0)),""))</f>
        <v/>
      </c>
      <c r="C7" s="3">
        <f>IF($A7="","",IFERROR(INDEX('Batch Enrollment (Metabase)'!$E$2:$E$47,MATCH($A7,'Batch Enrollment (Metabase)'!$A$2:$A$47,0)),""))</f>
        <v/>
      </c>
      <c r="D7" s="3">
        <f>IF($A7="","",IFERROR(INDEX('Batch Enrollment (Metabase)'!$F$2:$F$47,MATCH($A7,'Batch Enrollment (Metabase)'!$A$2:$A$47,0)),""))</f>
        <v/>
      </c>
      <c r="E7" s="3">
        <f>IF($A7="","",COUNTIFS('Picked Students (raw)'!$B$2:$B$824,$A7,'Picked Students (raw)'!$E$2:$E$824,"Fresher"))</f>
        <v/>
      </c>
      <c r="F7" s="3">
        <f>IF($A7="","",IF($B7="","",IF(TODAY()&lt;$B7+30,"-",SUMPRODUCT(('Picked Students (raw)'!$B$2:$B$824=$A7)*('Picked Students (raw)'!$E$2:$E$824="Fresher")*('Picked Students (raw)'!$C$2:$C$824&lt;&gt;"")*(('Picked Students (raw)'!$C$2:$C$824-$B7)&lt;30)))))</f>
        <v/>
      </c>
      <c r="G7" s="5">
        <f>IF($A7="","",IF(F7="-","-",IF($D7=0,0,F7/$D7)))</f>
        <v/>
      </c>
      <c r="H7" s="3">
        <f>IF($A7="","",IF($B7="","",IF(TODAY()&lt;$B7+60,"-",SUMPRODUCT(('Picked Students (raw)'!$B$2:$B$824=$A7)*('Picked Students (raw)'!$E$2:$E$824="Fresher")*('Picked Students (raw)'!$C$2:$C$824&lt;&gt;"")*(('Picked Students (raw)'!$C$2:$C$824-$B7)&lt;60)))))</f>
        <v/>
      </c>
      <c r="I7" s="5">
        <f>IF($A7="","",IF(H7="-","-",IF($D7=0,0,H7/$D7)))</f>
        <v/>
      </c>
      <c r="J7" s="3">
        <f>IF($A7="","",IF($B7="","",IF(TODAY()&lt;$B7+90,"-",SUMPRODUCT(('Picked Students (raw)'!$B$2:$B$824=$A7)*('Picked Students (raw)'!$E$2:$E$824="Fresher")*('Picked Students (raw)'!$C$2:$C$824&lt;&gt;"")*(('Picked Students (raw)'!$C$2:$C$824-$B7)&lt;90)))))</f>
        <v/>
      </c>
      <c r="K7" s="5">
        <f>IF($A7="","",IF(J7="-","-",IF($D7=0,0,J7/$D7)))</f>
        <v/>
      </c>
      <c r="L7" s="3">
        <f>IF($A7="","",IF($B7="","",IF(TODAY()&lt;$B7+120,"-",SUMPRODUCT(('Picked Students (raw)'!$B$2:$B$824=$A7)*('Picked Students (raw)'!$E$2:$E$824="Fresher")*('Picked Students (raw)'!$C$2:$C$824&lt;&gt;"")*(('Picked Students (raw)'!$C$2:$C$824-$B7)&lt;120)))))</f>
        <v/>
      </c>
      <c r="M7" s="5">
        <f>IF($A7="","",IF(L7="-","-",IF($D7=0,0,L7/$D7)))</f>
        <v/>
      </c>
      <c r="N7" s="3">
        <f>IF($A7="","",IF($B7="","",IF(TODAY()&lt;$B7+150,"-",SUMPRODUCT(('Picked Students (raw)'!$B$2:$B$824=$A7)*('Picked Students (raw)'!$E$2:$E$824="Fresher")*('Picked Students (raw)'!$C$2:$C$824&lt;&gt;"")*(('Picked Students (raw)'!$C$2:$C$824-$B7)&lt;150)))))</f>
        <v/>
      </c>
      <c r="O7" s="5">
        <f>IF($A7="","",IF(N7="-","-",IF($D7=0,0,N7/$D7)))</f>
        <v/>
      </c>
      <c r="P7" s="3">
        <f>IF($A7="","",IF($B7="","",IF(TODAY()&lt;$B7+180,"-",SUMPRODUCT(('Picked Students (raw)'!$B$2:$B$824=$A7)*('Picked Students (raw)'!$E$2:$E$824="Fresher")*('Picked Students (raw)'!$C$2:$C$824&lt;&gt;"")*(('Picked Students (raw)'!$C$2:$C$824-$B7)&lt;180)))))</f>
        <v/>
      </c>
      <c r="Q7" s="5">
        <f>IF($A7="","",IF(P7="-","-",IF($D7=0,0,P7/$D7)))</f>
        <v/>
      </c>
      <c r="R7" s="3">
        <f>IF($A7="","",IF($B7="","",IF(TODAY()&lt;$B7+210,"-",SUMPRODUCT(('Picked Students (raw)'!$B$2:$B$824=$A7)*('Picked Students (raw)'!$E$2:$E$824="Fresher")*('Picked Students (raw)'!$C$2:$C$824&lt;&gt;"")*(('Picked Students (raw)'!$C$2:$C$824-$B7)&lt;210)))))</f>
        <v/>
      </c>
      <c r="S7" s="5">
        <f>IF($A7="","",IF(R7="-","-",IF($D7=0,0,R7/$D7)))</f>
        <v/>
      </c>
      <c r="T7" s="3">
        <f>IF($A7="","",IF($B7="","",IF(TODAY()&lt;$B7+240,"-",SUMPRODUCT(('Picked Students (raw)'!$B$2:$B$824=$A7)*('Picked Students (raw)'!$E$2:$E$824="Fresher")*('Picked Students (raw)'!$C$2:$C$824&lt;&gt;"")*(('Picked Students (raw)'!$C$2:$C$824-$B7)&lt;240)))))</f>
        <v/>
      </c>
      <c r="U7" s="5">
        <f>IF($A7="","",IF(T7="-","-",IF($D7=0,0,T7/$D7)))</f>
        <v/>
      </c>
      <c r="V7" s="3">
        <f>IF($A7="","",IF($B7="","",IF(TODAY()&lt;$B7+270,"-",SUMPRODUCT(('Picked Students (raw)'!$B$2:$B$824=$A7)*('Picked Students (raw)'!$E$2:$E$824="Fresher")*('Picked Students (raw)'!$C$2:$C$824&lt;&gt;"")*(('Picked Students (raw)'!$C$2:$C$824-$B7)&lt;270)))))</f>
        <v/>
      </c>
      <c r="W7" s="5">
        <f>IF($A7="","",IF(V7="-","-",IF($D7=0,0,V7/$D7)))</f>
        <v/>
      </c>
      <c r="X7" s="3">
        <f>IF($A7="","",IF($B7="","",IF(TODAY()&lt;$B7+300,"-",SUMPRODUCT(('Picked Students (raw)'!$B$2:$B$824=$A7)*('Picked Students (raw)'!$E$2:$E$824="Fresher")*('Picked Students (raw)'!$C$2:$C$824&lt;&gt;"")*(('Picked Students (raw)'!$C$2:$C$824-$B7)&lt;300)))))</f>
        <v/>
      </c>
      <c r="Y7" s="5">
        <f>IF($A7="","",IF(X7="-","-",IF($D7=0,0,X7/$D7)))</f>
        <v/>
      </c>
      <c r="Z7" s="3">
        <f>IF($A7="","",IF($B7="","",IF(TODAY()&lt;$B7+330,"-",SUMPRODUCT(('Picked Students (raw)'!$B$2:$B$824=$A7)*('Picked Students (raw)'!$E$2:$E$824="Fresher")*('Picked Students (raw)'!$C$2:$C$824&lt;&gt;"")*(('Picked Students (raw)'!$C$2:$C$824-$B7)&lt;330)))))</f>
        <v/>
      </c>
      <c r="AA7" s="5">
        <f>IF($A7="","",IF(Z7="-","-",IF($D7=0,0,Z7/$D7)))</f>
        <v/>
      </c>
      <c r="AB7" s="3">
        <f>IF($A7="","",IF($B7="","",IF(TODAY()&lt;$B7+360,"-",SUMPRODUCT(('Picked Students (raw)'!$B$2:$B$824=$A7)*('Picked Students (raw)'!$E$2:$E$824="Fresher")*('Picked Students (raw)'!$C$2:$C$824&lt;&gt;"")*(('Picked Students (raw)'!$C$2:$C$824-$B7)&lt;360)))))</f>
        <v/>
      </c>
      <c r="AC7" s="5">
        <f>IF($A7="","",IF(AB7="-","-",IF($D7=0,0,AB7/$D7)))</f>
        <v/>
      </c>
      <c r="AD7" s="3">
        <f>IF($A7="","",IF($B7="","",IF(TODAY()&lt;$B7+390,"-",SUMPRODUCT(('Picked Students (raw)'!$B$2:$B$824=$A7)*('Picked Students (raw)'!$E$2:$E$824="Fresher")*('Picked Students (raw)'!$C$2:$C$824&lt;&gt;"")*(('Picked Students (raw)'!$C$2:$C$824-$B7)&lt;390)))))</f>
        <v/>
      </c>
      <c r="AE7" s="5">
        <f>IF($A7="","",IF(AD7="-","-",IF($D7=0,0,AD7/$D7)))</f>
        <v/>
      </c>
      <c r="AF7" s="3">
        <f>IF($A7="","",IF($B7="","",IF(TODAY()&lt;$B7+420,"-",SUMPRODUCT(('Picked Students (raw)'!$B$2:$B$824=$A7)*('Picked Students (raw)'!$E$2:$E$824="Fresher")*('Picked Students (raw)'!$C$2:$C$824&lt;&gt;"")*(('Picked Students (raw)'!$C$2:$C$824-$B7)&lt;420)))))</f>
        <v/>
      </c>
      <c r="AG7" s="5">
        <f>IF($A7="","",IF(AF7="-","-",IF($D7=0,0,AF7/$D7)))</f>
        <v/>
      </c>
      <c r="AH7" s="3">
        <f>IF($A7="","",IF($B7="","",IF(TODAY()&lt;$B7+450,"-",SUMPRODUCT(('Picked Students (raw)'!$B$2:$B$824=$A7)*('Picked Students (raw)'!$E$2:$E$824="Fresher")*('Picked Students (raw)'!$C$2:$C$824&lt;&gt;"")*(('Picked Students (raw)'!$C$2:$C$824-$B7)&lt;450)))))</f>
        <v/>
      </c>
      <c r="AI7" s="5">
        <f>IF($A7="","",IF(AH7="-","-",IF($D7=0,0,AH7/$D7)))</f>
        <v/>
      </c>
      <c r="AJ7" s="3">
        <f>IF($A7="","",IF($B7="","",IF(TODAY()&lt;$B7+480,"-",SUMPRODUCT(('Picked Students (raw)'!$B$2:$B$824=$A7)*('Picked Students (raw)'!$E$2:$E$824="Fresher")*('Picked Students (raw)'!$C$2:$C$824&lt;&gt;"")*(('Picked Students (raw)'!$C$2:$C$824-$B7)&lt;480)))))</f>
        <v/>
      </c>
      <c r="AK7" s="5">
        <f>IF($A7="","",IF(AJ7="-","-",IF($D7=0,0,AJ7/$D7)))</f>
        <v/>
      </c>
      <c r="AL7" s="3">
        <f>IF($A7="","",IF($B7="","",IF(TODAY()&lt;$B7+510,"-",SUMPRODUCT(('Picked Students (raw)'!$B$2:$B$824=$A7)*('Picked Students (raw)'!$E$2:$E$824="Fresher")*('Picked Students (raw)'!$C$2:$C$824&lt;&gt;"")*(('Picked Students (raw)'!$C$2:$C$824-$B7)&lt;510)))))</f>
        <v/>
      </c>
      <c r="AM7" s="5">
        <f>IF($A7="","",IF(AL7="-","-",IF($D7=0,0,AL7/$D7)))</f>
        <v/>
      </c>
      <c r="AN7" s="3">
        <f>IF($A7="","",IF($B7="","",IF(TODAY()&lt;$B7+540,"-",SUMPRODUCT(('Picked Students (raw)'!$B$2:$B$824=$A7)*('Picked Students (raw)'!$E$2:$E$824="Fresher")*('Picked Students (raw)'!$C$2:$C$824&lt;&gt;"")*(('Picked Students (raw)'!$C$2:$C$824-$B7)&lt;540)))))</f>
        <v/>
      </c>
      <c r="AO7" s="5">
        <f>IF($A7="","",IF(AN7="-","-",IF($D7=0,0,AN7/$D7)))</f>
        <v/>
      </c>
      <c r="AP7" s="3">
        <f>IF($A7="","",IF(AN7="-","-",$E7-AN7))</f>
        <v/>
      </c>
    </row>
    <row r="8">
      <c r="A8" s="3" t="inlineStr">
        <is>
          <t>Professional Certificate Course In Data Science - September 2023</t>
        </is>
      </c>
      <c r="B8" s="4">
        <f>IF($A8="","",IFERROR(INDEX('Batch Enrollment (Metabase)'!$D$2:$D$47,MATCH($A8,'Batch Enrollment (Metabase)'!$A$2:$A$47,0)),""))</f>
        <v/>
      </c>
      <c r="C8" s="3">
        <f>IF($A8="","",IFERROR(INDEX('Batch Enrollment (Metabase)'!$E$2:$E$47,MATCH($A8,'Batch Enrollment (Metabase)'!$A$2:$A$47,0)),""))</f>
        <v/>
      </c>
      <c r="D8" s="3">
        <f>IF($A8="","",IFERROR(INDEX('Batch Enrollment (Metabase)'!$F$2:$F$47,MATCH($A8,'Batch Enrollment (Metabase)'!$A$2:$A$47,0)),""))</f>
        <v/>
      </c>
      <c r="E8" s="3">
        <f>IF($A8="","",COUNTIFS('Picked Students (raw)'!$B$2:$B$824,$A8,'Picked Students (raw)'!$E$2:$E$824,"Fresher"))</f>
        <v/>
      </c>
      <c r="F8" s="3">
        <f>IF($A8="","",IF($B8="","",IF(TODAY()&lt;$B8+30,"-",SUMPRODUCT(('Picked Students (raw)'!$B$2:$B$824=$A8)*('Picked Students (raw)'!$E$2:$E$824="Fresher")*('Picked Students (raw)'!$C$2:$C$824&lt;&gt;"")*(('Picked Students (raw)'!$C$2:$C$824-$B8)&lt;30)))))</f>
        <v/>
      </c>
      <c r="G8" s="5">
        <f>IF($A8="","",IF(F8="-","-",IF($D8=0,0,F8/$D8)))</f>
        <v/>
      </c>
      <c r="H8" s="3">
        <f>IF($A8="","",IF($B8="","",IF(TODAY()&lt;$B8+60,"-",SUMPRODUCT(('Picked Students (raw)'!$B$2:$B$824=$A8)*('Picked Students (raw)'!$E$2:$E$824="Fresher")*('Picked Students (raw)'!$C$2:$C$824&lt;&gt;"")*(('Picked Students (raw)'!$C$2:$C$824-$B8)&lt;60)))))</f>
        <v/>
      </c>
      <c r="I8" s="5">
        <f>IF($A8="","",IF(H8="-","-",IF($D8=0,0,H8/$D8)))</f>
        <v/>
      </c>
      <c r="J8" s="3">
        <f>IF($A8="","",IF($B8="","",IF(TODAY()&lt;$B8+90,"-",SUMPRODUCT(('Picked Students (raw)'!$B$2:$B$824=$A8)*('Picked Students (raw)'!$E$2:$E$824="Fresher")*('Picked Students (raw)'!$C$2:$C$824&lt;&gt;"")*(('Picked Students (raw)'!$C$2:$C$824-$B8)&lt;90)))))</f>
        <v/>
      </c>
      <c r="K8" s="5">
        <f>IF($A8="","",IF(J8="-","-",IF($D8=0,0,J8/$D8)))</f>
        <v/>
      </c>
      <c r="L8" s="3">
        <f>IF($A8="","",IF($B8="","",IF(TODAY()&lt;$B8+120,"-",SUMPRODUCT(('Picked Students (raw)'!$B$2:$B$824=$A8)*('Picked Students (raw)'!$E$2:$E$824="Fresher")*('Picked Students (raw)'!$C$2:$C$824&lt;&gt;"")*(('Picked Students (raw)'!$C$2:$C$824-$B8)&lt;120)))))</f>
        <v/>
      </c>
      <c r="M8" s="5">
        <f>IF($A8="","",IF(L8="-","-",IF($D8=0,0,L8/$D8)))</f>
        <v/>
      </c>
      <c r="N8" s="3">
        <f>IF($A8="","",IF($B8="","",IF(TODAY()&lt;$B8+150,"-",SUMPRODUCT(('Picked Students (raw)'!$B$2:$B$824=$A8)*('Picked Students (raw)'!$E$2:$E$824="Fresher")*('Picked Students (raw)'!$C$2:$C$824&lt;&gt;"")*(('Picked Students (raw)'!$C$2:$C$824-$B8)&lt;150)))))</f>
        <v/>
      </c>
      <c r="O8" s="5">
        <f>IF($A8="","",IF(N8="-","-",IF($D8=0,0,N8/$D8)))</f>
        <v/>
      </c>
      <c r="P8" s="3">
        <f>IF($A8="","",IF($B8="","",IF(TODAY()&lt;$B8+180,"-",SUMPRODUCT(('Picked Students (raw)'!$B$2:$B$824=$A8)*('Picked Students (raw)'!$E$2:$E$824="Fresher")*('Picked Students (raw)'!$C$2:$C$824&lt;&gt;"")*(('Picked Students (raw)'!$C$2:$C$824-$B8)&lt;180)))))</f>
        <v/>
      </c>
      <c r="Q8" s="5">
        <f>IF($A8="","",IF(P8="-","-",IF($D8=0,0,P8/$D8)))</f>
        <v/>
      </c>
      <c r="R8" s="3">
        <f>IF($A8="","",IF($B8="","",IF(TODAY()&lt;$B8+210,"-",SUMPRODUCT(('Picked Students (raw)'!$B$2:$B$824=$A8)*('Picked Students (raw)'!$E$2:$E$824="Fresher")*('Picked Students (raw)'!$C$2:$C$824&lt;&gt;"")*(('Picked Students (raw)'!$C$2:$C$824-$B8)&lt;210)))))</f>
        <v/>
      </c>
      <c r="S8" s="5">
        <f>IF($A8="","",IF(R8="-","-",IF($D8=0,0,R8/$D8)))</f>
        <v/>
      </c>
      <c r="T8" s="3">
        <f>IF($A8="","",IF($B8="","",IF(TODAY()&lt;$B8+240,"-",SUMPRODUCT(('Picked Students (raw)'!$B$2:$B$824=$A8)*('Picked Students (raw)'!$E$2:$E$824="Fresher")*('Picked Students (raw)'!$C$2:$C$824&lt;&gt;"")*(('Picked Students (raw)'!$C$2:$C$824-$B8)&lt;240)))))</f>
        <v/>
      </c>
      <c r="U8" s="5">
        <f>IF($A8="","",IF(T8="-","-",IF($D8=0,0,T8/$D8)))</f>
        <v/>
      </c>
      <c r="V8" s="3">
        <f>IF($A8="","",IF($B8="","",IF(TODAY()&lt;$B8+270,"-",SUMPRODUCT(('Picked Students (raw)'!$B$2:$B$824=$A8)*('Picked Students (raw)'!$E$2:$E$824="Fresher")*('Picked Students (raw)'!$C$2:$C$824&lt;&gt;"")*(('Picked Students (raw)'!$C$2:$C$824-$B8)&lt;270)))))</f>
        <v/>
      </c>
      <c r="W8" s="5">
        <f>IF($A8="","",IF(V8="-","-",IF($D8=0,0,V8/$D8)))</f>
        <v/>
      </c>
      <c r="X8" s="3">
        <f>IF($A8="","",IF($B8="","",IF(TODAY()&lt;$B8+300,"-",SUMPRODUCT(('Picked Students (raw)'!$B$2:$B$824=$A8)*('Picked Students (raw)'!$E$2:$E$824="Fresher")*('Picked Students (raw)'!$C$2:$C$824&lt;&gt;"")*(('Picked Students (raw)'!$C$2:$C$824-$B8)&lt;300)))))</f>
        <v/>
      </c>
      <c r="Y8" s="5">
        <f>IF($A8="","",IF(X8="-","-",IF($D8=0,0,X8/$D8)))</f>
        <v/>
      </c>
      <c r="Z8" s="3">
        <f>IF($A8="","",IF($B8="","",IF(TODAY()&lt;$B8+330,"-",SUMPRODUCT(('Picked Students (raw)'!$B$2:$B$824=$A8)*('Picked Students (raw)'!$E$2:$E$824="Fresher")*('Picked Students (raw)'!$C$2:$C$824&lt;&gt;"")*(('Picked Students (raw)'!$C$2:$C$824-$B8)&lt;330)))))</f>
        <v/>
      </c>
      <c r="AA8" s="5">
        <f>IF($A8="","",IF(Z8="-","-",IF($D8=0,0,Z8/$D8)))</f>
        <v/>
      </c>
      <c r="AB8" s="3">
        <f>IF($A8="","",IF($B8="","",IF(TODAY()&lt;$B8+360,"-",SUMPRODUCT(('Picked Students (raw)'!$B$2:$B$824=$A8)*('Picked Students (raw)'!$E$2:$E$824="Fresher")*('Picked Students (raw)'!$C$2:$C$824&lt;&gt;"")*(('Picked Students (raw)'!$C$2:$C$824-$B8)&lt;360)))))</f>
        <v/>
      </c>
      <c r="AC8" s="5">
        <f>IF($A8="","",IF(AB8="-","-",IF($D8=0,0,AB8/$D8)))</f>
        <v/>
      </c>
      <c r="AD8" s="3">
        <f>IF($A8="","",IF($B8="","",IF(TODAY()&lt;$B8+390,"-",SUMPRODUCT(('Picked Students (raw)'!$B$2:$B$824=$A8)*('Picked Students (raw)'!$E$2:$E$824="Fresher")*('Picked Students (raw)'!$C$2:$C$824&lt;&gt;"")*(('Picked Students (raw)'!$C$2:$C$824-$B8)&lt;390)))))</f>
        <v/>
      </c>
      <c r="AE8" s="5">
        <f>IF($A8="","",IF(AD8="-","-",IF($D8=0,0,AD8/$D8)))</f>
        <v/>
      </c>
      <c r="AF8" s="3">
        <f>IF($A8="","",IF($B8="","",IF(TODAY()&lt;$B8+420,"-",SUMPRODUCT(('Picked Students (raw)'!$B$2:$B$824=$A8)*('Picked Students (raw)'!$E$2:$E$824="Fresher")*('Picked Students (raw)'!$C$2:$C$824&lt;&gt;"")*(('Picked Students (raw)'!$C$2:$C$824-$B8)&lt;420)))))</f>
        <v/>
      </c>
      <c r="AG8" s="5">
        <f>IF($A8="","",IF(AF8="-","-",IF($D8=0,0,AF8/$D8)))</f>
        <v/>
      </c>
      <c r="AH8" s="3">
        <f>IF($A8="","",IF($B8="","",IF(TODAY()&lt;$B8+450,"-",SUMPRODUCT(('Picked Students (raw)'!$B$2:$B$824=$A8)*('Picked Students (raw)'!$E$2:$E$824="Fresher")*('Picked Students (raw)'!$C$2:$C$824&lt;&gt;"")*(('Picked Students (raw)'!$C$2:$C$824-$B8)&lt;450)))))</f>
        <v/>
      </c>
      <c r="AI8" s="5">
        <f>IF($A8="","",IF(AH8="-","-",IF($D8=0,0,AH8/$D8)))</f>
        <v/>
      </c>
      <c r="AJ8" s="3">
        <f>IF($A8="","",IF($B8="","",IF(TODAY()&lt;$B8+480,"-",SUMPRODUCT(('Picked Students (raw)'!$B$2:$B$824=$A8)*('Picked Students (raw)'!$E$2:$E$824="Fresher")*('Picked Students (raw)'!$C$2:$C$824&lt;&gt;"")*(('Picked Students (raw)'!$C$2:$C$824-$B8)&lt;480)))))</f>
        <v/>
      </c>
      <c r="AK8" s="5">
        <f>IF($A8="","",IF(AJ8="-","-",IF($D8=0,0,AJ8/$D8)))</f>
        <v/>
      </c>
      <c r="AL8" s="3">
        <f>IF($A8="","",IF($B8="","",IF(TODAY()&lt;$B8+510,"-",SUMPRODUCT(('Picked Students (raw)'!$B$2:$B$824=$A8)*('Picked Students (raw)'!$E$2:$E$824="Fresher")*('Picked Students (raw)'!$C$2:$C$824&lt;&gt;"")*(('Picked Students (raw)'!$C$2:$C$824-$B8)&lt;510)))))</f>
        <v/>
      </c>
      <c r="AM8" s="5">
        <f>IF($A8="","",IF(AL8="-","-",IF($D8=0,0,AL8/$D8)))</f>
        <v/>
      </c>
      <c r="AN8" s="3">
        <f>IF($A8="","",IF($B8="","",IF(TODAY()&lt;$B8+540,"-",SUMPRODUCT(('Picked Students (raw)'!$B$2:$B$824=$A8)*('Picked Students (raw)'!$E$2:$E$824="Fresher")*('Picked Students (raw)'!$C$2:$C$824&lt;&gt;"")*(('Picked Students (raw)'!$C$2:$C$824-$B8)&lt;540)))))</f>
        <v/>
      </c>
      <c r="AO8" s="5">
        <f>IF($A8="","",IF(AN8="-","-",IF($D8=0,0,AN8/$D8)))</f>
        <v/>
      </c>
      <c r="AP8" s="3">
        <f>IF($A8="","",IF(AN8="-","-",$E8-AN8))</f>
        <v/>
      </c>
    </row>
    <row r="9">
      <c r="A9" s="3" t="inlineStr">
        <is>
          <t>Professional Certificate Course In Data Science - October 2023</t>
        </is>
      </c>
      <c r="B9" s="4">
        <f>IF($A9="","",IFERROR(INDEX('Batch Enrollment (Metabase)'!$D$2:$D$47,MATCH($A9,'Batch Enrollment (Metabase)'!$A$2:$A$47,0)),""))</f>
        <v/>
      </c>
      <c r="C9" s="3">
        <f>IF($A9="","",IFERROR(INDEX('Batch Enrollment (Metabase)'!$E$2:$E$47,MATCH($A9,'Batch Enrollment (Metabase)'!$A$2:$A$47,0)),""))</f>
        <v/>
      </c>
      <c r="D9" s="3">
        <f>IF($A9="","",IFERROR(INDEX('Batch Enrollment (Metabase)'!$F$2:$F$47,MATCH($A9,'Batch Enrollment (Metabase)'!$A$2:$A$47,0)),""))</f>
        <v/>
      </c>
      <c r="E9" s="3">
        <f>IF($A9="","",COUNTIFS('Picked Students (raw)'!$B$2:$B$824,$A9,'Picked Students (raw)'!$E$2:$E$824,"Fresher"))</f>
        <v/>
      </c>
      <c r="F9" s="3">
        <f>IF($A9="","",IF($B9="","",IF(TODAY()&lt;$B9+30,"-",SUMPRODUCT(('Picked Students (raw)'!$B$2:$B$824=$A9)*('Picked Students (raw)'!$E$2:$E$824="Fresher")*('Picked Students (raw)'!$C$2:$C$824&lt;&gt;"")*(('Picked Students (raw)'!$C$2:$C$824-$B9)&lt;30)))))</f>
        <v/>
      </c>
      <c r="G9" s="5">
        <f>IF($A9="","",IF(F9="-","-",IF($D9=0,0,F9/$D9)))</f>
        <v/>
      </c>
      <c r="H9" s="3">
        <f>IF($A9="","",IF($B9="","",IF(TODAY()&lt;$B9+60,"-",SUMPRODUCT(('Picked Students (raw)'!$B$2:$B$824=$A9)*('Picked Students (raw)'!$E$2:$E$824="Fresher")*('Picked Students (raw)'!$C$2:$C$824&lt;&gt;"")*(('Picked Students (raw)'!$C$2:$C$824-$B9)&lt;60)))))</f>
        <v/>
      </c>
      <c r="I9" s="5">
        <f>IF($A9="","",IF(H9="-","-",IF($D9=0,0,H9/$D9)))</f>
        <v/>
      </c>
      <c r="J9" s="3">
        <f>IF($A9="","",IF($B9="","",IF(TODAY()&lt;$B9+90,"-",SUMPRODUCT(('Picked Students (raw)'!$B$2:$B$824=$A9)*('Picked Students (raw)'!$E$2:$E$824="Fresher")*('Picked Students (raw)'!$C$2:$C$824&lt;&gt;"")*(('Picked Students (raw)'!$C$2:$C$824-$B9)&lt;90)))))</f>
        <v/>
      </c>
      <c r="K9" s="5">
        <f>IF($A9="","",IF(J9="-","-",IF($D9=0,0,J9/$D9)))</f>
        <v/>
      </c>
      <c r="L9" s="3">
        <f>IF($A9="","",IF($B9="","",IF(TODAY()&lt;$B9+120,"-",SUMPRODUCT(('Picked Students (raw)'!$B$2:$B$824=$A9)*('Picked Students (raw)'!$E$2:$E$824="Fresher")*('Picked Students (raw)'!$C$2:$C$824&lt;&gt;"")*(('Picked Students (raw)'!$C$2:$C$824-$B9)&lt;120)))))</f>
        <v/>
      </c>
      <c r="M9" s="5">
        <f>IF($A9="","",IF(L9="-","-",IF($D9=0,0,L9/$D9)))</f>
        <v/>
      </c>
      <c r="N9" s="3">
        <f>IF($A9="","",IF($B9="","",IF(TODAY()&lt;$B9+150,"-",SUMPRODUCT(('Picked Students (raw)'!$B$2:$B$824=$A9)*('Picked Students (raw)'!$E$2:$E$824="Fresher")*('Picked Students (raw)'!$C$2:$C$824&lt;&gt;"")*(('Picked Students (raw)'!$C$2:$C$824-$B9)&lt;150)))))</f>
        <v/>
      </c>
      <c r="O9" s="5">
        <f>IF($A9="","",IF(N9="-","-",IF($D9=0,0,N9/$D9)))</f>
        <v/>
      </c>
      <c r="P9" s="3">
        <f>IF($A9="","",IF($B9="","",IF(TODAY()&lt;$B9+180,"-",SUMPRODUCT(('Picked Students (raw)'!$B$2:$B$824=$A9)*('Picked Students (raw)'!$E$2:$E$824="Fresher")*('Picked Students (raw)'!$C$2:$C$824&lt;&gt;"")*(('Picked Students (raw)'!$C$2:$C$824-$B9)&lt;180)))))</f>
        <v/>
      </c>
      <c r="Q9" s="5">
        <f>IF($A9="","",IF(P9="-","-",IF($D9=0,0,P9/$D9)))</f>
        <v/>
      </c>
      <c r="R9" s="3">
        <f>IF($A9="","",IF($B9="","",IF(TODAY()&lt;$B9+210,"-",SUMPRODUCT(('Picked Students (raw)'!$B$2:$B$824=$A9)*('Picked Students (raw)'!$E$2:$E$824="Fresher")*('Picked Students (raw)'!$C$2:$C$824&lt;&gt;"")*(('Picked Students (raw)'!$C$2:$C$824-$B9)&lt;210)))))</f>
        <v/>
      </c>
      <c r="S9" s="5">
        <f>IF($A9="","",IF(R9="-","-",IF($D9=0,0,R9/$D9)))</f>
        <v/>
      </c>
      <c r="T9" s="3">
        <f>IF($A9="","",IF($B9="","",IF(TODAY()&lt;$B9+240,"-",SUMPRODUCT(('Picked Students (raw)'!$B$2:$B$824=$A9)*('Picked Students (raw)'!$E$2:$E$824="Fresher")*('Picked Students (raw)'!$C$2:$C$824&lt;&gt;"")*(('Picked Students (raw)'!$C$2:$C$824-$B9)&lt;240)))))</f>
        <v/>
      </c>
      <c r="U9" s="5">
        <f>IF($A9="","",IF(T9="-","-",IF($D9=0,0,T9/$D9)))</f>
        <v/>
      </c>
      <c r="V9" s="3">
        <f>IF($A9="","",IF($B9="","",IF(TODAY()&lt;$B9+270,"-",SUMPRODUCT(('Picked Students (raw)'!$B$2:$B$824=$A9)*('Picked Students (raw)'!$E$2:$E$824="Fresher")*('Picked Students (raw)'!$C$2:$C$824&lt;&gt;"")*(('Picked Students (raw)'!$C$2:$C$824-$B9)&lt;270)))))</f>
        <v/>
      </c>
      <c r="W9" s="5">
        <f>IF($A9="","",IF(V9="-","-",IF($D9=0,0,V9/$D9)))</f>
        <v/>
      </c>
      <c r="X9" s="3">
        <f>IF($A9="","",IF($B9="","",IF(TODAY()&lt;$B9+300,"-",SUMPRODUCT(('Picked Students (raw)'!$B$2:$B$824=$A9)*('Picked Students (raw)'!$E$2:$E$824="Fresher")*('Picked Students (raw)'!$C$2:$C$824&lt;&gt;"")*(('Picked Students (raw)'!$C$2:$C$824-$B9)&lt;300)))))</f>
        <v/>
      </c>
      <c r="Y9" s="5">
        <f>IF($A9="","",IF(X9="-","-",IF($D9=0,0,X9/$D9)))</f>
        <v/>
      </c>
      <c r="Z9" s="3">
        <f>IF($A9="","",IF($B9="","",IF(TODAY()&lt;$B9+330,"-",SUMPRODUCT(('Picked Students (raw)'!$B$2:$B$824=$A9)*('Picked Students (raw)'!$E$2:$E$824="Fresher")*('Picked Students (raw)'!$C$2:$C$824&lt;&gt;"")*(('Picked Students (raw)'!$C$2:$C$824-$B9)&lt;330)))))</f>
        <v/>
      </c>
      <c r="AA9" s="5">
        <f>IF($A9="","",IF(Z9="-","-",IF($D9=0,0,Z9/$D9)))</f>
        <v/>
      </c>
      <c r="AB9" s="3">
        <f>IF($A9="","",IF($B9="","",IF(TODAY()&lt;$B9+360,"-",SUMPRODUCT(('Picked Students (raw)'!$B$2:$B$824=$A9)*('Picked Students (raw)'!$E$2:$E$824="Fresher")*('Picked Students (raw)'!$C$2:$C$824&lt;&gt;"")*(('Picked Students (raw)'!$C$2:$C$824-$B9)&lt;360)))))</f>
        <v/>
      </c>
      <c r="AC9" s="5">
        <f>IF($A9="","",IF(AB9="-","-",IF($D9=0,0,AB9/$D9)))</f>
        <v/>
      </c>
      <c r="AD9" s="3">
        <f>IF($A9="","",IF($B9="","",IF(TODAY()&lt;$B9+390,"-",SUMPRODUCT(('Picked Students (raw)'!$B$2:$B$824=$A9)*('Picked Students (raw)'!$E$2:$E$824="Fresher")*('Picked Students (raw)'!$C$2:$C$824&lt;&gt;"")*(('Picked Students (raw)'!$C$2:$C$824-$B9)&lt;390)))))</f>
        <v/>
      </c>
      <c r="AE9" s="5">
        <f>IF($A9="","",IF(AD9="-","-",IF($D9=0,0,AD9/$D9)))</f>
        <v/>
      </c>
      <c r="AF9" s="3">
        <f>IF($A9="","",IF($B9="","",IF(TODAY()&lt;$B9+420,"-",SUMPRODUCT(('Picked Students (raw)'!$B$2:$B$824=$A9)*('Picked Students (raw)'!$E$2:$E$824="Fresher")*('Picked Students (raw)'!$C$2:$C$824&lt;&gt;"")*(('Picked Students (raw)'!$C$2:$C$824-$B9)&lt;420)))))</f>
        <v/>
      </c>
      <c r="AG9" s="5">
        <f>IF($A9="","",IF(AF9="-","-",IF($D9=0,0,AF9/$D9)))</f>
        <v/>
      </c>
      <c r="AH9" s="3">
        <f>IF($A9="","",IF($B9="","",IF(TODAY()&lt;$B9+450,"-",SUMPRODUCT(('Picked Students (raw)'!$B$2:$B$824=$A9)*('Picked Students (raw)'!$E$2:$E$824="Fresher")*('Picked Students (raw)'!$C$2:$C$824&lt;&gt;"")*(('Picked Students (raw)'!$C$2:$C$824-$B9)&lt;450)))))</f>
        <v/>
      </c>
      <c r="AI9" s="5">
        <f>IF($A9="","",IF(AH9="-","-",IF($D9=0,0,AH9/$D9)))</f>
        <v/>
      </c>
      <c r="AJ9" s="3">
        <f>IF($A9="","",IF($B9="","",IF(TODAY()&lt;$B9+480,"-",SUMPRODUCT(('Picked Students (raw)'!$B$2:$B$824=$A9)*('Picked Students (raw)'!$E$2:$E$824="Fresher")*('Picked Students (raw)'!$C$2:$C$824&lt;&gt;"")*(('Picked Students (raw)'!$C$2:$C$824-$B9)&lt;480)))))</f>
        <v/>
      </c>
      <c r="AK9" s="5">
        <f>IF($A9="","",IF(AJ9="-","-",IF($D9=0,0,AJ9/$D9)))</f>
        <v/>
      </c>
      <c r="AL9" s="3">
        <f>IF($A9="","",IF($B9="","",IF(TODAY()&lt;$B9+510,"-",SUMPRODUCT(('Picked Students (raw)'!$B$2:$B$824=$A9)*('Picked Students (raw)'!$E$2:$E$824="Fresher")*('Picked Students (raw)'!$C$2:$C$824&lt;&gt;"")*(('Picked Students (raw)'!$C$2:$C$824-$B9)&lt;510)))))</f>
        <v/>
      </c>
      <c r="AM9" s="5">
        <f>IF($A9="","",IF(AL9="-","-",IF($D9=0,0,AL9/$D9)))</f>
        <v/>
      </c>
      <c r="AN9" s="3">
        <f>IF($A9="","",IF($B9="","",IF(TODAY()&lt;$B9+540,"-",SUMPRODUCT(('Picked Students (raw)'!$B$2:$B$824=$A9)*('Picked Students (raw)'!$E$2:$E$824="Fresher")*('Picked Students (raw)'!$C$2:$C$824&lt;&gt;"")*(('Picked Students (raw)'!$C$2:$C$824-$B9)&lt;540)))))</f>
        <v/>
      </c>
      <c r="AO9" s="5">
        <f>IF($A9="","",IF(AN9="-","-",IF($D9=0,0,AN9/$D9)))</f>
        <v/>
      </c>
      <c r="AP9" s="3">
        <f>IF($A9="","",IF(AN9="-","-",$E9-AN9))</f>
        <v/>
      </c>
    </row>
    <row r="10">
      <c r="A10" s="3" t="inlineStr">
        <is>
          <t>Professional Certificate Course In Data Science - November 2023</t>
        </is>
      </c>
      <c r="B10" s="4">
        <f>IF($A10="","",IFERROR(INDEX('Batch Enrollment (Metabase)'!$D$2:$D$47,MATCH($A10,'Batch Enrollment (Metabase)'!$A$2:$A$47,0)),""))</f>
        <v/>
      </c>
      <c r="C10" s="3">
        <f>IF($A10="","",IFERROR(INDEX('Batch Enrollment (Metabase)'!$E$2:$E$47,MATCH($A10,'Batch Enrollment (Metabase)'!$A$2:$A$47,0)),""))</f>
        <v/>
      </c>
      <c r="D10" s="3">
        <f>IF($A10="","",IFERROR(INDEX('Batch Enrollment (Metabase)'!$F$2:$F$47,MATCH($A10,'Batch Enrollment (Metabase)'!$A$2:$A$47,0)),""))</f>
        <v/>
      </c>
      <c r="E10" s="3">
        <f>IF($A10="","",COUNTIFS('Picked Students (raw)'!$B$2:$B$824,$A10,'Picked Students (raw)'!$E$2:$E$824,"Fresher"))</f>
        <v/>
      </c>
      <c r="F10" s="3">
        <f>IF($A10="","",IF($B10="","",IF(TODAY()&lt;$B10+30,"-",SUMPRODUCT(('Picked Students (raw)'!$B$2:$B$824=$A10)*('Picked Students (raw)'!$E$2:$E$824="Fresher")*('Picked Students (raw)'!$C$2:$C$824&lt;&gt;"")*(('Picked Students (raw)'!$C$2:$C$824-$B10)&lt;30)))))</f>
        <v/>
      </c>
      <c r="G10" s="5">
        <f>IF($A10="","",IF(F10="-","-",IF($D10=0,0,F10/$D10)))</f>
        <v/>
      </c>
      <c r="H10" s="3">
        <f>IF($A10="","",IF($B10="","",IF(TODAY()&lt;$B10+60,"-",SUMPRODUCT(('Picked Students (raw)'!$B$2:$B$824=$A10)*('Picked Students (raw)'!$E$2:$E$824="Fresher")*('Picked Students (raw)'!$C$2:$C$824&lt;&gt;"")*(('Picked Students (raw)'!$C$2:$C$824-$B10)&lt;60)))))</f>
        <v/>
      </c>
      <c r="I10" s="5">
        <f>IF($A10="","",IF(H10="-","-",IF($D10=0,0,H10/$D10)))</f>
        <v/>
      </c>
      <c r="J10" s="3">
        <f>IF($A10="","",IF($B10="","",IF(TODAY()&lt;$B10+90,"-",SUMPRODUCT(('Picked Students (raw)'!$B$2:$B$824=$A10)*('Picked Students (raw)'!$E$2:$E$824="Fresher")*('Picked Students (raw)'!$C$2:$C$824&lt;&gt;"")*(('Picked Students (raw)'!$C$2:$C$824-$B10)&lt;90)))))</f>
        <v/>
      </c>
      <c r="K10" s="5">
        <f>IF($A10="","",IF(J10="-","-",IF($D10=0,0,J10/$D10)))</f>
        <v/>
      </c>
      <c r="L10" s="3">
        <f>IF($A10="","",IF($B10="","",IF(TODAY()&lt;$B10+120,"-",SUMPRODUCT(('Picked Students (raw)'!$B$2:$B$824=$A10)*('Picked Students (raw)'!$E$2:$E$824="Fresher")*('Picked Students (raw)'!$C$2:$C$824&lt;&gt;"")*(('Picked Students (raw)'!$C$2:$C$824-$B10)&lt;120)))))</f>
        <v/>
      </c>
      <c r="M10" s="5">
        <f>IF($A10="","",IF(L10="-","-",IF($D10=0,0,L10/$D10)))</f>
        <v/>
      </c>
      <c r="N10" s="3">
        <f>IF($A10="","",IF($B10="","",IF(TODAY()&lt;$B10+150,"-",SUMPRODUCT(('Picked Students (raw)'!$B$2:$B$824=$A10)*('Picked Students (raw)'!$E$2:$E$824="Fresher")*('Picked Students (raw)'!$C$2:$C$824&lt;&gt;"")*(('Picked Students (raw)'!$C$2:$C$824-$B10)&lt;150)))))</f>
        <v/>
      </c>
      <c r="O10" s="5">
        <f>IF($A10="","",IF(N10="-","-",IF($D10=0,0,N10/$D10)))</f>
        <v/>
      </c>
      <c r="P10" s="3">
        <f>IF($A10="","",IF($B10="","",IF(TODAY()&lt;$B10+180,"-",SUMPRODUCT(('Picked Students (raw)'!$B$2:$B$824=$A10)*('Picked Students (raw)'!$E$2:$E$824="Fresher")*('Picked Students (raw)'!$C$2:$C$824&lt;&gt;"")*(('Picked Students (raw)'!$C$2:$C$824-$B10)&lt;180)))))</f>
        <v/>
      </c>
      <c r="Q10" s="5">
        <f>IF($A10="","",IF(P10="-","-",IF($D10=0,0,P10/$D10)))</f>
        <v/>
      </c>
      <c r="R10" s="3">
        <f>IF($A10="","",IF($B10="","",IF(TODAY()&lt;$B10+210,"-",SUMPRODUCT(('Picked Students (raw)'!$B$2:$B$824=$A10)*('Picked Students (raw)'!$E$2:$E$824="Fresher")*('Picked Students (raw)'!$C$2:$C$824&lt;&gt;"")*(('Picked Students (raw)'!$C$2:$C$824-$B10)&lt;210)))))</f>
        <v/>
      </c>
      <c r="S10" s="5">
        <f>IF($A10="","",IF(R10="-","-",IF($D10=0,0,R10/$D10)))</f>
        <v/>
      </c>
      <c r="T10" s="3">
        <f>IF($A10="","",IF($B10="","",IF(TODAY()&lt;$B10+240,"-",SUMPRODUCT(('Picked Students (raw)'!$B$2:$B$824=$A10)*('Picked Students (raw)'!$E$2:$E$824="Fresher")*('Picked Students (raw)'!$C$2:$C$824&lt;&gt;"")*(('Picked Students (raw)'!$C$2:$C$824-$B10)&lt;240)))))</f>
        <v/>
      </c>
      <c r="U10" s="5">
        <f>IF($A10="","",IF(T10="-","-",IF($D10=0,0,T10/$D10)))</f>
        <v/>
      </c>
      <c r="V10" s="3">
        <f>IF($A10="","",IF($B10="","",IF(TODAY()&lt;$B10+270,"-",SUMPRODUCT(('Picked Students (raw)'!$B$2:$B$824=$A10)*('Picked Students (raw)'!$E$2:$E$824="Fresher")*('Picked Students (raw)'!$C$2:$C$824&lt;&gt;"")*(('Picked Students (raw)'!$C$2:$C$824-$B10)&lt;270)))))</f>
        <v/>
      </c>
      <c r="W10" s="5">
        <f>IF($A10="","",IF(V10="-","-",IF($D10=0,0,V10/$D10)))</f>
        <v/>
      </c>
      <c r="X10" s="3">
        <f>IF($A10="","",IF($B10="","",IF(TODAY()&lt;$B10+300,"-",SUMPRODUCT(('Picked Students (raw)'!$B$2:$B$824=$A10)*('Picked Students (raw)'!$E$2:$E$824="Fresher")*('Picked Students (raw)'!$C$2:$C$824&lt;&gt;"")*(('Picked Students (raw)'!$C$2:$C$824-$B10)&lt;300)))))</f>
        <v/>
      </c>
      <c r="Y10" s="5">
        <f>IF($A10="","",IF(X10="-","-",IF($D10=0,0,X10/$D10)))</f>
        <v/>
      </c>
      <c r="Z10" s="3">
        <f>IF($A10="","",IF($B10="","",IF(TODAY()&lt;$B10+330,"-",SUMPRODUCT(('Picked Students (raw)'!$B$2:$B$824=$A10)*('Picked Students (raw)'!$E$2:$E$824="Fresher")*('Picked Students (raw)'!$C$2:$C$824&lt;&gt;"")*(('Picked Students (raw)'!$C$2:$C$824-$B10)&lt;330)))))</f>
        <v/>
      </c>
      <c r="AA10" s="5">
        <f>IF($A10="","",IF(Z10="-","-",IF($D10=0,0,Z10/$D10)))</f>
        <v/>
      </c>
      <c r="AB10" s="3">
        <f>IF($A10="","",IF($B10="","",IF(TODAY()&lt;$B10+360,"-",SUMPRODUCT(('Picked Students (raw)'!$B$2:$B$824=$A10)*('Picked Students (raw)'!$E$2:$E$824="Fresher")*('Picked Students (raw)'!$C$2:$C$824&lt;&gt;"")*(('Picked Students (raw)'!$C$2:$C$824-$B10)&lt;360)))))</f>
        <v/>
      </c>
      <c r="AC10" s="5">
        <f>IF($A10="","",IF(AB10="-","-",IF($D10=0,0,AB10/$D10)))</f>
        <v/>
      </c>
      <c r="AD10" s="3">
        <f>IF($A10="","",IF($B10="","",IF(TODAY()&lt;$B10+390,"-",SUMPRODUCT(('Picked Students (raw)'!$B$2:$B$824=$A10)*('Picked Students (raw)'!$E$2:$E$824="Fresher")*('Picked Students (raw)'!$C$2:$C$824&lt;&gt;"")*(('Picked Students (raw)'!$C$2:$C$824-$B10)&lt;390)))))</f>
        <v/>
      </c>
      <c r="AE10" s="5">
        <f>IF($A10="","",IF(AD10="-","-",IF($D10=0,0,AD10/$D10)))</f>
        <v/>
      </c>
      <c r="AF10" s="3">
        <f>IF($A10="","",IF($B10="","",IF(TODAY()&lt;$B10+420,"-",SUMPRODUCT(('Picked Students (raw)'!$B$2:$B$824=$A10)*('Picked Students (raw)'!$E$2:$E$824="Fresher")*('Picked Students (raw)'!$C$2:$C$824&lt;&gt;"")*(('Picked Students (raw)'!$C$2:$C$824-$B10)&lt;420)))))</f>
        <v/>
      </c>
      <c r="AG10" s="5">
        <f>IF($A10="","",IF(AF10="-","-",IF($D10=0,0,AF10/$D10)))</f>
        <v/>
      </c>
      <c r="AH10" s="3">
        <f>IF($A10="","",IF($B10="","",IF(TODAY()&lt;$B10+450,"-",SUMPRODUCT(('Picked Students (raw)'!$B$2:$B$824=$A10)*('Picked Students (raw)'!$E$2:$E$824="Fresher")*('Picked Students (raw)'!$C$2:$C$824&lt;&gt;"")*(('Picked Students (raw)'!$C$2:$C$824-$B10)&lt;450)))))</f>
        <v/>
      </c>
      <c r="AI10" s="5">
        <f>IF($A10="","",IF(AH10="-","-",IF($D10=0,0,AH10/$D10)))</f>
        <v/>
      </c>
      <c r="AJ10" s="3">
        <f>IF($A10="","",IF($B10="","",IF(TODAY()&lt;$B10+480,"-",SUMPRODUCT(('Picked Students (raw)'!$B$2:$B$824=$A10)*('Picked Students (raw)'!$E$2:$E$824="Fresher")*('Picked Students (raw)'!$C$2:$C$824&lt;&gt;"")*(('Picked Students (raw)'!$C$2:$C$824-$B10)&lt;480)))))</f>
        <v/>
      </c>
      <c r="AK10" s="5">
        <f>IF($A10="","",IF(AJ10="-","-",IF($D10=0,0,AJ10/$D10)))</f>
        <v/>
      </c>
      <c r="AL10" s="3">
        <f>IF($A10="","",IF($B10="","",IF(TODAY()&lt;$B10+510,"-",SUMPRODUCT(('Picked Students (raw)'!$B$2:$B$824=$A10)*('Picked Students (raw)'!$E$2:$E$824="Fresher")*('Picked Students (raw)'!$C$2:$C$824&lt;&gt;"")*(('Picked Students (raw)'!$C$2:$C$824-$B10)&lt;510)))))</f>
        <v/>
      </c>
      <c r="AM10" s="5">
        <f>IF($A10="","",IF(AL10="-","-",IF($D10=0,0,AL10/$D10)))</f>
        <v/>
      </c>
      <c r="AN10" s="3">
        <f>IF($A10="","",IF($B10="","",IF(TODAY()&lt;$B10+540,"-",SUMPRODUCT(('Picked Students (raw)'!$B$2:$B$824=$A10)*('Picked Students (raw)'!$E$2:$E$824="Fresher")*('Picked Students (raw)'!$C$2:$C$824&lt;&gt;"")*(('Picked Students (raw)'!$C$2:$C$824-$B10)&lt;540)))))</f>
        <v/>
      </c>
      <c r="AO10" s="5">
        <f>IF($A10="","",IF(AN10="-","-",IF($D10=0,0,AN10/$D10)))</f>
        <v/>
      </c>
      <c r="AP10" s="3">
        <f>IF($A10="","",IF(AN10="-","-",$E10-AN10))</f>
        <v/>
      </c>
    </row>
    <row r="11">
      <c r="A11" s="3" t="inlineStr">
        <is>
          <t>Professional Certificate Course In Data Science - May 2023 - LU</t>
        </is>
      </c>
      <c r="B11" s="4">
        <f>IF($A11="","",IFERROR(INDEX('Batch Enrollment (Metabase)'!$D$2:$D$47,MATCH($A11,'Batch Enrollment (Metabase)'!$A$2:$A$47,0)),""))</f>
        <v/>
      </c>
      <c r="C11" s="3">
        <f>IF($A11="","",IFERROR(INDEX('Batch Enrollment (Metabase)'!$E$2:$E$47,MATCH($A11,'Batch Enrollment (Metabase)'!$A$2:$A$47,0)),""))</f>
        <v/>
      </c>
      <c r="D11" s="3">
        <f>IF($A11="","",IFERROR(INDEX('Batch Enrollment (Metabase)'!$F$2:$F$47,MATCH($A11,'Batch Enrollment (Metabase)'!$A$2:$A$47,0)),""))</f>
        <v/>
      </c>
      <c r="E11" s="3">
        <f>IF($A11="","",COUNTIFS('Picked Students (raw)'!$B$2:$B$824,$A11,'Picked Students (raw)'!$E$2:$E$824,"Fresher"))</f>
        <v/>
      </c>
      <c r="F11" s="3">
        <f>IF($A11="","",IF($B11="","",IF(TODAY()&lt;$B11+30,"-",SUMPRODUCT(('Picked Students (raw)'!$B$2:$B$824=$A11)*('Picked Students (raw)'!$E$2:$E$824="Fresher")*('Picked Students (raw)'!$C$2:$C$824&lt;&gt;"")*(('Picked Students (raw)'!$C$2:$C$824-$B11)&lt;30)))))</f>
        <v/>
      </c>
      <c r="G11" s="5">
        <f>IF($A11="","",IF(F11="-","-",IF($D11=0,0,F11/$D11)))</f>
        <v/>
      </c>
      <c r="H11" s="3">
        <f>IF($A11="","",IF($B11="","",IF(TODAY()&lt;$B11+60,"-",SUMPRODUCT(('Picked Students (raw)'!$B$2:$B$824=$A11)*('Picked Students (raw)'!$E$2:$E$824="Fresher")*('Picked Students (raw)'!$C$2:$C$824&lt;&gt;"")*(('Picked Students (raw)'!$C$2:$C$824-$B11)&lt;60)))))</f>
        <v/>
      </c>
      <c r="I11" s="5">
        <f>IF($A11="","",IF(H11="-","-",IF($D11=0,0,H11/$D11)))</f>
        <v/>
      </c>
      <c r="J11" s="3">
        <f>IF($A11="","",IF($B11="","",IF(TODAY()&lt;$B11+90,"-",SUMPRODUCT(('Picked Students (raw)'!$B$2:$B$824=$A11)*('Picked Students (raw)'!$E$2:$E$824="Fresher")*('Picked Students (raw)'!$C$2:$C$824&lt;&gt;"")*(('Picked Students (raw)'!$C$2:$C$824-$B11)&lt;90)))))</f>
        <v/>
      </c>
      <c r="K11" s="5">
        <f>IF($A11="","",IF(J11="-","-",IF($D11=0,0,J11/$D11)))</f>
        <v/>
      </c>
      <c r="L11" s="3">
        <f>IF($A11="","",IF($B11="","",IF(TODAY()&lt;$B11+120,"-",SUMPRODUCT(('Picked Students (raw)'!$B$2:$B$824=$A11)*('Picked Students (raw)'!$E$2:$E$824="Fresher")*('Picked Students (raw)'!$C$2:$C$824&lt;&gt;"")*(('Picked Students (raw)'!$C$2:$C$824-$B11)&lt;120)))))</f>
        <v/>
      </c>
      <c r="M11" s="5">
        <f>IF($A11="","",IF(L11="-","-",IF($D11=0,0,L11/$D11)))</f>
        <v/>
      </c>
      <c r="N11" s="3">
        <f>IF($A11="","",IF($B11="","",IF(TODAY()&lt;$B11+150,"-",SUMPRODUCT(('Picked Students (raw)'!$B$2:$B$824=$A11)*('Picked Students (raw)'!$E$2:$E$824="Fresher")*('Picked Students (raw)'!$C$2:$C$824&lt;&gt;"")*(('Picked Students (raw)'!$C$2:$C$824-$B11)&lt;150)))))</f>
        <v/>
      </c>
      <c r="O11" s="5">
        <f>IF($A11="","",IF(N11="-","-",IF($D11=0,0,N11/$D11)))</f>
        <v/>
      </c>
      <c r="P11" s="3">
        <f>IF($A11="","",IF($B11="","",IF(TODAY()&lt;$B11+180,"-",SUMPRODUCT(('Picked Students (raw)'!$B$2:$B$824=$A11)*('Picked Students (raw)'!$E$2:$E$824="Fresher")*('Picked Students (raw)'!$C$2:$C$824&lt;&gt;"")*(('Picked Students (raw)'!$C$2:$C$824-$B11)&lt;180)))))</f>
        <v/>
      </c>
      <c r="Q11" s="5">
        <f>IF($A11="","",IF(P11="-","-",IF($D11=0,0,P11/$D11)))</f>
        <v/>
      </c>
      <c r="R11" s="3">
        <f>IF($A11="","",IF($B11="","",IF(TODAY()&lt;$B11+210,"-",SUMPRODUCT(('Picked Students (raw)'!$B$2:$B$824=$A11)*('Picked Students (raw)'!$E$2:$E$824="Fresher")*('Picked Students (raw)'!$C$2:$C$824&lt;&gt;"")*(('Picked Students (raw)'!$C$2:$C$824-$B11)&lt;210)))))</f>
        <v/>
      </c>
      <c r="S11" s="5">
        <f>IF($A11="","",IF(R11="-","-",IF($D11=0,0,R11/$D11)))</f>
        <v/>
      </c>
      <c r="T11" s="3">
        <f>IF($A11="","",IF($B11="","",IF(TODAY()&lt;$B11+240,"-",SUMPRODUCT(('Picked Students (raw)'!$B$2:$B$824=$A11)*('Picked Students (raw)'!$E$2:$E$824="Fresher")*('Picked Students (raw)'!$C$2:$C$824&lt;&gt;"")*(('Picked Students (raw)'!$C$2:$C$824-$B11)&lt;240)))))</f>
        <v/>
      </c>
      <c r="U11" s="5">
        <f>IF($A11="","",IF(T11="-","-",IF($D11=0,0,T11/$D11)))</f>
        <v/>
      </c>
      <c r="V11" s="3">
        <f>IF($A11="","",IF($B11="","",IF(TODAY()&lt;$B11+270,"-",SUMPRODUCT(('Picked Students (raw)'!$B$2:$B$824=$A11)*('Picked Students (raw)'!$E$2:$E$824="Fresher")*('Picked Students (raw)'!$C$2:$C$824&lt;&gt;"")*(('Picked Students (raw)'!$C$2:$C$824-$B11)&lt;270)))))</f>
        <v/>
      </c>
      <c r="W11" s="5">
        <f>IF($A11="","",IF(V11="-","-",IF($D11=0,0,V11/$D11)))</f>
        <v/>
      </c>
      <c r="X11" s="3">
        <f>IF($A11="","",IF($B11="","",IF(TODAY()&lt;$B11+300,"-",SUMPRODUCT(('Picked Students (raw)'!$B$2:$B$824=$A11)*('Picked Students (raw)'!$E$2:$E$824="Fresher")*('Picked Students (raw)'!$C$2:$C$824&lt;&gt;"")*(('Picked Students (raw)'!$C$2:$C$824-$B11)&lt;300)))))</f>
        <v/>
      </c>
      <c r="Y11" s="5">
        <f>IF($A11="","",IF(X11="-","-",IF($D11=0,0,X11/$D11)))</f>
        <v/>
      </c>
      <c r="Z11" s="3">
        <f>IF($A11="","",IF($B11="","",IF(TODAY()&lt;$B11+330,"-",SUMPRODUCT(('Picked Students (raw)'!$B$2:$B$824=$A11)*('Picked Students (raw)'!$E$2:$E$824="Fresher")*('Picked Students (raw)'!$C$2:$C$824&lt;&gt;"")*(('Picked Students (raw)'!$C$2:$C$824-$B11)&lt;330)))))</f>
        <v/>
      </c>
      <c r="AA11" s="5">
        <f>IF($A11="","",IF(Z11="-","-",IF($D11=0,0,Z11/$D11)))</f>
        <v/>
      </c>
      <c r="AB11" s="3">
        <f>IF($A11="","",IF($B11="","",IF(TODAY()&lt;$B11+360,"-",SUMPRODUCT(('Picked Students (raw)'!$B$2:$B$824=$A11)*('Picked Students (raw)'!$E$2:$E$824="Fresher")*('Picked Students (raw)'!$C$2:$C$824&lt;&gt;"")*(('Picked Students (raw)'!$C$2:$C$824-$B11)&lt;360)))))</f>
        <v/>
      </c>
      <c r="AC11" s="5">
        <f>IF($A11="","",IF(AB11="-","-",IF($D11=0,0,AB11/$D11)))</f>
        <v/>
      </c>
      <c r="AD11" s="3">
        <f>IF($A11="","",IF($B11="","",IF(TODAY()&lt;$B11+390,"-",SUMPRODUCT(('Picked Students (raw)'!$B$2:$B$824=$A11)*('Picked Students (raw)'!$E$2:$E$824="Fresher")*('Picked Students (raw)'!$C$2:$C$824&lt;&gt;"")*(('Picked Students (raw)'!$C$2:$C$824-$B11)&lt;390)))))</f>
        <v/>
      </c>
      <c r="AE11" s="5">
        <f>IF($A11="","",IF(AD11="-","-",IF($D11=0,0,AD11/$D11)))</f>
        <v/>
      </c>
      <c r="AF11" s="3">
        <f>IF($A11="","",IF($B11="","",IF(TODAY()&lt;$B11+420,"-",SUMPRODUCT(('Picked Students (raw)'!$B$2:$B$824=$A11)*('Picked Students (raw)'!$E$2:$E$824="Fresher")*('Picked Students (raw)'!$C$2:$C$824&lt;&gt;"")*(('Picked Students (raw)'!$C$2:$C$824-$B11)&lt;420)))))</f>
        <v/>
      </c>
      <c r="AG11" s="5">
        <f>IF($A11="","",IF(AF11="-","-",IF($D11=0,0,AF11/$D11)))</f>
        <v/>
      </c>
      <c r="AH11" s="3">
        <f>IF($A11="","",IF($B11="","",IF(TODAY()&lt;$B11+450,"-",SUMPRODUCT(('Picked Students (raw)'!$B$2:$B$824=$A11)*('Picked Students (raw)'!$E$2:$E$824="Fresher")*('Picked Students (raw)'!$C$2:$C$824&lt;&gt;"")*(('Picked Students (raw)'!$C$2:$C$824-$B11)&lt;450)))))</f>
        <v/>
      </c>
      <c r="AI11" s="5">
        <f>IF($A11="","",IF(AH11="-","-",IF($D11=0,0,AH11/$D11)))</f>
        <v/>
      </c>
      <c r="AJ11" s="3">
        <f>IF($A11="","",IF($B11="","",IF(TODAY()&lt;$B11+480,"-",SUMPRODUCT(('Picked Students (raw)'!$B$2:$B$824=$A11)*('Picked Students (raw)'!$E$2:$E$824="Fresher")*('Picked Students (raw)'!$C$2:$C$824&lt;&gt;"")*(('Picked Students (raw)'!$C$2:$C$824-$B11)&lt;480)))))</f>
        <v/>
      </c>
      <c r="AK11" s="5">
        <f>IF($A11="","",IF(AJ11="-","-",IF($D11=0,0,AJ11/$D11)))</f>
        <v/>
      </c>
      <c r="AL11" s="3">
        <f>IF($A11="","",IF($B11="","",IF(TODAY()&lt;$B11+510,"-",SUMPRODUCT(('Picked Students (raw)'!$B$2:$B$824=$A11)*('Picked Students (raw)'!$E$2:$E$824="Fresher")*('Picked Students (raw)'!$C$2:$C$824&lt;&gt;"")*(('Picked Students (raw)'!$C$2:$C$824-$B11)&lt;510)))))</f>
        <v/>
      </c>
      <c r="AM11" s="5">
        <f>IF($A11="","",IF(AL11="-","-",IF($D11=0,0,AL11/$D11)))</f>
        <v/>
      </c>
      <c r="AN11" s="3">
        <f>IF($A11="","",IF($B11="","",IF(TODAY()&lt;$B11+540,"-",SUMPRODUCT(('Picked Students (raw)'!$B$2:$B$824=$A11)*('Picked Students (raw)'!$E$2:$E$824="Fresher")*('Picked Students (raw)'!$C$2:$C$824&lt;&gt;"")*(('Picked Students (raw)'!$C$2:$C$824-$B11)&lt;540)))))</f>
        <v/>
      </c>
      <c r="AO11" s="5">
        <f>IF($A11="","",IF(AN11="-","-",IF($D11=0,0,AN11/$D11)))</f>
        <v/>
      </c>
      <c r="AP11" s="3">
        <f>IF($A11="","",IF(AN11="-","-",$E11-AN11))</f>
        <v/>
      </c>
    </row>
    <row r="12">
      <c r="A12" s="3" t="inlineStr">
        <is>
          <t>Professional Certificate Course In Data Science - December 2023</t>
        </is>
      </c>
      <c r="B12" s="4">
        <f>IF($A12="","",IFERROR(INDEX('Batch Enrollment (Metabase)'!$D$2:$D$47,MATCH($A12,'Batch Enrollment (Metabase)'!$A$2:$A$47,0)),""))</f>
        <v/>
      </c>
      <c r="C12" s="3">
        <f>IF($A12="","",IFERROR(INDEX('Batch Enrollment (Metabase)'!$E$2:$E$47,MATCH($A12,'Batch Enrollment (Metabase)'!$A$2:$A$47,0)),""))</f>
        <v/>
      </c>
      <c r="D12" s="3">
        <f>IF($A12="","",IFERROR(INDEX('Batch Enrollment (Metabase)'!$F$2:$F$47,MATCH($A12,'Batch Enrollment (Metabase)'!$A$2:$A$47,0)),""))</f>
        <v/>
      </c>
      <c r="E12" s="3">
        <f>IF($A12="","",COUNTIFS('Picked Students (raw)'!$B$2:$B$824,$A12,'Picked Students (raw)'!$E$2:$E$824,"Fresher"))</f>
        <v/>
      </c>
      <c r="F12" s="3">
        <f>IF($A12="","",IF($B12="","",IF(TODAY()&lt;$B12+30,"-",SUMPRODUCT(('Picked Students (raw)'!$B$2:$B$824=$A12)*('Picked Students (raw)'!$E$2:$E$824="Fresher")*('Picked Students (raw)'!$C$2:$C$824&lt;&gt;"")*(('Picked Students (raw)'!$C$2:$C$824-$B12)&lt;30)))))</f>
        <v/>
      </c>
      <c r="G12" s="5">
        <f>IF($A12="","",IF(F12="-","-",IF($D12=0,0,F12/$D12)))</f>
        <v/>
      </c>
      <c r="H12" s="3">
        <f>IF($A12="","",IF($B12="","",IF(TODAY()&lt;$B12+60,"-",SUMPRODUCT(('Picked Students (raw)'!$B$2:$B$824=$A12)*('Picked Students (raw)'!$E$2:$E$824="Fresher")*('Picked Students (raw)'!$C$2:$C$824&lt;&gt;"")*(('Picked Students (raw)'!$C$2:$C$824-$B12)&lt;60)))))</f>
        <v/>
      </c>
      <c r="I12" s="5">
        <f>IF($A12="","",IF(H12="-","-",IF($D12=0,0,H12/$D12)))</f>
        <v/>
      </c>
      <c r="J12" s="3">
        <f>IF($A12="","",IF($B12="","",IF(TODAY()&lt;$B12+90,"-",SUMPRODUCT(('Picked Students (raw)'!$B$2:$B$824=$A12)*('Picked Students (raw)'!$E$2:$E$824="Fresher")*('Picked Students (raw)'!$C$2:$C$824&lt;&gt;"")*(('Picked Students (raw)'!$C$2:$C$824-$B12)&lt;90)))))</f>
        <v/>
      </c>
      <c r="K12" s="5">
        <f>IF($A12="","",IF(J12="-","-",IF($D12=0,0,J12/$D12)))</f>
        <v/>
      </c>
      <c r="L12" s="3">
        <f>IF($A12="","",IF($B12="","",IF(TODAY()&lt;$B12+120,"-",SUMPRODUCT(('Picked Students (raw)'!$B$2:$B$824=$A12)*('Picked Students (raw)'!$E$2:$E$824="Fresher")*('Picked Students (raw)'!$C$2:$C$824&lt;&gt;"")*(('Picked Students (raw)'!$C$2:$C$824-$B12)&lt;120)))))</f>
        <v/>
      </c>
      <c r="M12" s="5">
        <f>IF($A12="","",IF(L12="-","-",IF($D12=0,0,L12/$D12)))</f>
        <v/>
      </c>
      <c r="N12" s="3">
        <f>IF($A12="","",IF($B12="","",IF(TODAY()&lt;$B12+150,"-",SUMPRODUCT(('Picked Students (raw)'!$B$2:$B$824=$A12)*('Picked Students (raw)'!$E$2:$E$824="Fresher")*('Picked Students (raw)'!$C$2:$C$824&lt;&gt;"")*(('Picked Students (raw)'!$C$2:$C$824-$B12)&lt;150)))))</f>
        <v/>
      </c>
      <c r="O12" s="5">
        <f>IF($A12="","",IF(N12="-","-",IF($D12=0,0,N12/$D12)))</f>
        <v/>
      </c>
      <c r="P12" s="3">
        <f>IF($A12="","",IF($B12="","",IF(TODAY()&lt;$B12+180,"-",SUMPRODUCT(('Picked Students (raw)'!$B$2:$B$824=$A12)*('Picked Students (raw)'!$E$2:$E$824="Fresher")*('Picked Students (raw)'!$C$2:$C$824&lt;&gt;"")*(('Picked Students (raw)'!$C$2:$C$824-$B12)&lt;180)))))</f>
        <v/>
      </c>
      <c r="Q12" s="5">
        <f>IF($A12="","",IF(P12="-","-",IF($D12=0,0,P12/$D12)))</f>
        <v/>
      </c>
      <c r="R12" s="3">
        <f>IF($A12="","",IF($B12="","",IF(TODAY()&lt;$B12+210,"-",SUMPRODUCT(('Picked Students (raw)'!$B$2:$B$824=$A12)*('Picked Students (raw)'!$E$2:$E$824="Fresher")*('Picked Students (raw)'!$C$2:$C$824&lt;&gt;"")*(('Picked Students (raw)'!$C$2:$C$824-$B12)&lt;210)))))</f>
        <v/>
      </c>
      <c r="S12" s="5">
        <f>IF($A12="","",IF(R12="-","-",IF($D12=0,0,R12/$D12)))</f>
        <v/>
      </c>
      <c r="T12" s="3">
        <f>IF($A12="","",IF($B12="","",IF(TODAY()&lt;$B12+240,"-",SUMPRODUCT(('Picked Students (raw)'!$B$2:$B$824=$A12)*('Picked Students (raw)'!$E$2:$E$824="Fresher")*('Picked Students (raw)'!$C$2:$C$824&lt;&gt;"")*(('Picked Students (raw)'!$C$2:$C$824-$B12)&lt;240)))))</f>
        <v/>
      </c>
      <c r="U12" s="5">
        <f>IF($A12="","",IF(T12="-","-",IF($D12=0,0,T12/$D12)))</f>
        <v/>
      </c>
      <c r="V12" s="3">
        <f>IF($A12="","",IF($B12="","",IF(TODAY()&lt;$B12+270,"-",SUMPRODUCT(('Picked Students (raw)'!$B$2:$B$824=$A12)*('Picked Students (raw)'!$E$2:$E$824="Fresher")*('Picked Students (raw)'!$C$2:$C$824&lt;&gt;"")*(('Picked Students (raw)'!$C$2:$C$824-$B12)&lt;270)))))</f>
        <v/>
      </c>
      <c r="W12" s="5">
        <f>IF($A12="","",IF(V12="-","-",IF($D12=0,0,V12/$D12)))</f>
        <v/>
      </c>
      <c r="X12" s="3">
        <f>IF($A12="","",IF($B12="","",IF(TODAY()&lt;$B12+300,"-",SUMPRODUCT(('Picked Students (raw)'!$B$2:$B$824=$A12)*('Picked Students (raw)'!$E$2:$E$824="Fresher")*('Picked Students (raw)'!$C$2:$C$824&lt;&gt;"")*(('Picked Students (raw)'!$C$2:$C$824-$B12)&lt;300)))))</f>
        <v/>
      </c>
      <c r="Y12" s="5">
        <f>IF($A12="","",IF(X12="-","-",IF($D12=0,0,X12/$D12)))</f>
        <v/>
      </c>
      <c r="Z12" s="3">
        <f>IF($A12="","",IF($B12="","",IF(TODAY()&lt;$B12+330,"-",SUMPRODUCT(('Picked Students (raw)'!$B$2:$B$824=$A12)*('Picked Students (raw)'!$E$2:$E$824="Fresher")*('Picked Students (raw)'!$C$2:$C$824&lt;&gt;"")*(('Picked Students (raw)'!$C$2:$C$824-$B12)&lt;330)))))</f>
        <v/>
      </c>
      <c r="AA12" s="5">
        <f>IF($A12="","",IF(Z12="-","-",IF($D12=0,0,Z12/$D12)))</f>
        <v/>
      </c>
      <c r="AB12" s="3">
        <f>IF($A12="","",IF($B12="","",IF(TODAY()&lt;$B12+360,"-",SUMPRODUCT(('Picked Students (raw)'!$B$2:$B$824=$A12)*('Picked Students (raw)'!$E$2:$E$824="Fresher")*('Picked Students (raw)'!$C$2:$C$824&lt;&gt;"")*(('Picked Students (raw)'!$C$2:$C$824-$B12)&lt;360)))))</f>
        <v/>
      </c>
      <c r="AC12" s="5">
        <f>IF($A12="","",IF(AB12="-","-",IF($D12=0,0,AB12/$D12)))</f>
        <v/>
      </c>
      <c r="AD12" s="3">
        <f>IF($A12="","",IF($B12="","",IF(TODAY()&lt;$B12+390,"-",SUMPRODUCT(('Picked Students (raw)'!$B$2:$B$824=$A12)*('Picked Students (raw)'!$E$2:$E$824="Fresher")*('Picked Students (raw)'!$C$2:$C$824&lt;&gt;"")*(('Picked Students (raw)'!$C$2:$C$824-$B12)&lt;390)))))</f>
        <v/>
      </c>
      <c r="AE12" s="5">
        <f>IF($A12="","",IF(AD12="-","-",IF($D12=0,0,AD12/$D12)))</f>
        <v/>
      </c>
      <c r="AF12" s="3">
        <f>IF($A12="","",IF($B12="","",IF(TODAY()&lt;$B12+420,"-",SUMPRODUCT(('Picked Students (raw)'!$B$2:$B$824=$A12)*('Picked Students (raw)'!$E$2:$E$824="Fresher")*('Picked Students (raw)'!$C$2:$C$824&lt;&gt;"")*(('Picked Students (raw)'!$C$2:$C$824-$B12)&lt;420)))))</f>
        <v/>
      </c>
      <c r="AG12" s="5">
        <f>IF($A12="","",IF(AF12="-","-",IF($D12=0,0,AF12/$D12)))</f>
        <v/>
      </c>
      <c r="AH12" s="3">
        <f>IF($A12="","",IF($B12="","",IF(TODAY()&lt;$B12+450,"-",SUMPRODUCT(('Picked Students (raw)'!$B$2:$B$824=$A12)*('Picked Students (raw)'!$E$2:$E$824="Fresher")*('Picked Students (raw)'!$C$2:$C$824&lt;&gt;"")*(('Picked Students (raw)'!$C$2:$C$824-$B12)&lt;450)))))</f>
        <v/>
      </c>
      <c r="AI12" s="5">
        <f>IF($A12="","",IF(AH12="-","-",IF($D12=0,0,AH12/$D12)))</f>
        <v/>
      </c>
      <c r="AJ12" s="3">
        <f>IF($A12="","",IF($B12="","",IF(TODAY()&lt;$B12+480,"-",SUMPRODUCT(('Picked Students (raw)'!$B$2:$B$824=$A12)*('Picked Students (raw)'!$E$2:$E$824="Fresher")*('Picked Students (raw)'!$C$2:$C$824&lt;&gt;"")*(('Picked Students (raw)'!$C$2:$C$824-$B12)&lt;480)))))</f>
        <v/>
      </c>
      <c r="AK12" s="5">
        <f>IF($A12="","",IF(AJ12="-","-",IF($D12=0,0,AJ12/$D12)))</f>
        <v/>
      </c>
      <c r="AL12" s="3">
        <f>IF($A12="","",IF($B12="","",IF(TODAY()&lt;$B12+510,"-",SUMPRODUCT(('Picked Students (raw)'!$B$2:$B$824=$A12)*('Picked Students (raw)'!$E$2:$E$824="Fresher")*('Picked Students (raw)'!$C$2:$C$824&lt;&gt;"")*(('Picked Students (raw)'!$C$2:$C$824-$B12)&lt;510)))))</f>
        <v/>
      </c>
      <c r="AM12" s="5">
        <f>IF($A12="","",IF(AL12="-","-",IF($D12=0,0,AL12/$D12)))</f>
        <v/>
      </c>
      <c r="AN12" s="3">
        <f>IF($A12="","",IF($B12="","",IF(TODAY()&lt;$B12+540,"-",SUMPRODUCT(('Picked Students (raw)'!$B$2:$B$824=$A12)*('Picked Students (raw)'!$E$2:$E$824="Fresher")*('Picked Students (raw)'!$C$2:$C$824&lt;&gt;"")*(('Picked Students (raw)'!$C$2:$C$824-$B12)&lt;540)))))</f>
        <v/>
      </c>
      <c r="AO12" s="5">
        <f>IF($A12="","",IF(AN12="-","-",IF($D12=0,0,AN12/$D12)))</f>
        <v/>
      </c>
      <c r="AP12" s="3">
        <f>IF($A12="","",IF(AN12="-","-",$E12-AN12))</f>
        <v/>
      </c>
    </row>
    <row r="13">
      <c r="A13" s="3" t="inlineStr">
        <is>
          <t>Professional Certificate Course In Data Science - January 2024</t>
        </is>
      </c>
      <c r="B13" s="4">
        <f>IF($A13="","",IFERROR(INDEX('Batch Enrollment (Metabase)'!$D$2:$D$47,MATCH($A13,'Batch Enrollment (Metabase)'!$A$2:$A$47,0)),""))</f>
        <v/>
      </c>
      <c r="C13" s="3">
        <f>IF($A13="","",IFERROR(INDEX('Batch Enrollment (Metabase)'!$E$2:$E$47,MATCH($A13,'Batch Enrollment (Metabase)'!$A$2:$A$47,0)),""))</f>
        <v/>
      </c>
      <c r="D13" s="3">
        <f>IF($A13="","",IFERROR(INDEX('Batch Enrollment (Metabase)'!$F$2:$F$47,MATCH($A13,'Batch Enrollment (Metabase)'!$A$2:$A$47,0)),""))</f>
        <v/>
      </c>
      <c r="E13" s="3">
        <f>IF($A13="","",COUNTIFS('Picked Students (raw)'!$B$2:$B$824,$A13,'Picked Students (raw)'!$E$2:$E$824,"Fresher"))</f>
        <v/>
      </c>
      <c r="F13" s="3">
        <f>IF($A13="","",IF($B13="","",IF(TODAY()&lt;$B13+30,"-",SUMPRODUCT(('Picked Students (raw)'!$B$2:$B$824=$A13)*('Picked Students (raw)'!$E$2:$E$824="Fresher")*('Picked Students (raw)'!$C$2:$C$824&lt;&gt;"")*(('Picked Students (raw)'!$C$2:$C$824-$B13)&lt;30)))))</f>
        <v/>
      </c>
      <c r="G13" s="5">
        <f>IF($A13="","",IF(F13="-","-",IF($D13=0,0,F13/$D13)))</f>
        <v/>
      </c>
      <c r="H13" s="3">
        <f>IF($A13="","",IF($B13="","",IF(TODAY()&lt;$B13+60,"-",SUMPRODUCT(('Picked Students (raw)'!$B$2:$B$824=$A13)*('Picked Students (raw)'!$E$2:$E$824="Fresher")*('Picked Students (raw)'!$C$2:$C$824&lt;&gt;"")*(('Picked Students (raw)'!$C$2:$C$824-$B13)&lt;60)))))</f>
        <v/>
      </c>
      <c r="I13" s="5">
        <f>IF($A13="","",IF(H13="-","-",IF($D13=0,0,H13/$D13)))</f>
        <v/>
      </c>
      <c r="J13" s="3">
        <f>IF($A13="","",IF($B13="","",IF(TODAY()&lt;$B13+90,"-",SUMPRODUCT(('Picked Students (raw)'!$B$2:$B$824=$A13)*('Picked Students (raw)'!$E$2:$E$824="Fresher")*('Picked Students (raw)'!$C$2:$C$824&lt;&gt;"")*(('Picked Students (raw)'!$C$2:$C$824-$B13)&lt;90)))))</f>
        <v/>
      </c>
      <c r="K13" s="5">
        <f>IF($A13="","",IF(J13="-","-",IF($D13=0,0,J13/$D13)))</f>
        <v/>
      </c>
      <c r="L13" s="3">
        <f>IF($A13="","",IF($B13="","",IF(TODAY()&lt;$B13+120,"-",SUMPRODUCT(('Picked Students (raw)'!$B$2:$B$824=$A13)*('Picked Students (raw)'!$E$2:$E$824="Fresher")*('Picked Students (raw)'!$C$2:$C$824&lt;&gt;"")*(('Picked Students (raw)'!$C$2:$C$824-$B13)&lt;120)))))</f>
        <v/>
      </c>
      <c r="M13" s="5">
        <f>IF($A13="","",IF(L13="-","-",IF($D13=0,0,L13/$D13)))</f>
        <v/>
      </c>
      <c r="N13" s="3">
        <f>IF($A13="","",IF($B13="","",IF(TODAY()&lt;$B13+150,"-",SUMPRODUCT(('Picked Students (raw)'!$B$2:$B$824=$A13)*('Picked Students (raw)'!$E$2:$E$824="Fresher")*('Picked Students (raw)'!$C$2:$C$824&lt;&gt;"")*(('Picked Students (raw)'!$C$2:$C$824-$B13)&lt;150)))))</f>
        <v/>
      </c>
      <c r="O13" s="5">
        <f>IF($A13="","",IF(N13="-","-",IF($D13=0,0,N13/$D13)))</f>
        <v/>
      </c>
      <c r="P13" s="3">
        <f>IF($A13="","",IF($B13="","",IF(TODAY()&lt;$B13+180,"-",SUMPRODUCT(('Picked Students (raw)'!$B$2:$B$824=$A13)*('Picked Students (raw)'!$E$2:$E$824="Fresher")*('Picked Students (raw)'!$C$2:$C$824&lt;&gt;"")*(('Picked Students (raw)'!$C$2:$C$824-$B13)&lt;180)))))</f>
        <v/>
      </c>
      <c r="Q13" s="5">
        <f>IF($A13="","",IF(P13="-","-",IF($D13=0,0,P13/$D13)))</f>
        <v/>
      </c>
      <c r="R13" s="3">
        <f>IF($A13="","",IF($B13="","",IF(TODAY()&lt;$B13+210,"-",SUMPRODUCT(('Picked Students (raw)'!$B$2:$B$824=$A13)*('Picked Students (raw)'!$E$2:$E$824="Fresher")*('Picked Students (raw)'!$C$2:$C$824&lt;&gt;"")*(('Picked Students (raw)'!$C$2:$C$824-$B13)&lt;210)))))</f>
        <v/>
      </c>
      <c r="S13" s="5">
        <f>IF($A13="","",IF(R13="-","-",IF($D13=0,0,R13/$D13)))</f>
        <v/>
      </c>
      <c r="T13" s="3">
        <f>IF($A13="","",IF($B13="","",IF(TODAY()&lt;$B13+240,"-",SUMPRODUCT(('Picked Students (raw)'!$B$2:$B$824=$A13)*('Picked Students (raw)'!$E$2:$E$824="Fresher")*('Picked Students (raw)'!$C$2:$C$824&lt;&gt;"")*(('Picked Students (raw)'!$C$2:$C$824-$B13)&lt;240)))))</f>
        <v/>
      </c>
      <c r="U13" s="5">
        <f>IF($A13="","",IF(T13="-","-",IF($D13=0,0,T13/$D13)))</f>
        <v/>
      </c>
      <c r="V13" s="3">
        <f>IF($A13="","",IF($B13="","",IF(TODAY()&lt;$B13+270,"-",SUMPRODUCT(('Picked Students (raw)'!$B$2:$B$824=$A13)*('Picked Students (raw)'!$E$2:$E$824="Fresher")*('Picked Students (raw)'!$C$2:$C$824&lt;&gt;"")*(('Picked Students (raw)'!$C$2:$C$824-$B13)&lt;270)))))</f>
        <v/>
      </c>
      <c r="W13" s="5">
        <f>IF($A13="","",IF(V13="-","-",IF($D13=0,0,V13/$D13)))</f>
        <v/>
      </c>
      <c r="X13" s="3">
        <f>IF($A13="","",IF($B13="","",IF(TODAY()&lt;$B13+300,"-",SUMPRODUCT(('Picked Students (raw)'!$B$2:$B$824=$A13)*('Picked Students (raw)'!$E$2:$E$824="Fresher")*('Picked Students (raw)'!$C$2:$C$824&lt;&gt;"")*(('Picked Students (raw)'!$C$2:$C$824-$B13)&lt;300)))))</f>
        <v/>
      </c>
      <c r="Y13" s="5">
        <f>IF($A13="","",IF(X13="-","-",IF($D13=0,0,X13/$D13)))</f>
        <v/>
      </c>
      <c r="Z13" s="3">
        <f>IF($A13="","",IF($B13="","",IF(TODAY()&lt;$B13+330,"-",SUMPRODUCT(('Picked Students (raw)'!$B$2:$B$824=$A13)*('Picked Students (raw)'!$E$2:$E$824="Fresher")*('Picked Students (raw)'!$C$2:$C$824&lt;&gt;"")*(('Picked Students (raw)'!$C$2:$C$824-$B13)&lt;330)))))</f>
        <v/>
      </c>
      <c r="AA13" s="5">
        <f>IF($A13="","",IF(Z13="-","-",IF($D13=0,0,Z13/$D13)))</f>
        <v/>
      </c>
      <c r="AB13" s="3">
        <f>IF($A13="","",IF($B13="","",IF(TODAY()&lt;$B13+360,"-",SUMPRODUCT(('Picked Students (raw)'!$B$2:$B$824=$A13)*('Picked Students (raw)'!$E$2:$E$824="Fresher")*('Picked Students (raw)'!$C$2:$C$824&lt;&gt;"")*(('Picked Students (raw)'!$C$2:$C$824-$B13)&lt;360)))))</f>
        <v/>
      </c>
      <c r="AC13" s="5">
        <f>IF($A13="","",IF(AB13="-","-",IF($D13=0,0,AB13/$D13)))</f>
        <v/>
      </c>
      <c r="AD13" s="3">
        <f>IF($A13="","",IF($B13="","",IF(TODAY()&lt;$B13+390,"-",SUMPRODUCT(('Picked Students (raw)'!$B$2:$B$824=$A13)*('Picked Students (raw)'!$E$2:$E$824="Fresher")*('Picked Students (raw)'!$C$2:$C$824&lt;&gt;"")*(('Picked Students (raw)'!$C$2:$C$824-$B13)&lt;390)))))</f>
        <v/>
      </c>
      <c r="AE13" s="5">
        <f>IF($A13="","",IF(AD13="-","-",IF($D13=0,0,AD13/$D13)))</f>
        <v/>
      </c>
      <c r="AF13" s="3">
        <f>IF($A13="","",IF($B13="","",IF(TODAY()&lt;$B13+420,"-",SUMPRODUCT(('Picked Students (raw)'!$B$2:$B$824=$A13)*('Picked Students (raw)'!$E$2:$E$824="Fresher")*('Picked Students (raw)'!$C$2:$C$824&lt;&gt;"")*(('Picked Students (raw)'!$C$2:$C$824-$B13)&lt;420)))))</f>
        <v/>
      </c>
      <c r="AG13" s="5">
        <f>IF($A13="","",IF(AF13="-","-",IF($D13=0,0,AF13/$D13)))</f>
        <v/>
      </c>
      <c r="AH13" s="3">
        <f>IF($A13="","",IF($B13="","",IF(TODAY()&lt;$B13+450,"-",SUMPRODUCT(('Picked Students (raw)'!$B$2:$B$824=$A13)*('Picked Students (raw)'!$E$2:$E$824="Fresher")*('Picked Students (raw)'!$C$2:$C$824&lt;&gt;"")*(('Picked Students (raw)'!$C$2:$C$824-$B13)&lt;450)))))</f>
        <v/>
      </c>
      <c r="AI13" s="5">
        <f>IF($A13="","",IF(AH13="-","-",IF($D13=0,0,AH13/$D13)))</f>
        <v/>
      </c>
      <c r="AJ13" s="3">
        <f>IF($A13="","",IF($B13="","",IF(TODAY()&lt;$B13+480,"-",SUMPRODUCT(('Picked Students (raw)'!$B$2:$B$824=$A13)*('Picked Students (raw)'!$E$2:$E$824="Fresher")*('Picked Students (raw)'!$C$2:$C$824&lt;&gt;"")*(('Picked Students (raw)'!$C$2:$C$824-$B13)&lt;480)))))</f>
        <v/>
      </c>
      <c r="AK13" s="5">
        <f>IF($A13="","",IF(AJ13="-","-",IF($D13=0,0,AJ13/$D13)))</f>
        <v/>
      </c>
      <c r="AL13" s="3">
        <f>IF($A13="","",IF($B13="","",IF(TODAY()&lt;$B13+510,"-",SUMPRODUCT(('Picked Students (raw)'!$B$2:$B$824=$A13)*('Picked Students (raw)'!$E$2:$E$824="Fresher")*('Picked Students (raw)'!$C$2:$C$824&lt;&gt;"")*(('Picked Students (raw)'!$C$2:$C$824-$B13)&lt;510)))))</f>
        <v/>
      </c>
      <c r="AM13" s="5">
        <f>IF($A13="","",IF(AL13="-","-",IF($D13=0,0,AL13/$D13)))</f>
        <v/>
      </c>
      <c r="AN13" s="3">
        <f>IF($A13="","",IF($B13="","",IF(TODAY()&lt;$B13+540,"-",SUMPRODUCT(('Picked Students (raw)'!$B$2:$B$824=$A13)*('Picked Students (raw)'!$E$2:$E$824="Fresher")*('Picked Students (raw)'!$C$2:$C$824&lt;&gt;"")*(('Picked Students (raw)'!$C$2:$C$824-$B13)&lt;540)))))</f>
        <v/>
      </c>
      <c r="AO13" s="5">
        <f>IF($A13="","",IF(AN13="-","-",IF($D13=0,0,AN13/$D13)))</f>
        <v/>
      </c>
      <c r="AP13" s="3">
        <f>IF($A13="","",IF(AN13="-","-",$E13-AN13))</f>
        <v/>
      </c>
    </row>
    <row r="14">
      <c r="A14" s="3" t="inlineStr">
        <is>
          <t>Professional Certificate Course In Data Science - February 2024</t>
        </is>
      </c>
      <c r="B14" s="4">
        <f>IF($A14="","",IFERROR(INDEX('Batch Enrollment (Metabase)'!$D$2:$D$47,MATCH($A14,'Batch Enrollment (Metabase)'!$A$2:$A$47,0)),""))</f>
        <v/>
      </c>
      <c r="C14" s="3">
        <f>IF($A14="","",IFERROR(INDEX('Batch Enrollment (Metabase)'!$E$2:$E$47,MATCH($A14,'Batch Enrollment (Metabase)'!$A$2:$A$47,0)),""))</f>
        <v/>
      </c>
      <c r="D14" s="3">
        <f>IF($A14="","",IFERROR(INDEX('Batch Enrollment (Metabase)'!$F$2:$F$47,MATCH($A14,'Batch Enrollment (Metabase)'!$A$2:$A$47,0)),""))</f>
        <v/>
      </c>
      <c r="E14" s="3">
        <f>IF($A14="","",COUNTIFS('Picked Students (raw)'!$B$2:$B$824,$A14,'Picked Students (raw)'!$E$2:$E$824,"Fresher"))</f>
        <v/>
      </c>
      <c r="F14" s="3">
        <f>IF($A14="","",IF($B14="","",IF(TODAY()&lt;$B14+30,"-",SUMPRODUCT(('Picked Students (raw)'!$B$2:$B$824=$A14)*('Picked Students (raw)'!$E$2:$E$824="Fresher")*('Picked Students (raw)'!$C$2:$C$824&lt;&gt;"")*(('Picked Students (raw)'!$C$2:$C$824-$B14)&lt;30)))))</f>
        <v/>
      </c>
      <c r="G14" s="5">
        <f>IF($A14="","",IF(F14="-","-",IF($D14=0,0,F14/$D14)))</f>
        <v/>
      </c>
      <c r="H14" s="3">
        <f>IF($A14="","",IF($B14="","",IF(TODAY()&lt;$B14+60,"-",SUMPRODUCT(('Picked Students (raw)'!$B$2:$B$824=$A14)*('Picked Students (raw)'!$E$2:$E$824="Fresher")*('Picked Students (raw)'!$C$2:$C$824&lt;&gt;"")*(('Picked Students (raw)'!$C$2:$C$824-$B14)&lt;60)))))</f>
        <v/>
      </c>
      <c r="I14" s="5">
        <f>IF($A14="","",IF(H14="-","-",IF($D14=0,0,H14/$D14)))</f>
        <v/>
      </c>
      <c r="J14" s="3">
        <f>IF($A14="","",IF($B14="","",IF(TODAY()&lt;$B14+90,"-",SUMPRODUCT(('Picked Students (raw)'!$B$2:$B$824=$A14)*('Picked Students (raw)'!$E$2:$E$824="Fresher")*('Picked Students (raw)'!$C$2:$C$824&lt;&gt;"")*(('Picked Students (raw)'!$C$2:$C$824-$B14)&lt;90)))))</f>
        <v/>
      </c>
      <c r="K14" s="5">
        <f>IF($A14="","",IF(J14="-","-",IF($D14=0,0,J14/$D14)))</f>
        <v/>
      </c>
      <c r="L14" s="3">
        <f>IF($A14="","",IF($B14="","",IF(TODAY()&lt;$B14+120,"-",SUMPRODUCT(('Picked Students (raw)'!$B$2:$B$824=$A14)*('Picked Students (raw)'!$E$2:$E$824="Fresher")*('Picked Students (raw)'!$C$2:$C$824&lt;&gt;"")*(('Picked Students (raw)'!$C$2:$C$824-$B14)&lt;120)))))</f>
        <v/>
      </c>
      <c r="M14" s="5">
        <f>IF($A14="","",IF(L14="-","-",IF($D14=0,0,L14/$D14)))</f>
        <v/>
      </c>
      <c r="N14" s="3">
        <f>IF($A14="","",IF($B14="","",IF(TODAY()&lt;$B14+150,"-",SUMPRODUCT(('Picked Students (raw)'!$B$2:$B$824=$A14)*('Picked Students (raw)'!$E$2:$E$824="Fresher")*('Picked Students (raw)'!$C$2:$C$824&lt;&gt;"")*(('Picked Students (raw)'!$C$2:$C$824-$B14)&lt;150)))))</f>
        <v/>
      </c>
      <c r="O14" s="5">
        <f>IF($A14="","",IF(N14="-","-",IF($D14=0,0,N14/$D14)))</f>
        <v/>
      </c>
      <c r="P14" s="3">
        <f>IF($A14="","",IF($B14="","",IF(TODAY()&lt;$B14+180,"-",SUMPRODUCT(('Picked Students (raw)'!$B$2:$B$824=$A14)*('Picked Students (raw)'!$E$2:$E$824="Fresher")*('Picked Students (raw)'!$C$2:$C$824&lt;&gt;"")*(('Picked Students (raw)'!$C$2:$C$824-$B14)&lt;180)))))</f>
        <v/>
      </c>
      <c r="Q14" s="5">
        <f>IF($A14="","",IF(P14="-","-",IF($D14=0,0,P14/$D14)))</f>
        <v/>
      </c>
      <c r="R14" s="3">
        <f>IF($A14="","",IF($B14="","",IF(TODAY()&lt;$B14+210,"-",SUMPRODUCT(('Picked Students (raw)'!$B$2:$B$824=$A14)*('Picked Students (raw)'!$E$2:$E$824="Fresher")*('Picked Students (raw)'!$C$2:$C$824&lt;&gt;"")*(('Picked Students (raw)'!$C$2:$C$824-$B14)&lt;210)))))</f>
        <v/>
      </c>
      <c r="S14" s="5">
        <f>IF($A14="","",IF(R14="-","-",IF($D14=0,0,R14/$D14)))</f>
        <v/>
      </c>
      <c r="T14" s="3">
        <f>IF($A14="","",IF($B14="","",IF(TODAY()&lt;$B14+240,"-",SUMPRODUCT(('Picked Students (raw)'!$B$2:$B$824=$A14)*('Picked Students (raw)'!$E$2:$E$824="Fresher")*('Picked Students (raw)'!$C$2:$C$824&lt;&gt;"")*(('Picked Students (raw)'!$C$2:$C$824-$B14)&lt;240)))))</f>
        <v/>
      </c>
      <c r="U14" s="5">
        <f>IF($A14="","",IF(T14="-","-",IF($D14=0,0,T14/$D14)))</f>
        <v/>
      </c>
      <c r="V14" s="3">
        <f>IF($A14="","",IF($B14="","",IF(TODAY()&lt;$B14+270,"-",SUMPRODUCT(('Picked Students (raw)'!$B$2:$B$824=$A14)*('Picked Students (raw)'!$E$2:$E$824="Fresher")*('Picked Students (raw)'!$C$2:$C$824&lt;&gt;"")*(('Picked Students (raw)'!$C$2:$C$824-$B14)&lt;270)))))</f>
        <v/>
      </c>
      <c r="W14" s="5">
        <f>IF($A14="","",IF(V14="-","-",IF($D14=0,0,V14/$D14)))</f>
        <v/>
      </c>
      <c r="X14" s="3">
        <f>IF($A14="","",IF($B14="","",IF(TODAY()&lt;$B14+300,"-",SUMPRODUCT(('Picked Students (raw)'!$B$2:$B$824=$A14)*('Picked Students (raw)'!$E$2:$E$824="Fresher")*('Picked Students (raw)'!$C$2:$C$824&lt;&gt;"")*(('Picked Students (raw)'!$C$2:$C$824-$B14)&lt;300)))))</f>
        <v/>
      </c>
      <c r="Y14" s="5">
        <f>IF($A14="","",IF(X14="-","-",IF($D14=0,0,X14/$D14)))</f>
        <v/>
      </c>
      <c r="Z14" s="3">
        <f>IF($A14="","",IF($B14="","",IF(TODAY()&lt;$B14+330,"-",SUMPRODUCT(('Picked Students (raw)'!$B$2:$B$824=$A14)*('Picked Students (raw)'!$E$2:$E$824="Fresher")*('Picked Students (raw)'!$C$2:$C$824&lt;&gt;"")*(('Picked Students (raw)'!$C$2:$C$824-$B14)&lt;330)))))</f>
        <v/>
      </c>
      <c r="AA14" s="5">
        <f>IF($A14="","",IF(Z14="-","-",IF($D14=0,0,Z14/$D14)))</f>
        <v/>
      </c>
      <c r="AB14" s="3">
        <f>IF($A14="","",IF($B14="","",IF(TODAY()&lt;$B14+360,"-",SUMPRODUCT(('Picked Students (raw)'!$B$2:$B$824=$A14)*('Picked Students (raw)'!$E$2:$E$824="Fresher")*('Picked Students (raw)'!$C$2:$C$824&lt;&gt;"")*(('Picked Students (raw)'!$C$2:$C$824-$B14)&lt;360)))))</f>
        <v/>
      </c>
      <c r="AC14" s="5">
        <f>IF($A14="","",IF(AB14="-","-",IF($D14=0,0,AB14/$D14)))</f>
        <v/>
      </c>
      <c r="AD14" s="3">
        <f>IF($A14="","",IF($B14="","",IF(TODAY()&lt;$B14+390,"-",SUMPRODUCT(('Picked Students (raw)'!$B$2:$B$824=$A14)*('Picked Students (raw)'!$E$2:$E$824="Fresher")*('Picked Students (raw)'!$C$2:$C$824&lt;&gt;"")*(('Picked Students (raw)'!$C$2:$C$824-$B14)&lt;390)))))</f>
        <v/>
      </c>
      <c r="AE14" s="5">
        <f>IF($A14="","",IF(AD14="-","-",IF($D14=0,0,AD14/$D14)))</f>
        <v/>
      </c>
      <c r="AF14" s="3">
        <f>IF($A14="","",IF($B14="","",IF(TODAY()&lt;$B14+420,"-",SUMPRODUCT(('Picked Students (raw)'!$B$2:$B$824=$A14)*('Picked Students (raw)'!$E$2:$E$824="Fresher")*('Picked Students (raw)'!$C$2:$C$824&lt;&gt;"")*(('Picked Students (raw)'!$C$2:$C$824-$B14)&lt;420)))))</f>
        <v/>
      </c>
      <c r="AG14" s="5">
        <f>IF($A14="","",IF(AF14="-","-",IF($D14=0,0,AF14/$D14)))</f>
        <v/>
      </c>
      <c r="AH14" s="3">
        <f>IF($A14="","",IF($B14="","",IF(TODAY()&lt;$B14+450,"-",SUMPRODUCT(('Picked Students (raw)'!$B$2:$B$824=$A14)*('Picked Students (raw)'!$E$2:$E$824="Fresher")*('Picked Students (raw)'!$C$2:$C$824&lt;&gt;"")*(('Picked Students (raw)'!$C$2:$C$824-$B14)&lt;450)))))</f>
        <v/>
      </c>
      <c r="AI14" s="5">
        <f>IF($A14="","",IF(AH14="-","-",IF($D14=0,0,AH14/$D14)))</f>
        <v/>
      </c>
      <c r="AJ14" s="3">
        <f>IF($A14="","",IF($B14="","",IF(TODAY()&lt;$B14+480,"-",SUMPRODUCT(('Picked Students (raw)'!$B$2:$B$824=$A14)*('Picked Students (raw)'!$E$2:$E$824="Fresher")*('Picked Students (raw)'!$C$2:$C$824&lt;&gt;"")*(('Picked Students (raw)'!$C$2:$C$824-$B14)&lt;480)))))</f>
        <v/>
      </c>
      <c r="AK14" s="5">
        <f>IF($A14="","",IF(AJ14="-","-",IF($D14=0,0,AJ14/$D14)))</f>
        <v/>
      </c>
      <c r="AL14" s="3">
        <f>IF($A14="","",IF($B14="","",IF(TODAY()&lt;$B14+510,"-",SUMPRODUCT(('Picked Students (raw)'!$B$2:$B$824=$A14)*('Picked Students (raw)'!$E$2:$E$824="Fresher")*('Picked Students (raw)'!$C$2:$C$824&lt;&gt;"")*(('Picked Students (raw)'!$C$2:$C$824-$B14)&lt;510)))))</f>
        <v/>
      </c>
      <c r="AM14" s="5">
        <f>IF($A14="","",IF(AL14="-","-",IF($D14=0,0,AL14/$D14)))</f>
        <v/>
      </c>
      <c r="AN14" s="3">
        <f>IF($A14="","",IF($B14="","",IF(TODAY()&lt;$B14+540,"-",SUMPRODUCT(('Picked Students (raw)'!$B$2:$B$824=$A14)*('Picked Students (raw)'!$E$2:$E$824="Fresher")*('Picked Students (raw)'!$C$2:$C$824&lt;&gt;"")*(('Picked Students (raw)'!$C$2:$C$824-$B14)&lt;540)))))</f>
        <v/>
      </c>
      <c r="AO14" s="5">
        <f>IF($A14="","",IF(AN14="-","-",IF($D14=0,0,AN14/$D14)))</f>
        <v/>
      </c>
      <c r="AP14" s="3">
        <f>IF($A14="","",IF(AN14="-","-",$E14-AN14))</f>
        <v/>
      </c>
    </row>
    <row r="15">
      <c r="A15" s="3" t="inlineStr">
        <is>
          <t>Professional Certificate Course In Data Science - March 2024</t>
        </is>
      </c>
      <c r="B15" s="4">
        <f>IF($A15="","",IFERROR(INDEX('Batch Enrollment (Metabase)'!$D$2:$D$47,MATCH($A15,'Batch Enrollment (Metabase)'!$A$2:$A$47,0)),""))</f>
        <v/>
      </c>
      <c r="C15" s="3">
        <f>IF($A15="","",IFERROR(INDEX('Batch Enrollment (Metabase)'!$E$2:$E$47,MATCH($A15,'Batch Enrollment (Metabase)'!$A$2:$A$47,0)),""))</f>
        <v/>
      </c>
      <c r="D15" s="3">
        <f>IF($A15="","",IFERROR(INDEX('Batch Enrollment (Metabase)'!$F$2:$F$47,MATCH($A15,'Batch Enrollment (Metabase)'!$A$2:$A$47,0)),""))</f>
        <v/>
      </c>
      <c r="E15" s="3">
        <f>IF($A15="","",COUNTIFS('Picked Students (raw)'!$B$2:$B$824,$A15,'Picked Students (raw)'!$E$2:$E$824,"Fresher"))</f>
        <v/>
      </c>
      <c r="F15" s="3">
        <f>IF($A15="","",IF($B15="","",IF(TODAY()&lt;$B15+30,"-",SUMPRODUCT(('Picked Students (raw)'!$B$2:$B$824=$A15)*('Picked Students (raw)'!$E$2:$E$824="Fresher")*('Picked Students (raw)'!$C$2:$C$824&lt;&gt;"")*(('Picked Students (raw)'!$C$2:$C$824-$B15)&lt;30)))))</f>
        <v/>
      </c>
      <c r="G15" s="5">
        <f>IF($A15="","",IF(F15="-","-",IF($D15=0,0,F15/$D15)))</f>
        <v/>
      </c>
      <c r="H15" s="3">
        <f>IF($A15="","",IF($B15="","",IF(TODAY()&lt;$B15+60,"-",SUMPRODUCT(('Picked Students (raw)'!$B$2:$B$824=$A15)*('Picked Students (raw)'!$E$2:$E$824="Fresher")*('Picked Students (raw)'!$C$2:$C$824&lt;&gt;"")*(('Picked Students (raw)'!$C$2:$C$824-$B15)&lt;60)))))</f>
        <v/>
      </c>
      <c r="I15" s="5">
        <f>IF($A15="","",IF(H15="-","-",IF($D15=0,0,H15/$D15)))</f>
        <v/>
      </c>
      <c r="J15" s="3">
        <f>IF($A15="","",IF($B15="","",IF(TODAY()&lt;$B15+90,"-",SUMPRODUCT(('Picked Students (raw)'!$B$2:$B$824=$A15)*('Picked Students (raw)'!$E$2:$E$824="Fresher")*('Picked Students (raw)'!$C$2:$C$824&lt;&gt;"")*(('Picked Students (raw)'!$C$2:$C$824-$B15)&lt;90)))))</f>
        <v/>
      </c>
      <c r="K15" s="5">
        <f>IF($A15="","",IF(J15="-","-",IF($D15=0,0,J15/$D15)))</f>
        <v/>
      </c>
      <c r="L15" s="3">
        <f>IF($A15="","",IF($B15="","",IF(TODAY()&lt;$B15+120,"-",SUMPRODUCT(('Picked Students (raw)'!$B$2:$B$824=$A15)*('Picked Students (raw)'!$E$2:$E$824="Fresher")*('Picked Students (raw)'!$C$2:$C$824&lt;&gt;"")*(('Picked Students (raw)'!$C$2:$C$824-$B15)&lt;120)))))</f>
        <v/>
      </c>
      <c r="M15" s="5">
        <f>IF($A15="","",IF(L15="-","-",IF($D15=0,0,L15/$D15)))</f>
        <v/>
      </c>
      <c r="N15" s="3">
        <f>IF($A15="","",IF($B15="","",IF(TODAY()&lt;$B15+150,"-",SUMPRODUCT(('Picked Students (raw)'!$B$2:$B$824=$A15)*('Picked Students (raw)'!$E$2:$E$824="Fresher")*('Picked Students (raw)'!$C$2:$C$824&lt;&gt;"")*(('Picked Students (raw)'!$C$2:$C$824-$B15)&lt;150)))))</f>
        <v/>
      </c>
      <c r="O15" s="5">
        <f>IF($A15="","",IF(N15="-","-",IF($D15=0,0,N15/$D15)))</f>
        <v/>
      </c>
      <c r="P15" s="3">
        <f>IF($A15="","",IF($B15="","",IF(TODAY()&lt;$B15+180,"-",SUMPRODUCT(('Picked Students (raw)'!$B$2:$B$824=$A15)*('Picked Students (raw)'!$E$2:$E$824="Fresher")*('Picked Students (raw)'!$C$2:$C$824&lt;&gt;"")*(('Picked Students (raw)'!$C$2:$C$824-$B15)&lt;180)))))</f>
        <v/>
      </c>
      <c r="Q15" s="5">
        <f>IF($A15="","",IF(P15="-","-",IF($D15=0,0,P15/$D15)))</f>
        <v/>
      </c>
      <c r="R15" s="3">
        <f>IF($A15="","",IF($B15="","",IF(TODAY()&lt;$B15+210,"-",SUMPRODUCT(('Picked Students (raw)'!$B$2:$B$824=$A15)*('Picked Students (raw)'!$E$2:$E$824="Fresher")*('Picked Students (raw)'!$C$2:$C$824&lt;&gt;"")*(('Picked Students (raw)'!$C$2:$C$824-$B15)&lt;210)))))</f>
        <v/>
      </c>
      <c r="S15" s="5">
        <f>IF($A15="","",IF(R15="-","-",IF($D15=0,0,R15/$D15)))</f>
        <v/>
      </c>
      <c r="T15" s="3">
        <f>IF($A15="","",IF($B15="","",IF(TODAY()&lt;$B15+240,"-",SUMPRODUCT(('Picked Students (raw)'!$B$2:$B$824=$A15)*('Picked Students (raw)'!$E$2:$E$824="Fresher")*('Picked Students (raw)'!$C$2:$C$824&lt;&gt;"")*(('Picked Students (raw)'!$C$2:$C$824-$B15)&lt;240)))))</f>
        <v/>
      </c>
      <c r="U15" s="5">
        <f>IF($A15="","",IF(T15="-","-",IF($D15=0,0,T15/$D15)))</f>
        <v/>
      </c>
      <c r="V15" s="3">
        <f>IF($A15="","",IF($B15="","",IF(TODAY()&lt;$B15+270,"-",SUMPRODUCT(('Picked Students (raw)'!$B$2:$B$824=$A15)*('Picked Students (raw)'!$E$2:$E$824="Fresher")*('Picked Students (raw)'!$C$2:$C$824&lt;&gt;"")*(('Picked Students (raw)'!$C$2:$C$824-$B15)&lt;270)))))</f>
        <v/>
      </c>
      <c r="W15" s="5">
        <f>IF($A15="","",IF(V15="-","-",IF($D15=0,0,V15/$D15)))</f>
        <v/>
      </c>
      <c r="X15" s="3">
        <f>IF($A15="","",IF($B15="","",IF(TODAY()&lt;$B15+300,"-",SUMPRODUCT(('Picked Students (raw)'!$B$2:$B$824=$A15)*('Picked Students (raw)'!$E$2:$E$824="Fresher")*('Picked Students (raw)'!$C$2:$C$824&lt;&gt;"")*(('Picked Students (raw)'!$C$2:$C$824-$B15)&lt;300)))))</f>
        <v/>
      </c>
      <c r="Y15" s="5">
        <f>IF($A15="","",IF(X15="-","-",IF($D15=0,0,X15/$D15)))</f>
        <v/>
      </c>
      <c r="Z15" s="3">
        <f>IF($A15="","",IF($B15="","",IF(TODAY()&lt;$B15+330,"-",SUMPRODUCT(('Picked Students (raw)'!$B$2:$B$824=$A15)*('Picked Students (raw)'!$E$2:$E$824="Fresher")*('Picked Students (raw)'!$C$2:$C$824&lt;&gt;"")*(('Picked Students (raw)'!$C$2:$C$824-$B15)&lt;330)))))</f>
        <v/>
      </c>
      <c r="AA15" s="5">
        <f>IF($A15="","",IF(Z15="-","-",IF($D15=0,0,Z15/$D15)))</f>
        <v/>
      </c>
      <c r="AB15" s="3">
        <f>IF($A15="","",IF($B15="","",IF(TODAY()&lt;$B15+360,"-",SUMPRODUCT(('Picked Students (raw)'!$B$2:$B$824=$A15)*('Picked Students (raw)'!$E$2:$E$824="Fresher")*('Picked Students (raw)'!$C$2:$C$824&lt;&gt;"")*(('Picked Students (raw)'!$C$2:$C$824-$B15)&lt;360)))))</f>
        <v/>
      </c>
      <c r="AC15" s="5">
        <f>IF($A15="","",IF(AB15="-","-",IF($D15=0,0,AB15/$D15)))</f>
        <v/>
      </c>
      <c r="AD15" s="3">
        <f>IF($A15="","",IF($B15="","",IF(TODAY()&lt;$B15+390,"-",SUMPRODUCT(('Picked Students (raw)'!$B$2:$B$824=$A15)*('Picked Students (raw)'!$E$2:$E$824="Fresher")*('Picked Students (raw)'!$C$2:$C$824&lt;&gt;"")*(('Picked Students (raw)'!$C$2:$C$824-$B15)&lt;390)))))</f>
        <v/>
      </c>
      <c r="AE15" s="5">
        <f>IF($A15="","",IF(AD15="-","-",IF($D15=0,0,AD15/$D15)))</f>
        <v/>
      </c>
      <c r="AF15" s="3">
        <f>IF($A15="","",IF($B15="","",IF(TODAY()&lt;$B15+420,"-",SUMPRODUCT(('Picked Students (raw)'!$B$2:$B$824=$A15)*('Picked Students (raw)'!$E$2:$E$824="Fresher")*('Picked Students (raw)'!$C$2:$C$824&lt;&gt;"")*(('Picked Students (raw)'!$C$2:$C$824-$B15)&lt;420)))))</f>
        <v/>
      </c>
      <c r="AG15" s="5">
        <f>IF($A15="","",IF(AF15="-","-",IF($D15=0,0,AF15/$D15)))</f>
        <v/>
      </c>
      <c r="AH15" s="3">
        <f>IF($A15="","",IF($B15="","",IF(TODAY()&lt;$B15+450,"-",SUMPRODUCT(('Picked Students (raw)'!$B$2:$B$824=$A15)*('Picked Students (raw)'!$E$2:$E$824="Fresher")*('Picked Students (raw)'!$C$2:$C$824&lt;&gt;"")*(('Picked Students (raw)'!$C$2:$C$824-$B15)&lt;450)))))</f>
        <v/>
      </c>
      <c r="AI15" s="5">
        <f>IF($A15="","",IF(AH15="-","-",IF($D15=0,0,AH15/$D15)))</f>
        <v/>
      </c>
      <c r="AJ15" s="3">
        <f>IF($A15="","",IF($B15="","",IF(TODAY()&lt;$B15+480,"-",SUMPRODUCT(('Picked Students (raw)'!$B$2:$B$824=$A15)*('Picked Students (raw)'!$E$2:$E$824="Fresher")*('Picked Students (raw)'!$C$2:$C$824&lt;&gt;"")*(('Picked Students (raw)'!$C$2:$C$824-$B15)&lt;480)))))</f>
        <v/>
      </c>
      <c r="AK15" s="5">
        <f>IF($A15="","",IF(AJ15="-","-",IF($D15=0,0,AJ15/$D15)))</f>
        <v/>
      </c>
      <c r="AL15" s="3">
        <f>IF($A15="","",IF($B15="","",IF(TODAY()&lt;$B15+510,"-",SUMPRODUCT(('Picked Students (raw)'!$B$2:$B$824=$A15)*('Picked Students (raw)'!$E$2:$E$824="Fresher")*('Picked Students (raw)'!$C$2:$C$824&lt;&gt;"")*(('Picked Students (raw)'!$C$2:$C$824-$B15)&lt;510)))))</f>
        <v/>
      </c>
      <c r="AM15" s="5">
        <f>IF($A15="","",IF(AL15="-","-",IF($D15=0,0,AL15/$D15)))</f>
        <v/>
      </c>
      <c r="AN15" s="3">
        <f>IF($A15="","",IF($B15="","",IF(TODAY()&lt;$B15+540,"-",SUMPRODUCT(('Picked Students (raw)'!$B$2:$B$824=$A15)*('Picked Students (raw)'!$E$2:$E$824="Fresher")*('Picked Students (raw)'!$C$2:$C$824&lt;&gt;"")*(('Picked Students (raw)'!$C$2:$C$824-$B15)&lt;540)))))</f>
        <v/>
      </c>
      <c r="AO15" s="5">
        <f>IF($A15="","",IF(AN15="-","-",IF($D15=0,0,AN15/$D15)))</f>
        <v/>
      </c>
      <c r="AP15" s="3">
        <f>IF($A15="","",IF(AN15="-","-",$E15-AN15))</f>
        <v/>
      </c>
    </row>
    <row r="16">
      <c r="A16" s="3" t="inlineStr">
        <is>
          <t>Professional Certificate Course In Data Science - April 2024</t>
        </is>
      </c>
      <c r="B16" s="4">
        <f>IF($A16="","",IFERROR(INDEX('Batch Enrollment (Metabase)'!$D$2:$D$47,MATCH($A16,'Batch Enrollment (Metabase)'!$A$2:$A$47,0)),""))</f>
        <v/>
      </c>
      <c r="C16" s="3">
        <f>IF($A16="","",IFERROR(INDEX('Batch Enrollment (Metabase)'!$E$2:$E$47,MATCH($A16,'Batch Enrollment (Metabase)'!$A$2:$A$47,0)),""))</f>
        <v/>
      </c>
      <c r="D16" s="3">
        <f>IF($A16="","",IFERROR(INDEX('Batch Enrollment (Metabase)'!$F$2:$F$47,MATCH($A16,'Batch Enrollment (Metabase)'!$A$2:$A$47,0)),""))</f>
        <v/>
      </c>
      <c r="E16" s="3">
        <f>IF($A16="","",COUNTIFS('Picked Students (raw)'!$B$2:$B$824,$A16,'Picked Students (raw)'!$E$2:$E$824,"Fresher"))</f>
        <v/>
      </c>
      <c r="F16" s="3">
        <f>IF($A16="","",IF($B16="","",IF(TODAY()&lt;$B16+30,"-",SUMPRODUCT(('Picked Students (raw)'!$B$2:$B$824=$A16)*('Picked Students (raw)'!$E$2:$E$824="Fresher")*('Picked Students (raw)'!$C$2:$C$824&lt;&gt;"")*(('Picked Students (raw)'!$C$2:$C$824-$B16)&lt;30)))))</f>
        <v/>
      </c>
      <c r="G16" s="5">
        <f>IF($A16="","",IF(F16="-","-",IF($D16=0,0,F16/$D16)))</f>
        <v/>
      </c>
      <c r="H16" s="3">
        <f>IF($A16="","",IF($B16="","",IF(TODAY()&lt;$B16+60,"-",SUMPRODUCT(('Picked Students (raw)'!$B$2:$B$824=$A16)*('Picked Students (raw)'!$E$2:$E$824="Fresher")*('Picked Students (raw)'!$C$2:$C$824&lt;&gt;"")*(('Picked Students (raw)'!$C$2:$C$824-$B16)&lt;60)))))</f>
        <v/>
      </c>
      <c r="I16" s="5">
        <f>IF($A16="","",IF(H16="-","-",IF($D16=0,0,H16/$D16)))</f>
        <v/>
      </c>
      <c r="J16" s="3">
        <f>IF($A16="","",IF($B16="","",IF(TODAY()&lt;$B16+90,"-",SUMPRODUCT(('Picked Students (raw)'!$B$2:$B$824=$A16)*('Picked Students (raw)'!$E$2:$E$824="Fresher")*('Picked Students (raw)'!$C$2:$C$824&lt;&gt;"")*(('Picked Students (raw)'!$C$2:$C$824-$B16)&lt;90)))))</f>
        <v/>
      </c>
      <c r="K16" s="5">
        <f>IF($A16="","",IF(J16="-","-",IF($D16=0,0,J16/$D16)))</f>
        <v/>
      </c>
      <c r="L16" s="3">
        <f>IF($A16="","",IF($B16="","",IF(TODAY()&lt;$B16+120,"-",SUMPRODUCT(('Picked Students (raw)'!$B$2:$B$824=$A16)*('Picked Students (raw)'!$E$2:$E$824="Fresher")*('Picked Students (raw)'!$C$2:$C$824&lt;&gt;"")*(('Picked Students (raw)'!$C$2:$C$824-$B16)&lt;120)))))</f>
        <v/>
      </c>
      <c r="M16" s="5">
        <f>IF($A16="","",IF(L16="-","-",IF($D16=0,0,L16/$D16)))</f>
        <v/>
      </c>
      <c r="N16" s="3">
        <f>IF($A16="","",IF($B16="","",IF(TODAY()&lt;$B16+150,"-",SUMPRODUCT(('Picked Students (raw)'!$B$2:$B$824=$A16)*('Picked Students (raw)'!$E$2:$E$824="Fresher")*('Picked Students (raw)'!$C$2:$C$824&lt;&gt;"")*(('Picked Students (raw)'!$C$2:$C$824-$B16)&lt;150)))))</f>
        <v/>
      </c>
      <c r="O16" s="5">
        <f>IF($A16="","",IF(N16="-","-",IF($D16=0,0,N16/$D16)))</f>
        <v/>
      </c>
      <c r="P16" s="3">
        <f>IF($A16="","",IF($B16="","",IF(TODAY()&lt;$B16+180,"-",SUMPRODUCT(('Picked Students (raw)'!$B$2:$B$824=$A16)*('Picked Students (raw)'!$E$2:$E$824="Fresher")*('Picked Students (raw)'!$C$2:$C$824&lt;&gt;"")*(('Picked Students (raw)'!$C$2:$C$824-$B16)&lt;180)))))</f>
        <v/>
      </c>
      <c r="Q16" s="5">
        <f>IF($A16="","",IF(P16="-","-",IF($D16=0,0,P16/$D16)))</f>
        <v/>
      </c>
      <c r="R16" s="3">
        <f>IF($A16="","",IF($B16="","",IF(TODAY()&lt;$B16+210,"-",SUMPRODUCT(('Picked Students (raw)'!$B$2:$B$824=$A16)*('Picked Students (raw)'!$E$2:$E$824="Fresher")*('Picked Students (raw)'!$C$2:$C$824&lt;&gt;"")*(('Picked Students (raw)'!$C$2:$C$824-$B16)&lt;210)))))</f>
        <v/>
      </c>
      <c r="S16" s="5">
        <f>IF($A16="","",IF(R16="-","-",IF($D16=0,0,R16/$D16)))</f>
        <v/>
      </c>
      <c r="T16" s="3">
        <f>IF($A16="","",IF($B16="","",IF(TODAY()&lt;$B16+240,"-",SUMPRODUCT(('Picked Students (raw)'!$B$2:$B$824=$A16)*('Picked Students (raw)'!$E$2:$E$824="Fresher")*('Picked Students (raw)'!$C$2:$C$824&lt;&gt;"")*(('Picked Students (raw)'!$C$2:$C$824-$B16)&lt;240)))))</f>
        <v/>
      </c>
      <c r="U16" s="5">
        <f>IF($A16="","",IF(T16="-","-",IF($D16=0,0,T16/$D16)))</f>
        <v/>
      </c>
      <c r="V16" s="3">
        <f>IF($A16="","",IF($B16="","",IF(TODAY()&lt;$B16+270,"-",SUMPRODUCT(('Picked Students (raw)'!$B$2:$B$824=$A16)*('Picked Students (raw)'!$E$2:$E$824="Fresher")*('Picked Students (raw)'!$C$2:$C$824&lt;&gt;"")*(('Picked Students (raw)'!$C$2:$C$824-$B16)&lt;270)))))</f>
        <v/>
      </c>
      <c r="W16" s="5">
        <f>IF($A16="","",IF(V16="-","-",IF($D16=0,0,V16/$D16)))</f>
        <v/>
      </c>
      <c r="X16" s="3">
        <f>IF($A16="","",IF($B16="","",IF(TODAY()&lt;$B16+300,"-",SUMPRODUCT(('Picked Students (raw)'!$B$2:$B$824=$A16)*('Picked Students (raw)'!$E$2:$E$824="Fresher")*('Picked Students (raw)'!$C$2:$C$824&lt;&gt;"")*(('Picked Students (raw)'!$C$2:$C$824-$B16)&lt;300)))))</f>
        <v/>
      </c>
      <c r="Y16" s="5">
        <f>IF($A16="","",IF(X16="-","-",IF($D16=0,0,X16/$D16)))</f>
        <v/>
      </c>
      <c r="Z16" s="3">
        <f>IF($A16="","",IF($B16="","",IF(TODAY()&lt;$B16+330,"-",SUMPRODUCT(('Picked Students (raw)'!$B$2:$B$824=$A16)*('Picked Students (raw)'!$E$2:$E$824="Fresher")*('Picked Students (raw)'!$C$2:$C$824&lt;&gt;"")*(('Picked Students (raw)'!$C$2:$C$824-$B16)&lt;330)))))</f>
        <v/>
      </c>
      <c r="AA16" s="5">
        <f>IF($A16="","",IF(Z16="-","-",IF($D16=0,0,Z16/$D16)))</f>
        <v/>
      </c>
      <c r="AB16" s="3">
        <f>IF($A16="","",IF($B16="","",IF(TODAY()&lt;$B16+360,"-",SUMPRODUCT(('Picked Students (raw)'!$B$2:$B$824=$A16)*('Picked Students (raw)'!$E$2:$E$824="Fresher")*('Picked Students (raw)'!$C$2:$C$824&lt;&gt;"")*(('Picked Students (raw)'!$C$2:$C$824-$B16)&lt;360)))))</f>
        <v/>
      </c>
      <c r="AC16" s="5">
        <f>IF($A16="","",IF(AB16="-","-",IF($D16=0,0,AB16/$D16)))</f>
        <v/>
      </c>
      <c r="AD16" s="3">
        <f>IF($A16="","",IF($B16="","",IF(TODAY()&lt;$B16+390,"-",SUMPRODUCT(('Picked Students (raw)'!$B$2:$B$824=$A16)*('Picked Students (raw)'!$E$2:$E$824="Fresher")*('Picked Students (raw)'!$C$2:$C$824&lt;&gt;"")*(('Picked Students (raw)'!$C$2:$C$824-$B16)&lt;390)))))</f>
        <v/>
      </c>
      <c r="AE16" s="5">
        <f>IF($A16="","",IF(AD16="-","-",IF($D16=0,0,AD16/$D16)))</f>
        <v/>
      </c>
      <c r="AF16" s="3">
        <f>IF($A16="","",IF($B16="","",IF(TODAY()&lt;$B16+420,"-",SUMPRODUCT(('Picked Students (raw)'!$B$2:$B$824=$A16)*('Picked Students (raw)'!$E$2:$E$824="Fresher")*('Picked Students (raw)'!$C$2:$C$824&lt;&gt;"")*(('Picked Students (raw)'!$C$2:$C$824-$B16)&lt;420)))))</f>
        <v/>
      </c>
      <c r="AG16" s="5">
        <f>IF($A16="","",IF(AF16="-","-",IF($D16=0,0,AF16/$D16)))</f>
        <v/>
      </c>
      <c r="AH16" s="3">
        <f>IF($A16="","",IF($B16="","",IF(TODAY()&lt;$B16+450,"-",SUMPRODUCT(('Picked Students (raw)'!$B$2:$B$824=$A16)*('Picked Students (raw)'!$E$2:$E$824="Fresher")*('Picked Students (raw)'!$C$2:$C$824&lt;&gt;"")*(('Picked Students (raw)'!$C$2:$C$824-$B16)&lt;450)))))</f>
        <v/>
      </c>
      <c r="AI16" s="5">
        <f>IF($A16="","",IF(AH16="-","-",IF($D16=0,0,AH16/$D16)))</f>
        <v/>
      </c>
      <c r="AJ16" s="3">
        <f>IF($A16="","",IF($B16="","",IF(TODAY()&lt;$B16+480,"-",SUMPRODUCT(('Picked Students (raw)'!$B$2:$B$824=$A16)*('Picked Students (raw)'!$E$2:$E$824="Fresher")*('Picked Students (raw)'!$C$2:$C$824&lt;&gt;"")*(('Picked Students (raw)'!$C$2:$C$824-$B16)&lt;480)))))</f>
        <v/>
      </c>
      <c r="AK16" s="5">
        <f>IF($A16="","",IF(AJ16="-","-",IF($D16=0,0,AJ16/$D16)))</f>
        <v/>
      </c>
      <c r="AL16" s="3">
        <f>IF($A16="","",IF($B16="","",IF(TODAY()&lt;$B16+510,"-",SUMPRODUCT(('Picked Students (raw)'!$B$2:$B$824=$A16)*('Picked Students (raw)'!$E$2:$E$824="Fresher")*('Picked Students (raw)'!$C$2:$C$824&lt;&gt;"")*(('Picked Students (raw)'!$C$2:$C$824-$B16)&lt;510)))))</f>
        <v/>
      </c>
      <c r="AM16" s="5">
        <f>IF($A16="","",IF(AL16="-","-",IF($D16=0,0,AL16/$D16)))</f>
        <v/>
      </c>
      <c r="AN16" s="3">
        <f>IF($A16="","",IF($B16="","",IF(TODAY()&lt;$B16+540,"-",SUMPRODUCT(('Picked Students (raw)'!$B$2:$B$824=$A16)*('Picked Students (raw)'!$E$2:$E$824="Fresher")*('Picked Students (raw)'!$C$2:$C$824&lt;&gt;"")*(('Picked Students (raw)'!$C$2:$C$824-$B16)&lt;540)))))</f>
        <v/>
      </c>
      <c r="AO16" s="5">
        <f>IF($A16="","",IF(AN16="-","-",IF($D16=0,0,AN16/$D16)))</f>
        <v/>
      </c>
      <c r="AP16" s="3">
        <f>IF($A16="","",IF(AN16="-","-",$E16-AN16))</f>
        <v/>
      </c>
    </row>
    <row r="17">
      <c r="A17" s="3" t="inlineStr">
        <is>
          <t>Professional Certificate Course In Data Science - May 2024</t>
        </is>
      </c>
      <c r="B17" s="4">
        <f>IF($A17="","",IFERROR(INDEX('Batch Enrollment (Metabase)'!$D$2:$D$47,MATCH($A17,'Batch Enrollment (Metabase)'!$A$2:$A$47,0)),""))</f>
        <v/>
      </c>
      <c r="C17" s="3">
        <f>IF($A17="","",IFERROR(INDEX('Batch Enrollment (Metabase)'!$E$2:$E$47,MATCH($A17,'Batch Enrollment (Metabase)'!$A$2:$A$47,0)),""))</f>
        <v/>
      </c>
      <c r="D17" s="3">
        <f>IF($A17="","",IFERROR(INDEX('Batch Enrollment (Metabase)'!$F$2:$F$47,MATCH($A17,'Batch Enrollment (Metabase)'!$A$2:$A$47,0)),""))</f>
        <v/>
      </c>
      <c r="E17" s="3">
        <f>IF($A17="","",COUNTIFS('Picked Students (raw)'!$B$2:$B$824,$A17,'Picked Students (raw)'!$E$2:$E$824,"Fresher"))</f>
        <v/>
      </c>
      <c r="F17" s="3">
        <f>IF($A17="","",IF($B17="","",IF(TODAY()&lt;$B17+30,"-",SUMPRODUCT(('Picked Students (raw)'!$B$2:$B$824=$A17)*('Picked Students (raw)'!$E$2:$E$824="Fresher")*('Picked Students (raw)'!$C$2:$C$824&lt;&gt;"")*(('Picked Students (raw)'!$C$2:$C$824-$B17)&lt;30)))))</f>
        <v/>
      </c>
      <c r="G17" s="5">
        <f>IF($A17="","",IF(F17="-","-",IF($D17=0,0,F17/$D17)))</f>
        <v/>
      </c>
      <c r="H17" s="3">
        <f>IF($A17="","",IF($B17="","",IF(TODAY()&lt;$B17+60,"-",SUMPRODUCT(('Picked Students (raw)'!$B$2:$B$824=$A17)*('Picked Students (raw)'!$E$2:$E$824="Fresher")*('Picked Students (raw)'!$C$2:$C$824&lt;&gt;"")*(('Picked Students (raw)'!$C$2:$C$824-$B17)&lt;60)))))</f>
        <v/>
      </c>
      <c r="I17" s="5">
        <f>IF($A17="","",IF(H17="-","-",IF($D17=0,0,H17/$D17)))</f>
        <v/>
      </c>
      <c r="J17" s="3">
        <f>IF($A17="","",IF($B17="","",IF(TODAY()&lt;$B17+90,"-",SUMPRODUCT(('Picked Students (raw)'!$B$2:$B$824=$A17)*('Picked Students (raw)'!$E$2:$E$824="Fresher")*('Picked Students (raw)'!$C$2:$C$824&lt;&gt;"")*(('Picked Students (raw)'!$C$2:$C$824-$B17)&lt;90)))))</f>
        <v/>
      </c>
      <c r="K17" s="5">
        <f>IF($A17="","",IF(J17="-","-",IF($D17=0,0,J17/$D17)))</f>
        <v/>
      </c>
      <c r="L17" s="3">
        <f>IF($A17="","",IF($B17="","",IF(TODAY()&lt;$B17+120,"-",SUMPRODUCT(('Picked Students (raw)'!$B$2:$B$824=$A17)*('Picked Students (raw)'!$E$2:$E$824="Fresher")*('Picked Students (raw)'!$C$2:$C$824&lt;&gt;"")*(('Picked Students (raw)'!$C$2:$C$824-$B17)&lt;120)))))</f>
        <v/>
      </c>
      <c r="M17" s="5">
        <f>IF($A17="","",IF(L17="-","-",IF($D17=0,0,L17/$D17)))</f>
        <v/>
      </c>
      <c r="N17" s="3">
        <f>IF($A17="","",IF($B17="","",IF(TODAY()&lt;$B17+150,"-",SUMPRODUCT(('Picked Students (raw)'!$B$2:$B$824=$A17)*('Picked Students (raw)'!$E$2:$E$824="Fresher")*('Picked Students (raw)'!$C$2:$C$824&lt;&gt;"")*(('Picked Students (raw)'!$C$2:$C$824-$B17)&lt;150)))))</f>
        <v/>
      </c>
      <c r="O17" s="5">
        <f>IF($A17="","",IF(N17="-","-",IF($D17=0,0,N17/$D17)))</f>
        <v/>
      </c>
      <c r="P17" s="3">
        <f>IF($A17="","",IF($B17="","",IF(TODAY()&lt;$B17+180,"-",SUMPRODUCT(('Picked Students (raw)'!$B$2:$B$824=$A17)*('Picked Students (raw)'!$E$2:$E$824="Fresher")*('Picked Students (raw)'!$C$2:$C$824&lt;&gt;"")*(('Picked Students (raw)'!$C$2:$C$824-$B17)&lt;180)))))</f>
        <v/>
      </c>
      <c r="Q17" s="5">
        <f>IF($A17="","",IF(P17="-","-",IF($D17=0,0,P17/$D17)))</f>
        <v/>
      </c>
      <c r="R17" s="3">
        <f>IF($A17="","",IF($B17="","",IF(TODAY()&lt;$B17+210,"-",SUMPRODUCT(('Picked Students (raw)'!$B$2:$B$824=$A17)*('Picked Students (raw)'!$E$2:$E$824="Fresher")*('Picked Students (raw)'!$C$2:$C$824&lt;&gt;"")*(('Picked Students (raw)'!$C$2:$C$824-$B17)&lt;210)))))</f>
        <v/>
      </c>
      <c r="S17" s="5">
        <f>IF($A17="","",IF(R17="-","-",IF($D17=0,0,R17/$D17)))</f>
        <v/>
      </c>
      <c r="T17" s="3">
        <f>IF($A17="","",IF($B17="","",IF(TODAY()&lt;$B17+240,"-",SUMPRODUCT(('Picked Students (raw)'!$B$2:$B$824=$A17)*('Picked Students (raw)'!$E$2:$E$824="Fresher")*('Picked Students (raw)'!$C$2:$C$824&lt;&gt;"")*(('Picked Students (raw)'!$C$2:$C$824-$B17)&lt;240)))))</f>
        <v/>
      </c>
      <c r="U17" s="5">
        <f>IF($A17="","",IF(T17="-","-",IF($D17=0,0,T17/$D17)))</f>
        <v/>
      </c>
      <c r="V17" s="3">
        <f>IF($A17="","",IF($B17="","",IF(TODAY()&lt;$B17+270,"-",SUMPRODUCT(('Picked Students (raw)'!$B$2:$B$824=$A17)*('Picked Students (raw)'!$E$2:$E$824="Fresher")*('Picked Students (raw)'!$C$2:$C$824&lt;&gt;"")*(('Picked Students (raw)'!$C$2:$C$824-$B17)&lt;270)))))</f>
        <v/>
      </c>
      <c r="W17" s="5">
        <f>IF($A17="","",IF(V17="-","-",IF($D17=0,0,V17/$D17)))</f>
        <v/>
      </c>
      <c r="X17" s="3">
        <f>IF($A17="","",IF($B17="","",IF(TODAY()&lt;$B17+300,"-",SUMPRODUCT(('Picked Students (raw)'!$B$2:$B$824=$A17)*('Picked Students (raw)'!$E$2:$E$824="Fresher")*('Picked Students (raw)'!$C$2:$C$824&lt;&gt;"")*(('Picked Students (raw)'!$C$2:$C$824-$B17)&lt;300)))))</f>
        <v/>
      </c>
      <c r="Y17" s="5">
        <f>IF($A17="","",IF(X17="-","-",IF($D17=0,0,X17/$D17)))</f>
        <v/>
      </c>
      <c r="Z17" s="3">
        <f>IF($A17="","",IF($B17="","",IF(TODAY()&lt;$B17+330,"-",SUMPRODUCT(('Picked Students (raw)'!$B$2:$B$824=$A17)*('Picked Students (raw)'!$E$2:$E$824="Fresher")*('Picked Students (raw)'!$C$2:$C$824&lt;&gt;"")*(('Picked Students (raw)'!$C$2:$C$824-$B17)&lt;330)))))</f>
        <v/>
      </c>
      <c r="AA17" s="5">
        <f>IF($A17="","",IF(Z17="-","-",IF($D17=0,0,Z17/$D17)))</f>
        <v/>
      </c>
      <c r="AB17" s="3">
        <f>IF($A17="","",IF($B17="","",IF(TODAY()&lt;$B17+360,"-",SUMPRODUCT(('Picked Students (raw)'!$B$2:$B$824=$A17)*('Picked Students (raw)'!$E$2:$E$824="Fresher")*('Picked Students (raw)'!$C$2:$C$824&lt;&gt;"")*(('Picked Students (raw)'!$C$2:$C$824-$B17)&lt;360)))))</f>
        <v/>
      </c>
      <c r="AC17" s="5">
        <f>IF($A17="","",IF(AB17="-","-",IF($D17=0,0,AB17/$D17)))</f>
        <v/>
      </c>
      <c r="AD17" s="3">
        <f>IF($A17="","",IF($B17="","",IF(TODAY()&lt;$B17+390,"-",SUMPRODUCT(('Picked Students (raw)'!$B$2:$B$824=$A17)*('Picked Students (raw)'!$E$2:$E$824="Fresher")*('Picked Students (raw)'!$C$2:$C$824&lt;&gt;"")*(('Picked Students (raw)'!$C$2:$C$824-$B17)&lt;390)))))</f>
        <v/>
      </c>
      <c r="AE17" s="5">
        <f>IF($A17="","",IF(AD17="-","-",IF($D17=0,0,AD17/$D17)))</f>
        <v/>
      </c>
      <c r="AF17" s="3">
        <f>IF($A17="","",IF($B17="","",IF(TODAY()&lt;$B17+420,"-",SUMPRODUCT(('Picked Students (raw)'!$B$2:$B$824=$A17)*('Picked Students (raw)'!$E$2:$E$824="Fresher")*('Picked Students (raw)'!$C$2:$C$824&lt;&gt;"")*(('Picked Students (raw)'!$C$2:$C$824-$B17)&lt;420)))))</f>
        <v/>
      </c>
      <c r="AG17" s="5">
        <f>IF($A17="","",IF(AF17="-","-",IF($D17=0,0,AF17/$D17)))</f>
        <v/>
      </c>
      <c r="AH17" s="3">
        <f>IF($A17="","",IF($B17="","",IF(TODAY()&lt;$B17+450,"-",SUMPRODUCT(('Picked Students (raw)'!$B$2:$B$824=$A17)*('Picked Students (raw)'!$E$2:$E$824="Fresher")*('Picked Students (raw)'!$C$2:$C$824&lt;&gt;"")*(('Picked Students (raw)'!$C$2:$C$824-$B17)&lt;450)))))</f>
        <v/>
      </c>
      <c r="AI17" s="5">
        <f>IF($A17="","",IF(AH17="-","-",IF($D17=0,0,AH17/$D17)))</f>
        <v/>
      </c>
      <c r="AJ17" s="3">
        <f>IF($A17="","",IF($B17="","",IF(TODAY()&lt;$B17+480,"-",SUMPRODUCT(('Picked Students (raw)'!$B$2:$B$824=$A17)*('Picked Students (raw)'!$E$2:$E$824="Fresher")*('Picked Students (raw)'!$C$2:$C$824&lt;&gt;"")*(('Picked Students (raw)'!$C$2:$C$824-$B17)&lt;480)))))</f>
        <v/>
      </c>
      <c r="AK17" s="5">
        <f>IF($A17="","",IF(AJ17="-","-",IF($D17=0,0,AJ17/$D17)))</f>
        <v/>
      </c>
      <c r="AL17" s="3">
        <f>IF($A17="","",IF($B17="","",IF(TODAY()&lt;$B17+510,"-",SUMPRODUCT(('Picked Students (raw)'!$B$2:$B$824=$A17)*('Picked Students (raw)'!$E$2:$E$824="Fresher")*('Picked Students (raw)'!$C$2:$C$824&lt;&gt;"")*(('Picked Students (raw)'!$C$2:$C$824-$B17)&lt;510)))))</f>
        <v/>
      </c>
      <c r="AM17" s="5">
        <f>IF($A17="","",IF(AL17="-","-",IF($D17=0,0,AL17/$D17)))</f>
        <v/>
      </c>
      <c r="AN17" s="3">
        <f>IF($A17="","",IF($B17="","",IF(TODAY()&lt;$B17+540,"-",SUMPRODUCT(('Picked Students (raw)'!$B$2:$B$824=$A17)*('Picked Students (raw)'!$E$2:$E$824="Fresher")*('Picked Students (raw)'!$C$2:$C$824&lt;&gt;"")*(('Picked Students (raw)'!$C$2:$C$824-$B17)&lt;540)))))</f>
        <v/>
      </c>
      <c r="AO17" s="5">
        <f>IF($A17="","",IF(AN17="-","-",IF($D17=0,0,AN17/$D17)))</f>
        <v/>
      </c>
      <c r="AP17" s="3">
        <f>IF($A17="","",IF(AN17="-","-",$E17-AN17))</f>
        <v/>
      </c>
    </row>
    <row r="18">
      <c r="A18" s="3" t="inlineStr">
        <is>
          <t>Professional Certificate Course In Data Science - June 2024</t>
        </is>
      </c>
      <c r="B18" s="4">
        <f>IF($A18="","",IFERROR(INDEX('Batch Enrollment (Metabase)'!$D$2:$D$47,MATCH($A18,'Batch Enrollment (Metabase)'!$A$2:$A$47,0)),""))</f>
        <v/>
      </c>
      <c r="C18" s="3">
        <f>IF($A18="","",IFERROR(INDEX('Batch Enrollment (Metabase)'!$E$2:$E$47,MATCH($A18,'Batch Enrollment (Metabase)'!$A$2:$A$47,0)),""))</f>
        <v/>
      </c>
      <c r="D18" s="3">
        <f>IF($A18="","",IFERROR(INDEX('Batch Enrollment (Metabase)'!$F$2:$F$47,MATCH($A18,'Batch Enrollment (Metabase)'!$A$2:$A$47,0)),""))</f>
        <v/>
      </c>
      <c r="E18" s="3">
        <f>IF($A18="","",COUNTIFS('Picked Students (raw)'!$B$2:$B$824,$A18,'Picked Students (raw)'!$E$2:$E$824,"Fresher"))</f>
        <v/>
      </c>
      <c r="F18" s="3">
        <f>IF($A18="","",IF($B18="","",IF(TODAY()&lt;$B18+30,"-",SUMPRODUCT(('Picked Students (raw)'!$B$2:$B$824=$A18)*('Picked Students (raw)'!$E$2:$E$824="Fresher")*('Picked Students (raw)'!$C$2:$C$824&lt;&gt;"")*(('Picked Students (raw)'!$C$2:$C$824-$B18)&lt;30)))))</f>
        <v/>
      </c>
      <c r="G18" s="5">
        <f>IF($A18="","",IF(F18="-","-",IF($D18=0,0,F18/$D18)))</f>
        <v/>
      </c>
      <c r="H18" s="3">
        <f>IF($A18="","",IF($B18="","",IF(TODAY()&lt;$B18+60,"-",SUMPRODUCT(('Picked Students (raw)'!$B$2:$B$824=$A18)*('Picked Students (raw)'!$E$2:$E$824="Fresher")*('Picked Students (raw)'!$C$2:$C$824&lt;&gt;"")*(('Picked Students (raw)'!$C$2:$C$824-$B18)&lt;60)))))</f>
        <v/>
      </c>
      <c r="I18" s="5">
        <f>IF($A18="","",IF(H18="-","-",IF($D18=0,0,H18/$D18)))</f>
        <v/>
      </c>
      <c r="J18" s="3">
        <f>IF($A18="","",IF($B18="","",IF(TODAY()&lt;$B18+90,"-",SUMPRODUCT(('Picked Students (raw)'!$B$2:$B$824=$A18)*('Picked Students (raw)'!$E$2:$E$824="Fresher")*('Picked Students (raw)'!$C$2:$C$824&lt;&gt;"")*(('Picked Students (raw)'!$C$2:$C$824-$B18)&lt;90)))))</f>
        <v/>
      </c>
      <c r="K18" s="5">
        <f>IF($A18="","",IF(J18="-","-",IF($D18=0,0,J18/$D18)))</f>
        <v/>
      </c>
      <c r="L18" s="3">
        <f>IF($A18="","",IF($B18="","",IF(TODAY()&lt;$B18+120,"-",SUMPRODUCT(('Picked Students (raw)'!$B$2:$B$824=$A18)*('Picked Students (raw)'!$E$2:$E$824="Fresher")*('Picked Students (raw)'!$C$2:$C$824&lt;&gt;"")*(('Picked Students (raw)'!$C$2:$C$824-$B18)&lt;120)))))</f>
        <v/>
      </c>
      <c r="M18" s="5">
        <f>IF($A18="","",IF(L18="-","-",IF($D18=0,0,L18/$D18)))</f>
        <v/>
      </c>
      <c r="N18" s="3">
        <f>IF($A18="","",IF($B18="","",IF(TODAY()&lt;$B18+150,"-",SUMPRODUCT(('Picked Students (raw)'!$B$2:$B$824=$A18)*('Picked Students (raw)'!$E$2:$E$824="Fresher")*('Picked Students (raw)'!$C$2:$C$824&lt;&gt;"")*(('Picked Students (raw)'!$C$2:$C$824-$B18)&lt;150)))))</f>
        <v/>
      </c>
      <c r="O18" s="5">
        <f>IF($A18="","",IF(N18="-","-",IF($D18=0,0,N18/$D18)))</f>
        <v/>
      </c>
      <c r="P18" s="3">
        <f>IF($A18="","",IF($B18="","",IF(TODAY()&lt;$B18+180,"-",SUMPRODUCT(('Picked Students (raw)'!$B$2:$B$824=$A18)*('Picked Students (raw)'!$E$2:$E$824="Fresher")*('Picked Students (raw)'!$C$2:$C$824&lt;&gt;"")*(('Picked Students (raw)'!$C$2:$C$824-$B18)&lt;180)))))</f>
        <v/>
      </c>
      <c r="Q18" s="5">
        <f>IF($A18="","",IF(P18="-","-",IF($D18=0,0,P18/$D18)))</f>
        <v/>
      </c>
      <c r="R18" s="3">
        <f>IF($A18="","",IF($B18="","",IF(TODAY()&lt;$B18+210,"-",SUMPRODUCT(('Picked Students (raw)'!$B$2:$B$824=$A18)*('Picked Students (raw)'!$E$2:$E$824="Fresher")*('Picked Students (raw)'!$C$2:$C$824&lt;&gt;"")*(('Picked Students (raw)'!$C$2:$C$824-$B18)&lt;210)))))</f>
        <v/>
      </c>
      <c r="S18" s="5">
        <f>IF($A18="","",IF(R18="-","-",IF($D18=0,0,R18/$D18)))</f>
        <v/>
      </c>
      <c r="T18" s="3">
        <f>IF($A18="","",IF($B18="","",IF(TODAY()&lt;$B18+240,"-",SUMPRODUCT(('Picked Students (raw)'!$B$2:$B$824=$A18)*('Picked Students (raw)'!$E$2:$E$824="Fresher")*('Picked Students (raw)'!$C$2:$C$824&lt;&gt;"")*(('Picked Students (raw)'!$C$2:$C$824-$B18)&lt;240)))))</f>
        <v/>
      </c>
      <c r="U18" s="5">
        <f>IF($A18="","",IF(T18="-","-",IF($D18=0,0,T18/$D18)))</f>
        <v/>
      </c>
      <c r="V18" s="3">
        <f>IF($A18="","",IF($B18="","",IF(TODAY()&lt;$B18+270,"-",SUMPRODUCT(('Picked Students (raw)'!$B$2:$B$824=$A18)*('Picked Students (raw)'!$E$2:$E$824="Fresher")*('Picked Students (raw)'!$C$2:$C$824&lt;&gt;"")*(('Picked Students (raw)'!$C$2:$C$824-$B18)&lt;270)))))</f>
        <v/>
      </c>
      <c r="W18" s="5">
        <f>IF($A18="","",IF(V18="-","-",IF($D18=0,0,V18/$D18)))</f>
        <v/>
      </c>
      <c r="X18" s="3">
        <f>IF($A18="","",IF($B18="","",IF(TODAY()&lt;$B18+300,"-",SUMPRODUCT(('Picked Students (raw)'!$B$2:$B$824=$A18)*('Picked Students (raw)'!$E$2:$E$824="Fresher")*('Picked Students (raw)'!$C$2:$C$824&lt;&gt;"")*(('Picked Students (raw)'!$C$2:$C$824-$B18)&lt;300)))))</f>
        <v/>
      </c>
      <c r="Y18" s="5">
        <f>IF($A18="","",IF(X18="-","-",IF($D18=0,0,X18/$D18)))</f>
        <v/>
      </c>
      <c r="Z18" s="3">
        <f>IF($A18="","",IF($B18="","",IF(TODAY()&lt;$B18+330,"-",SUMPRODUCT(('Picked Students (raw)'!$B$2:$B$824=$A18)*('Picked Students (raw)'!$E$2:$E$824="Fresher")*('Picked Students (raw)'!$C$2:$C$824&lt;&gt;"")*(('Picked Students (raw)'!$C$2:$C$824-$B18)&lt;330)))))</f>
        <v/>
      </c>
      <c r="AA18" s="5">
        <f>IF($A18="","",IF(Z18="-","-",IF($D18=0,0,Z18/$D18)))</f>
        <v/>
      </c>
      <c r="AB18" s="3">
        <f>IF($A18="","",IF($B18="","",IF(TODAY()&lt;$B18+360,"-",SUMPRODUCT(('Picked Students (raw)'!$B$2:$B$824=$A18)*('Picked Students (raw)'!$E$2:$E$824="Fresher")*('Picked Students (raw)'!$C$2:$C$824&lt;&gt;"")*(('Picked Students (raw)'!$C$2:$C$824-$B18)&lt;360)))))</f>
        <v/>
      </c>
      <c r="AC18" s="5">
        <f>IF($A18="","",IF(AB18="-","-",IF($D18=0,0,AB18/$D18)))</f>
        <v/>
      </c>
      <c r="AD18" s="3">
        <f>IF($A18="","",IF($B18="","",IF(TODAY()&lt;$B18+390,"-",SUMPRODUCT(('Picked Students (raw)'!$B$2:$B$824=$A18)*('Picked Students (raw)'!$E$2:$E$824="Fresher")*('Picked Students (raw)'!$C$2:$C$824&lt;&gt;"")*(('Picked Students (raw)'!$C$2:$C$824-$B18)&lt;390)))))</f>
        <v/>
      </c>
      <c r="AE18" s="5">
        <f>IF($A18="","",IF(AD18="-","-",IF($D18=0,0,AD18/$D18)))</f>
        <v/>
      </c>
      <c r="AF18" s="3">
        <f>IF($A18="","",IF($B18="","",IF(TODAY()&lt;$B18+420,"-",SUMPRODUCT(('Picked Students (raw)'!$B$2:$B$824=$A18)*('Picked Students (raw)'!$E$2:$E$824="Fresher")*('Picked Students (raw)'!$C$2:$C$824&lt;&gt;"")*(('Picked Students (raw)'!$C$2:$C$824-$B18)&lt;420)))))</f>
        <v/>
      </c>
      <c r="AG18" s="5">
        <f>IF($A18="","",IF(AF18="-","-",IF($D18=0,0,AF18/$D18)))</f>
        <v/>
      </c>
      <c r="AH18" s="3">
        <f>IF($A18="","",IF($B18="","",IF(TODAY()&lt;$B18+450,"-",SUMPRODUCT(('Picked Students (raw)'!$B$2:$B$824=$A18)*('Picked Students (raw)'!$E$2:$E$824="Fresher")*('Picked Students (raw)'!$C$2:$C$824&lt;&gt;"")*(('Picked Students (raw)'!$C$2:$C$824-$B18)&lt;450)))))</f>
        <v/>
      </c>
      <c r="AI18" s="5">
        <f>IF($A18="","",IF(AH18="-","-",IF($D18=0,0,AH18/$D18)))</f>
        <v/>
      </c>
      <c r="AJ18" s="3">
        <f>IF($A18="","",IF($B18="","",IF(TODAY()&lt;$B18+480,"-",SUMPRODUCT(('Picked Students (raw)'!$B$2:$B$824=$A18)*('Picked Students (raw)'!$E$2:$E$824="Fresher")*('Picked Students (raw)'!$C$2:$C$824&lt;&gt;"")*(('Picked Students (raw)'!$C$2:$C$824-$B18)&lt;480)))))</f>
        <v/>
      </c>
      <c r="AK18" s="5">
        <f>IF($A18="","",IF(AJ18="-","-",IF($D18=0,0,AJ18/$D18)))</f>
        <v/>
      </c>
      <c r="AL18" s="3">
        <f>IF($A18="","",IF($B18="","",IF(TODAY()&lt;$B18+510,"-",SUMPRODUCT(('Picked Students (raw)'!$B$2:$B$824=$A18)*('Picked Students (raw)'!$E$2:$E$824="Fresher")*('Picked Students (raw)'!$C$2:$C$824&lt;&gt;"")*(('Picked Students (raw)'!$C$2:$C$824-$B18)&lt;510)))))</f>
        <v/>
      </c>
      <c r="AM18" s="5">
        <f>IF($A18="","",IF(AL18="-","-",IF($D18=0,0,AL18/$D18)))</f>
        <v/>
      </c>
      <c r="AN18" s="3">
        <f>IF($A18="","",IF($B18="","",IF(TODAY()&lt;$B18+540,"-",SUMPRODUCT(('Picked Students (raw)'!$B$2:$B$824=$A18)*('Picked Students (raw)'!$E$2:$E$824="Fresher")*('Picked Students (raw)'!$C$2:$C$824&lt;&gt;"")*(('Picked Students (raw)'!$C$2:$C$824-$B18)&lt;540)))))</f>
        <v/>
      </c>
      <c r="AO18" s="5">
        <f>IF($A18="","",IF(AN18="-","-",IF($D18=0,0,AN18/$D18)))</f>
        <v/>
      </c>
      <c r="AP18" s="3">
        <f>IF($A18="","",IF(AN18="-","-",$E18-AN18))</f>
        <v/>
      </c>
    </row>
    <row r="19">
      <c r="A19" s="3" t="inlineStr">
        <is>
          <t>Professional Certificate Course In Data Science - July 2024</t>
        </is>
      </c>
      <c r="B19" s="4">
        <f>IF($A19="","",IFERROR(INDEX('Batch Enrollment (Metabase)'!$D$2:$D$47,MATCH($A19,'Batch Enrollment (Metabase)'!$A$2:$A$47,0)),""))</f>
        <v/>
      </c>
      <c r="C19" s="3">
        <f>IF($A19="","",IFERROR(INDEX('Batch Enrollment (Metabase)'!$E$2:$E$47,MATCH($A19,'Batch Enrollment (Metabase)'!$A$2:$A$47,0)),""))</f>
        <v/>
      </c>
      <c r="D19" s="3">
        <f>IF($A19="","",IFERROR(INDEX('Batch Enrollment (Metabase)'!$F$2:$F$47,MATCH($A19,'Batch Enrollment (Metabase)'!$A$2:$A$47,0)),""))</f>
        <v/>
      </c>
      <c r="E19" s="3">
        <f>IF($A19="","",COUNTIFS('Picked Students (raw)'!$B$2:$B$824,$A19,'Picked Students (raw)'!$E$2:$E$824,"Fresher"))</f>
        <v/>
      </c>
      <c r="F19" s="3">
        <f>IF($A19="","",IF($B19="","",IF(TODAY()&lt;$B19+30,"-",SUMPRODUCT(('Picked Students (raw)'!$B$2:$B$824=$A19)*('Picked Students (raw)'!$E$2:$E$824="Fresher")*('Picked Students (raw)'!$C$2:$C$824&lt;&gt;"")*(('Picked Students (raw)'!$C$2:$C$824-$B19)&lt;30)))))</f>
        <v/>
      </c>
      <c r="G19" s="5">
        <f>IF($A19="","",IF(F19="-","-",IF($D19=0,0,F19/$D19)))</f>
        <v/>
      </c>
      <c r="H19" s="3">
        <f>IF($A19="","",IF($B19="","",IF(TODAY()&lt;$B19+60,"-",SUMPRODUCT(('Picked Students (raw)'!$B$2:$B$824=$A19)*('Picked Students (raw)'!$E$2:$E$824="Fresher")*('Picked Students (raw)'!$C$2:$C$824&lt;&gt;"")*(('Picked Students (raw)'!$C$2:$C$824-$B19)&lt;60)))))</f>
        <v/>
      </c>
      <c r="I19" s="5">
        <f>IF($A19="","",IF(H19="-","-",IF($D19=0,0,H19/$D19)))</f>
        <v/>
      </c>
      <c r="J19" s="3">
        <f>IF($A19="","",IF($B19="","",IF(TODAY()&lt;$B19+90,"-",SUMPRODUCT(('Picked Students (raw)'!$B$2:$B$824=$A19)*('Picked Students (raw)'!$E$2:$E$824="Fresher")*('Picked Students (raw)'!$C$2:$C$824&lt;&gt;"")*(('Picked Students (raw)'!$C$2:$C$824-$B19)&lt;90)))))</f>
        <v/>
      </c>
      <c r="K19" s="5">
        <f>IF($A19="","",IF(J19="-","-",IF($D19=0,0,J19/$D19)))</f>
        <v/>
      </c>
      <c r="L19" s="3">
        <f>IF($A19="","",IF($B19="","",IF(TODAY()&lt;$B19+120,"-",SUMPRODUCT(('Picked Students (raw)'!$B$2:$B$824=$A19)*('Picked Students (raw)'!$E$2:$E$824="Fresher")*('Picked Students (raw)'!$C$2:$C$824&lt;&gt;"")*(('Picked Students (raw)'!$C$2:$C$824-$B19)&lt;120)))))</f>
        <v/>
      </c>
      <c r="M19" s="5">
        <f>IF($A19="","",IF(L19="-","-",IF($D19=0,0,L19/$D19)))</f>
        <v/>
      </c>
      <c r="N19" s="3">
        <f>IF($A19="","",IF($B19="","",IF(TODAY()&lt;$B19+150,"-",SUMPRODUCT(('Picked Students (raw)'!$B$2:$B$824=$A19)*('Picked Students (raw)'!$E$2:$E$824="Fresher")*('Picked Students (raw)'!$C$2:$C$824&lt;&gt;"")*(('Picked Students (raw)'!$C$2:$C$824-$B19)&lt;150)))))</f>
        <v/>
      </c>
      <c r="O19" s="5">
        <f>IF($A19="","",IF(N19="-","-",IF($D19=0,0,N19/$D19)))</f>
        <v/>
      </c>
      <c r="P19" s="3">
        <f>IF($A19="","",IF($B19="","",IF(TODAY()&lt;$B19+180,"-",SUMPRODUCT(('Picked Students (raw)'!$B$2:$B$824=$A19)*('Picked Students (raw)'!$E$2:$E$824="Fresher")*('Picked Students (raw)'!$C$2:$C$824&lt;&gt;"")*(('Picked Students (raw)'!$C$2:$C$824-$B19)&lt;180)))))</f>
        <v/>
      </c>
      <c r="Q19" s="5">
        <f>IF($A19="","",IF(P19="-","-",IF($D19=0,0,P19/$D19)))</f>
        <v/>
      </c>
      <c r="R19" s="3">
        <f>IF($A19="","",IF($B19="","",IF(TODAY()&lt;$B19+210,"-",SUMPRODUCT(('Picked Students (raw)'!$B$2:$B$824=$A19)*('Picked Students (raw)'!$E$2:$E$824="Fresher")*('Picked Students (raw)'!$C$2:$C$824&lt;&gt;"")*(('Picked Students (raw)'!$C$2:$C$824-$B19)&lt;210)))))</f>
        <v/>
      </c>
      <c r="S19" s="5">
        <f>IF($A19="","",IF(R19="-","-",IF($D19=0,0,R19/$D19)))</f>
        <v/>
      </c>
      <c r="T19" s="3">
        <f>IF($A19="","",IF($B19="","",IF(TODAY()&lt;$B19+240,"-",SUMPRODUCT(('Picked Students (raw)'!$B$2:$B$824=$A19)*('Picked Students (raw)'!$E$2:$E$824="Fresher")*('Picked Students (raw)'!$C$2:$C$824&lt;&gt;"")*(('Picked Students (raw)'!$C$2:$C$824-$B19)&lt;240)))))</f>
        <v/>
      </c>
      <c r="U19" s="5">
        <f>IF($A19="","",IF(T19="-","-",IF($D19=0,0,T19/$D19)))</f>
        <v/>
      </c>
      <c r="V19" s="3">
        <f>IF($A19="","",IF($B19="","",IF(TODAY()&lt;$B19+270,"-",SUMPRODUCT(('Picked Students (raw)'!$B$2:$B$824=$A19)*('Picked Students (raw)'!$E$2:$E$824="Fresher")*('Picked Students (raw)'!$C$2:$C$824&lt;&gt;"")*(('Picked Students (raw)'!$C$2:$C$824-$B19)&lt;270)))))</f>
        <v/>
      </c>
      <c r="W19" s="5">
        <f>IF($A19="","",IF(V19="-","-",IF($D19=0,0,V19/$D19)))</f>
        <v/>
      </c>
      <c r="X19" s="3">
        <f>IF($A19="","",IF($B19="","",IF(TODAY()&lt;$B19+300,"-",SUMPRODUCT(('Picked Students (raw)'!$B$2:$B$824=$A19)*('Picked Students (raw)'!$E$2:$E$824="Fresher")*('Picked Students (raw)'!$C$2:$C$824&lt;&gt;"")*(('Picked Students (raw)'!$C$2:$C$824-$B19)&lt;300)))))</f>
        <v/>
      </c>
      <c r="Y19" s="5">
        <f>IF($A19="","",IF(X19="-","-",IF($D19=0,0,X19/$D19)))</f>
        <v/>
      </c>
      <c r="Z19" s="3">
        <f>IF($A19="","",IF($B19="","",IF(TODAY()&lt;$B19+330,"-",SUMPRODUCT(('Picked Students (raw)'!$B$2:$B$824=$A19)*('Picked Students (raw)'!$E$2:$E$824="Fresher")*('Picked Students (raw)'!$C$2:$C$824&lt;&gt;"")*(('Picked Students (raw)'!$C$2:$C$824-$B19)&lt;330)))))</f>
        <v/>
      </c>
      <c r="AA19" s="5">
        <f>IF($A19="","",IF(Z19="-","-",IF($D19=0,0,Z19/$D19)))</f>
        <v/>
      </c>
      <c r="AB19" s="3">
        <f>IF($A19="","",IF($B19="","",IF(TODAY()&lt;$B19+360,"-",SUMPRODUCT(('Picked Students (raw)'!$B$2:$B$824=$A19)*('Picked Students (raw)'!$E$2:$E$824="Fresher")*('Picked Students (raw)'!$C$2:$C$824&lt;&gt;"")*(('Picked Students (raw)'!$C$2:$C$824-$B19)&lt;360)))))</f>
        <v/>
      </c>
      <c r="AC19" s="5">
        <f>IF($A19="","",IF(AB19="-","-",IF($D19=0,0,AB19/$D19)))</f>
        <v/>
      </c>
      <c r="AD19" s="3">
        <f>IF($A19="","",IF($B19="","",IF(TODAY()&lt;$B19+390,"-",SUMPRODUCT(('Picked Students (raw)'!$B$2:$B$824=$A19)*('Picked Students (raw)'!$E$2:$E$824="Fresher")*('Picked Students (raw)'!$C$2:$C$824&lt;&gt;"")*(('Picked Students (raw)'!$C$2:$C$824-$B19)&lt;390)))))</f>
        <v/>
      </c>
      <c r="AE19" s="5">
        <f>IF($A19="","",IF(AD19="-","-",IF($D19=0,0,AD19/$D19)))</f>
        <v/>
      </c>
      <c r="AF19" s="3">
        <f>IF($A19="","",IF($B19="","",IF(TODAY()&lt;$B19+420,"-",SUMPRODUCT(('Picked Students (raw)'!$B$2:$B$824=$A19)*('Picked Students (raw)'!$E$2:$E$824="Fresher")*('Picked Students (raw)'!$C$2:$C$824&lt;&gt;"")*(('Picked Students (raw)'!$C$2:$C$824-$B19)&lt;420)))))</f>
        <v/>
      </c>
      <c r="AG19" s="5">
        <f>IF($A19="","",IF(AF19="-","-",IF($D19=0,0,AF19/$D19)))</f>
        <v/>
      </c>
      <c r="AH19" s="3">
        <f>IF($A19="","",IF($B19="","",IF(TODAY()&lt;$B19+450,"-",SUMPRODUCT(('Picked Students (raw)'!$B$2:$B$824=$A19)*('Picked Students (raw)'!$E$2:$E$824="Fresher")*('Picked Students (raw)'!$C$2:$C$824&lt;&gt;"")*(('Picked Students (raw)'!$C$2:$C$824-$B19)&lt;450)))))</f>
        <v/>
      </c>
      <c r="AI19" s="5">
        <f>IF($A19="","",IF(AH19="-","-",IF($D19=0,0,AH19/$D19)))</f>
        <v/>
      </c>
      <c r="AJ19" s="3">
        <f>IF($A19="","",IF($B19="","",IF(TODAY()&lt;$B19+480,"-",SUMPRODUCT(('Picked Students (raw)'!$B$2:$B$824=$A19)*('Picked Students (raw)'!$E$2:$E$824="Fresher")*('Picked Students (raw)'!$C$2:$C$824&lt;&gt;"")*(('Picked Students (raw)'!$C$2:$C$824-$B19)&lt;480)))))</f>
        <v/>
      </c>
      <c r="AK19" s="5">
        <f>IF($A19="","",IF(AJ19="-","-",IF($D19=0,0,AJ19/$D19)))</f>
        <v/>
      </c>
      <c r="AL19" s="3">
        <f>IF($A19="","",IF($B19="","",IF(TODAY()&lt;$B19+510,"-",SUMPRODUCT(('Picked Students (raw)'!$B$2:$B$824=$A19)*('Picked Students (raw)'!$E$2:$E$824="Fresher")*('Picked Students (raw)'!$C$2:$C$824&lt;&gt;"")*(('Picked Students (raw)'!$C$2:$C$824-$B19)&lt;510)))))</f>
        <v/>
      </c>
      <c r="AM19" s="5">
        <f>IF($A19="","",IF(AL19="-","-",IF($D19=0,0,AL19/$D19)))</f>
        <v/>
      </c>
      <c r="AN19" s="3">
        <f>IF($A19="","",IF($B19="","",IF(TODAY()&lt;$B19+540,"-",SUMPRODUCT(('Picked Students (raw)'!$B$2:$B$824=$A19)*('Picked Students (raw)'!$E$2:$E$824="Fresher")*('Picked Students (raw)'!$C$2:$C$824&lt;&gt;"")*(('Picked Students (raw)'!$C$2:$C$824-$B19)&lt;540)))))</f>
        <v/>
      </c>
      <c r="AO19" s="5">
        <f>IF($A19="","",IF(AN19="-","-",IF($D19=0,0,AN19/$D19)))</f>
        <v/>
      </c>
      <c r="AP19" s="3">
        <f>IF($A19="","",IF(AN19="-","-",$E19-AN19))</f>
        <v/>
      </c>
    </row>
    <row r="20">
      <c r="A20" s="3" t="inlineStr">
        <is>
          <t>Professional Certificate Course In Data Science August 2024 - MC Test</t>
        </is>
      </c>
      <c r="B20" s="4">
        <f>IF($A20="","",IFERROR(INDEX('Batch Enrollment (Metabase)'!$D$2:$D$47,MATCH($A20,'Batch Enrollment (Metabase)'!$A$2:$A$47,0)),""))</f>
        <v/>
      </c>
      <c r="C20" s="3">
        <f>IF($A20="","",IFERROR(INDEX('Batch Enrollment (Metabase)'!$E$2:$E$47,MATCH($A20,'Batch Enrollment (Metabase)'!$A$2:$A$47,0)),""))</f>
        <v/>
      </c>
      <c r="D20" s="3">
        <f>IF($A20="","",IFERROR(INDEX('Batch Enrollment (Metabase)'!$F$2:$F$47,MATCH($A20,'Batch Enrollment (Metabase)'!$A$2:$A$47,0)),""))</f>
        <v/>
      </c>
      <c r="E20" s="3">
        <f>IF($A20="","",COUNTIFS('Picked Students (raw)'!$B$2:$B$824,$A20,'Picked Students (raw)'!$E$2:$E$824,"Fresher"))</f>
        <v/>
      </c>
      <c r="F20" s="3">
        <f>IF($A20="","",IF($B20="","",IF(TODAY()&lt;$B20+30,"-",SUMPRODUCT(('Picked Students (raw)'!$B$2:$B$824=$A20)*('Picked Students (raw)'!$E$2:$E$824="Fresher")*('Picked Students (raw)'!$C$2:$C$824&lt;&gt;"")*(('Picked Students (raw)'!$C$2:$C$824-$B20)&lt;30)))))</f>
        <v/>
      </c>
      <c r="G20" s="5">
        <f>IF($A20="","",IF(F20="-","-",IF($D20=0,0,F20/$D20)))</f>
        <v/>
      </c>
      <c r="H20" s="3">
        <f>IF($A20="","",IF($B20="","",IF(TODAY()&lt;$B20+60,"-",SUMPRODUCT(('Picked Students (raw)'!$B$2:$B$824=$A20)*('Picked Students (raw)'!$E$2:$E$824="Fresher")*('Picked Students (raw)'!$C$2:$C$824&lt;&gt;"")*(('Picked Students (raw)'!$C$2:$C$824-$B20)&lt;60)))))</f>
        <v/>
      </c>
      <c r="I20" s="5">
        <f>IF($A20="","",IF(H20="-","-",IF($D20=0,0,H20/$D20)))</f>
        <v/>
      </c>
      <c r="J20" s="3">
        <f>IF($A20="","",IF($B20="","",IF(TODAY()&lt;$B20+90,"-",SUMPRODUCT(('Picked Students (raw)'!$B$2:$B$824=$A20)*('Picked Students (raw)'!$E$2:$E$824="Fresher")*('Picked Students (raw)'!$C$2:$C$824&lt;&gt;"")*(('Picked Students (raw)'!$C$2:$C$824-$B20)&lt;90)))))</f>
        <v/>
      </c>
      <c r="K20" s="5">
        <f>IF($A20="","",IF(J20="-","-",IF($D20=0,0,J20/$D20)))</f>
        <v/>
      </c>
      <c r="L20" s="3">
        <f>IF($A20="","",IF($B20="","",IF(TODAY()&lt;$B20+120,"-",SUMPRODUCT(('Picked Students (raw)'!$B$2:$B$824=$A20)*('Picked Students (raw)'!$E$2:$E$824="Fresher")*('Picked Students (raw)'!$C$2:$C$824&lt;&gt;"")*(('Picked Students (raw)'!$C$2:$C$824-$B20)&lt;120)))))</f>
        <v/>
      </c>
      <c r="M20" s="5">
        <f>IF($A20="","",IF(L20="-","-",IF($D20=0,0,L20/$D20)))</f>
        <v/>
      </c>
      <c r="N20" s="3">
        <f>IF($A20="","",IF($B20="","",IF(TODAY()&lt;$B20+150,"-",SUMPRODUCT(('Picked Students (raw)'!$B$2:$B$824=$A20)*('Picked Students (raw)'!$E$2:$E$824="Fresher")*('Picked Students (raw)'!$C$2:$C$824&lt;&gt;"")*(('Picked Students (raw)'!$C$2:$C$824-$B20)&lt;150)))))</f>
        <v/>
      </c>
      <c r="O20" s="5">
        <f>IF($A20="","",IF(N20="-","-",IF($D20=0,0,N20/$D20)))</f>
        <v/>
      </c>
      <c r="P20" s="3">
        <f>IF($A20="","",IF($B20="","",IF(TODAY()&lt;$B20+180,"-",SUMPRODUCT(('Picked Students (raw)'!$B$2:$B$824=$A20)*('Picked Students (raw)'!$E$2:$E$824="Fresher")*('Picked Students (raw)'!$C$2:$C$824&lt;&gt;"")*(('Picked Students (raw)'!$C$2:$C$824-$B20)&lt;180)))))</f>
        <v/>
      </c>
      <c r="Q20" s="5">
        <f>IF($A20="","",IF(P20="-","-",IF($D20=0,0,P20/$D20)))</f>
        <v/>
      </c>
      <c r="R20" s="3">
        <f>IF($A20="","",IF($B20="","",IF(TODAY()&lt;$B20+210,"-",SUMPRODUCT(('Picked Students (raw)'!$B$2:$B$824=$A20)*('Picked Students (raw)'!$E$2:$E$824="Fresher")*('Picked Students (raw)'!$C$2:$C$824&lt;&gt;"")*(('Picked Students (raw)'!$C$2:$C$824-$B20)&lt;210)))))</f>
        <v/>
      </c>
      <c r="S20" s="5">
        <f>IF($A20="","",IF(R20="-","-",IF($D20=0,0,R20/$D20)))</f>
        <v/>
      </c>
      <c r="T20" s="3">
        <f>IF($A20="","",IF($B20="","",IF(TODAY()&lt;$B20+240,"-",SUMPRODUCT(('Picked Students (raw)'!$B$2:$B$824=$A20)*('Picked Students (raw)'!$E$2:$E$824="Fresher")*('Picked Students (raw)'!$C$2:$C$824&lt;&gt;"")*(('Picked Students (raw)'!$C$2:$C$824-$B20)&lt;240)))))</f>
        <v/>
      </c>
      <c r="U20" s="5">
        <f>IF($A20="","",IF(T20="-","-",IF($D20=0,0,T20/$D20)))</f>
        <v/>
      </c>
      <c r="V20" s="3">
        <f>IF($A20="","",IF($B20="","",IF(TODAY()&lt;$B20+270,"-",SUMPRODUCT(('Picked Students (raw)'!$B$2:$B$824=$A20)*('Picked Students (raw)'!$E$2:$E$824="Fresher")*('Picked Students (raw)'!$C$2:$C$824&lt;&gt;"")*(('Picked Students (raw)'!$C$2:$C$824-$B20)&lt;270)))))</f>
        <v/>
      </c>
      <c r="W20" s="5">
        <f>IF($A20="","",IF(V20="-","-",IF($D20=0,0,V20/$D20)))</f>
        <v/>
      </c>
      <c r="X20" s="3">
        <f>IF($A20="","",IF($B20="","",IF(TODAY()&lt;$B20+300,"-",SUMPRODUCT(('Picked Students (raw)'!$B$2:$B$824=$A20)*('Picked Students (raw)'!$E$2:$E$824="Fresher")*('Picked Students (raw)'!$C$2:$C$824&lt;&gt;"")*(('Picked Students (raw)'!$C$2:$C$824-$B20)&lt;300)))))</f>
        <v/>
      </c>
      <c r="Y20" s="5">
        <f>IF($A20="","",IF(X20="-","-",IF($D20=0,0,X20/$D20)))</f>
        <v/>
      </c>
      <c r="Z20" s="3">
        <f>IF($A20="","",IF($B20="","",IF(TODAY()&lt;$B20+330,"-",SUMPRODUCT(('Picked Students (raw)'!$B$2:$B$824=$A20)*('Picked Students (raw)'!$E$2:$E$824="Fresher")*('Picked Students (raw)'!$C$2:$C$824&lt;&gt;"")*(('Picked Students (raw)'!$C$2:$C$824-$B20)&lt;330)))))</f>
        <v/>
      </c>
      <c r="AA20" s="5">
        <f>IF($A20="","",IF(Z20="-","-",IF($D20=0,0,Z20/$D20)))</f>
        <v/>
      </c>
      <c r="AB20" s="3">
        <f>IF($A20="","",IF($B20="","",IF(TODAY()&lt;$B20+360,"-",SUMPRODUCT(('Picked Students (raw)'!$B$2:$B$824=$A20)*('Picked Students (raw)'!$E$2:$E$824="Fresher")*('Picked Students (raw)'!$C$2:$C$824&lt;&gt;"")*(('Picked Students (raw)'!$C$2:$C$824-$B20)&lt;360)))))</f>
        <v/>
      </c>
      <c r="AC20" s="5">
        <f>IF($A20="","",IF(AB20="-","-",IF($D20=0,0,AB20/$D20)))</f>
        <v/>
      </c>
      <c r="AD20" s="3">
        <f>IF($A20="","",IF($B20="","",IF(TODAY()&lt;$B20+390,"-",SUMPRODUCT(('Picked Students (raw)'!$B$2:$B$824=$A20)*('Picked Students (raw)'!$E$2:$E$824="Fresher")*('Picked Students (raw)'!$C$2:$C$824&lt;&gt;"")*(('Picked Students (raw)'!$C$2:$C$824-$B20)&lt;390)))))</f>
        <v/>
      </c>
      <c r="AE20" s="5">
        <f>IF($A20="","",IF(AD20="-","-",IF($D20=0,0,AD20/$D20)))</f>
        <v/>
      </c>
      <c r="AF20" s="3">
        <f>IF($A20="","",IF($B20="","",IF(TODAY()&lt;$B20+420,"-",SUMPRODUCT(('Picked Students (raw)'!$B$2:$B$824=$A20)*('Picked Students (raw)'!$E$2:$E$824="Fresher")*('Picked Students (raw)'!$C$2:$C$824&lt;&gt;"")*(('Picked Students (raw)'!$C$2:$C$824-$B20)&lt;420)))))</f>
        <v/>
      </c>
      <c r="AG20" s="5">
        <f>IF($A20="","",IF(AF20="-","-",IF($D20=0,0,AF20/$D20)))</f>
        <v/>
      </c>
      <c r="AH20" s="3">
        <f>IF($A20="","",IF($B20="","",IF(TODAY()&lt;$B20+450,"-",SUMPRODUCT(('Picked Students (raw)'!$B$2:$B$824=$A20)*('Picked Students (raw)'!$E$2:$E$824="Fresher")*('Picked Students (raw)'!$C$2:$C$824&lt;&gt;"")*(('Picked Students (raw)'!$C$2:$C$824-$B20)&lt;450)))))</f>
        <v/>
      </c>
      <c r="AI20" s="5">
        <f>IF($A20="","",IF(AH20="-","-",IF($D20=0,0,AH20/$D20)))</f>
        <v/>
      </c>
      <c r="AJ20" s="3">
        <f>IF($A20="","",IF($B20="","",IF(TODAY()&lt;$B20+480,"-",SUMPRODUCT(('Picked Students (raw)'!$B$2:$B$824=$A20)*('Picked Students (raw)'!$E$2:$E$824="Fresher")*('Picked Students (raw)'!$C$2:$C$824&lt;&gt;"")*(('Picked Students (raw)'!$C$2:$C$824-$B20)&lt;480)))))</f>
        <v/>
      </c>
      <c r="AK20" s="5">
        <f>IF($A20="","",IF(AJ20="-","-",IF($D20=0,0,AJ20/$D20)))</f>
        <v/>
      </c>
      <c r="AL20" s="3">
        <f>IF($A20="","",IF($B20="","",IF(TODAY()&lt;$B20+510,"-",SUMPRODUCT(('Picked Students (raw)'!$B$2:$B$824=$A20)*('Picked Students (raw)'!$E$2:$E$824="Fresher")*('Picked Students (raw)'!$C$2:$C$824&lt;&gt;"")*(('Picked Students (raw)'!$C$2:$C$824-$B20)&lt;510)))))</f>
        <v/>
      </c>
      <c r="AM20" s="5">
        <f>IF($A20="","",IF(AL20="-","-",IF($D20=0,0,AL20/$D20)))</f>
        <v/>
      </c>
      <c r="AN20" s="3">
        <f>IF($A20="","",IF($B20="","",IF(TODAY()&lt;$B20+540,"-",SUMPRODUCT(('Picked Students (raw)'!$B$2:$B$824=$A20)*('Picked Students (raw)'!$E$2:$E$824="Fresher")*('Picked Students (raw)'!$C$2:$C$824&lt;&gt;"")*(('Picked Students (raw)'!$C$2:$C$824-$B20)&lt;540)))))</f>
        <v/>
      </c>
      <c r="AO20" s="5">
        <f>IF($A20="","",IF(AN20="-","-",IF($D20=0,0,AN20/$D20)))</f>
        <v/>
      </c>
      <c r="AP20" s="3">
        <f>IF($A20="","",IF(AN20="-","-",$E20-AN20))</f>
        <v/>
      </c>
    </row>
    <row r="21">
      <c r="A21" s="3" t="inlineStr">
        <is>
          <t>Professional Certificate Course In Data Science - August 2024</t>
        </is>
      </c>
      <c r="B21" s="4">
        <f>IF($A21="","",IFERROR(INDEX('Batch Enrollment (Metabase)'!$D$2:$D$47,MATCH($A21,'Batch Enrollment (Metabase)'!$A$2:$A$47,0)),""))</f>
        <v/>
      </c>
      <c r="C21" s="3">
        <f>IF($A21="","",IFERROR(INDEX('Batch Enrollment (Metabase)'!$E$2:$E$47,MATCH($A21,'Batch Enrollment (Metabase)'!$A$2:$A$47,0)),""))</f>
        <v/>
      </c>
      <c r="D21" s="3">
        <f>IF($A21="","",IFERROR(INDEX('Batch Enrollment (Metabase)'!$F$2:$F$47,MATCH($A21,'Batch Enrollment (Metabase)'!$A$2:$A$47,0)),""))</f>
        <v/>
      </c>
      <c r="E21" s="3">
        <f>IF($A21="","",COUNTIFS('Picked Students (raw)'!$B$2:$B$824,$A21,'Picked Students (raw)'!$E$2:$E$824,"Fresher"))</f>
        <v/>
      </c>
      <c r="F21" s="3">
        <f>IF($A21="","",IF($B21="","",IF(TODAY()&lt;$B21+30,"-",SUMPRODUCT(('Picked Students (raw)'!$B$2:$B$824=$A21)*('Picked Students (raw)'!$E$2:$E$824="Fresher")*('Picked Students (raw)'!$C$2:$C$824&lt;&gt;"")*(('Picked Students (raw)'!$C$2:$C$824-$B21)&lt;30)))))</f>
        <v/>
      </c>
      <c r="G21" s="5">
        <f>IF($A21="","",IF(F21="-","-",IF($D21=0,0,F21/$D21)))</f>
        <v/>
      </c>
      <c r="H21" s="3">
        <f>IF($A21="","",IF($B21="","",IF(TODAY()&lt;$B21+60,"-",SUMPRODUCT(('Picked Students (raw)'!$B$2:$B$824=$A21)*('Picked Students (raw)'!$E$2:$E$824="Fresher")*('Picked Students (raw)'!$C$2:$C$824&lt;&gt;"")*(('Picked Students (raw)'!$C$2:$C$824-$B21)&lt;60)))))</f>
        <v/>
      </c>
      <c r="I21" s="5">
        <f>IF($A21="","",IF(H21="-","-",IF($D21=0,0,H21/$D21)))</f>
        <v/>
      </c>
      <c r="J21" s="3">
        <f>IF($A21="","",IF($B21="","",IF(TODAY()&lt;$B21+90,"-",SUMPRODUCT(('Picked Students (raw)'!$B$2:$B$824=$A21)*('Picked Students (raw)'!$E$2:$E$824="Fresher")*('Picked Students (raw)'!$C$2:$C$824&lt;&gt;"")*(('Picked Students (raw)'!$C$2:$C$824-$B21)&lt;90)))))</f>
        <v/>
      </c>
      <c r="K21" s="5">
        <f>IF($A21="","",IF(J21="-","-",IF($D21=0,0,J21/$D21)))</f>
        <v/>
      </c>
      <c r="L21" s="3">
        <f>IF($A21="","",IF($B21="","",IF(TODAY()&lt;$B21+120,"-",SUMPRODUCT(('Picked Students (raw)'!$B$2:$B$824=$A21)*('Picked Students (raw)'!$E$2:$E$824="Fresher")*('Picked Students (raw)'!$C$2:$C$824&lt;&gt;"")*(('Picked Students (raw)'!$C$2:$C$824-$B21)&lt;120)))))</f>
        <v/>
      </c>
      <c r="M21" s="5">
        <f>IF($A21="","",IF(L21="-","-",IF($D21=0,0,L21/$D21)))</f>
        <v/>
      </c>
      <c r="N21" s="3">
        <f>IF($A21="","",IF($B21="","",IF(TODAY()&lt;$B21+150,"-",SUMPRODUCT(('Picked Students (raw)'!$B$2:$B$824=$A21)*('Picked Students (raw)'!$E$2:$E$824="Fresher")*('Picked Students (raw)'!$C$2:$C$824&lt;&gt;"")*(('Picked Students (raw)'!$C$2:$C$824-$B21)&lt;150)))))</f>
        <v/>
      </c>
      <c r="O21" s="5">
        <f>IF($A21="","",IF(N21="-","-",IF($D21=0,0,N21/$D21)))</f>
        <v/>
      </c>
      <c r="P21" s="3">
        <f>IF($A21="","",IF($B21="","",IF(TODAY()&lt;$B21+180,"-",SUMPRODUCT(('Picked Students (raw)'!$B$2:$B$824=$A21)*('Picked Students (raw)'!$E$2:$E$824="Fresher")*('Picked Students (raw)'!$C$2:$C$824&lt;&gt;"")*(('Picked Students (raw)'!$C$2:$C$824-$B21)&lt;180)))))</f>
        <v/>
      </c>
      <c r="Q21" s="5">
        <f>IF($A21="","",IF(P21="-","-",IF($D21=0,0,P21/$D21)))</f>
        <v/>
      </c>
      <c r="R21" s="3">
        <f>IF($A21="","",IF($B21="","",IF(TODAY()&lt;$B21+210,"-",SUMPRODUCT(('Picked Students (raw)'!$B$2:$B$824=$A21)*('Picked Students (raw)'!$E$2:$E$824="Fresher")*('Picked Students (raw)'!$C$2:$C$824&lt;&gt;"")*(('Picked Students (raw)'!$C$2:$C$824-$B21)&lt;210)))))</f>
        <v/>
      </c>
      <c r="S21" s="5">
        <f>IF($A21="","",IF(R21="-","-",IF($D21=0,0,R21/$D21)))</f>
        <v/>
      </c>
      <c r="T21" s="3">
        <f>IF($A21="","",IF($B21="","",IF(TODAY()&lt;$B21+240,"-",SUMPRODUCT(('Picked Students (raw)'!$B$2:$B$824=$A21)*('Picked Students (raw)'!$E$2:$E$824="Fresher")*('Picked Students (raw)'!$C$2:$C$824&lt;&gt;"")*(('Picked Students (raw)'!$C$2:$C$824-$B21)&lt;240)))))</f>
        <v/>
      </c>
      <c r="U21" s="5">
        <f>IF($A21="","",IF(T21="-","-",IF($D21=0,0,T21/$D21)))</f>
        <v/>
      </c>
      <c r="V21" s="3">
        <f>IF($A21="","",IF($B21="","",IF(TODAY()&lt;$B21+270,"-",SUMPRODUCT(('Picked Students (raw)'!$B$2:$B$824=$A21)*('Picked Students (raw)'!$E$2:$E$824="Fresher")*('Picked Students (raw)'!$C$2:$C$824&lt;&gt;"")*(('Picked Students (raw)'!$C$2:$C$824-$B21)&lt;270)))))</f>
        <v/>
      </c>
      <c r="W21" s="5">
        <f>IF($A21="","",IF(V21="-","-",IF($D21=0,0,V21/$D21)))</f>
        <v/>
      </c>
      <c r="X21" s="3">
        <f>IF($A21="","",IF($B21="","",IF(TODAY()&lt;$B21+300,"-",SUMPRODUCT(('Picked Students (raw)'!$B$2:$B$824=$A21)*('Picked Students (raw)'!$E$2:$E$824="Fresher")*('Picked Students (raw)'!$C$2:$C$824&lt;&gt;"")*(('Picked Students (raw)'!$C$2:$C$824-$B21)&lt;300)))))</f>
        <v/>
      </c>
      <c r="Y21" s="5">
        <f>IF($A21="","",IF(X21="-","-",IF($D21=0,0,X21/$D21)))</f>
        <v/>
      </c>
      <c r="Z21" s="3">
        <f>IF($A21="","",IF($B21="","",IF(TODAY()&lt;$B21+330,"-",SUMPRODUCT(('Picked Students (raw)'!$B$2:$B$824=$A21)*('Picked Students (raw)'!$E$2:$E$824="Fresher")*('Picked Students (raw)'!$C$2:$C$824&lt;&gt;"")*(('Picked Students (raw)'!$C$2:$C$824-$B21)&lt;330)))))</f>
        <v/>
      </c>
      <c r="AA21" s="5">
        <f>IF($A21="","",IF(Z21="-","-",IF($D21=0,0,Z21/$D21)))</f>
        <v/>
      </c>
      <c r="AB21" s="3">
        <f>IF($A21="","",IF($B21="","",IF(TODAY()&lt;$B21+360,"-",SUMPRODUCT(('Picked Students (raw)'!$B$2:$B$824=$A21)*('Picked Students (raw)'!$E$2:$E$824="Fresher")*('Picked Students (raw)'!$C$2:$C$824&lt;&gt;"")*(('Picked Students (raw)'!$C$2:$C$824-$B21)&lt;360)))))</f>
        <v/>
      </c>
      <c r="AC21" s="5">
        <f>IF($A21="","",IF(AB21="-","-",IF($D21=0,0,AB21/$D21)))</f>
        <v/>
      </c>
      <c r="AD21" s="3">
        <f>IF($A21="","",IF($B21="","",IF(TODAY()&lt;$B21+390,"-",SUMPRODUCT(('Picked Students (raw)'!$B$2:$B$824=$A21)*('Picked Students (raw)'!$E$2:$E$824="Fresher")*('Picked Students (raw)'!$C$2:$C$824&lt;&gt;"")*(('Picked Students (raw)'!$C$2:$C$824-$B21)&lt;390)))))</f>
        <v/>
      </c>
      <c r="AE21" s="5">
        <f>IF($A21="","",IF(AD21="-","-",IF($D21=0,0,AD21/$D21)))</f>
        <v/>
      </c>
      <c r="AF21" s="3">
        <f>IF($A21="","",IF($B21="","",IF(TODAY()&lt;$B21+420,"-",SUMPRODUCT(('Picked Students (raw)'!$B$2:$B$824=$A21)*('Picked Students (raw)'!$E$2:$E$824="Fresher")*('Picked Students (raw)'!$C$2:$C$824&lt;&gt;"")*(('Picked Students (raw)'!$C$2:$C$824-$B21)&lt;420)))))</f>
        <v/>
      </c>
      <c r="AG21" s="5">
        <f>IF($A21="","",IF(AF21="-","-",IF($D21=0,0,AF21/$D21)))</f>
        <v/>
      </c>
      <c r="AH21" s="3">
        <f>IF($A21="","",IF($B21="","",IF(TODAY()&lt;$B21+450,"-",SUMPRODUCT(('Picked Students (raw)'!$B$2:$B$824=$A21)*('Picked Students (raw)'!$E$2:$E$824="Fresher")*('Picked Students (raw)'!$C$2:$C$824&lt;&gt;"")*(('Picked Students (raw)'!$C$2:$C$824-$B21)&lt;450)))))</f>
        <v/>
      </c>
      <c r="AI21" s="5">
        <f>IF($A21="","",IF(AH21="-","-",IF($D21=0,0,AH21/$D21)))</f>
        <v/>
      </c>
      <c r="AJ21" s="3">
        <f>IF($A21="","",IF($B21="","",IF(TODAY()&lt;$B21+480,"-",SUMPRODUCT(('Picked Students (raw)'!$B$2:$B$824=$A21)*('Picked Students (raw)'!$E$2:$E$824="Fresher")*('Picked Students (raw)'!$C$2:$C$824&lt;&gt;"")*(('Picked Students (raw)'!$C$2:$C$824-$B21)&lt;480)))))</f>
        <v/>
      </c>
      <c r="AK21" s="5">
        <f>IF($A21="","",IF(AJ21="-","-",IF($D21=0,0,AJ21/$D21)))</f>
        <v/>
      </c>
      <c r="AL21" s="3">
        <f>IF($A21="","",IF($B21="","",IF(TODAY()&lt;$B21+510,"-",SUMPRODUCT(('Picked Students (raw)'!$B$2:$B$824=$A21)*('Picked Students (raw)'!$E$2:$E$824="Fresher")*('Picked Students (raw)'!$C$2:$C$824&lt;&gt;"")*(('Picked Students (raw)'!$C$2:$C$824-$B21)&lt;510)))))</f>
        <v/>
      </c>
      <c r="AM21" s="5">
        <f>IF($A21="","",IF(AL21="-","-",IF($D21=0,0,AL21/$D21)))</f>
        <v/>
      </c>
      <c r="AN21" s="3">
        <f>IF($A21="","",IF($B21="","",IF(TODAY()&lt;$B21+540,"-",SUMPRODUCT(('Picked Students (raw)'!$B$2:$B$824=$A21)*('Picked Students (raw)'!$E$2:$E$824="Fresher")*('Picked Students (raw)'!$C$2:$C$824&lt;&gt;"")*(('Picked Students (raw)'!$C$2:$C$824-$B21)&lt;540)))))</f>
        <v/>
      </c>
      <c r="AO21" s="5">
        <f>IF($A21="","",IF(AN21="-","-",IF($D21=0,0,AN21/$D21)))</f>
        <v/>
      </c>
      <c r="AP21" s="3">
        <f>IF($A21="","",IF(AN21="-","-",$E21-AN21))</f>
        <v/>
      </c>
    </row>
    <row r="22">
      <c r="A22" s="3" t="inlineStr">
        <is>
          <t>Professional Certificate Course In Data Science - September 2024</t>
        </is>
      </c>
      <c r="B22" s="4">
        <f>IF($A22="","",IFERROR(INDEX('Batch Enrollment (Metabase)'!$D$2:$D$47,MATCH($A22,'Batch Enrollment (Metabase)'!$A$2:$A$47,0)),""))</f>
        <v/>
      </c>
      <c r="C22" s="3">
        <f>IF($A22="","",IFERROR(INDEX('Batch Enrollment (Metabase)'!$E$2:$E$47,MATCH($A22,'Batch Enrollment (Metabase)'!$A$2:$A$47,0)),""))</f>
        <v/>
      </c>
      <c r="D22" s="3">
        <f>IF($A22="","",IFERROR(INDEX('Batch Enrollment (Metabase)'!$F$2:$F$47,MATCH($A22,'Batch Enrollment (Metabase)'!$A$2:$A$47,0)),""))</f>
        <v/>
      </c>
      <c r="E22" s="3">
        <f>IF($A22="","",COUNTIFS('Picked Students (raw)'!$B$2:$B$824,$A22,'Picked Students (raw)'!$E$2:$E$824,"Fresher"))</f>
        <v/>
      </c>
      <c r="F22" s="3">
        <f>IF($A22="","",IF($B22="","",IF(TODAY()&lt;$B22+30,"-",SUMPRODUCT(('Picked Students (raw)'!$B$2:$B$824=$A22)*('Picked Students (raw)'!$E$2:$E$824="Fresher")*('Picked Students (raw)'!$C$2:$C$824&lt;&gt;"")*(('Picked Students (raw)'!$C$2:$C$824-$B22)&lt;30)))))</f>
        <v/>
      </c>
      <c r="G22" s="5">
        <f>IF($A22="","",IF(F22="-","-",IF($D22=0,0,F22/$D22)))</f>
        <v/>
      </c>
      <c r="H22" s="3">
        <f>IF($A22="","",IF($B22="","",IF(TODAY()&lt;$B22+60,"-",SUMPRODUCT(('Picked Students (raw)'!$B$2:$B$824=$A22)*('Picked Students (raw)'!$E$2:$E$824="Fresher")*('Picked Students (raw)'!$C$2:$C$824&lt;&gt;"")*(('Picked Students (raw)'!$C$2:$C$824-$B22)&lt;60)))))</f>
        <v/>
      </c>
      <c r="I22" s="5">
        <f>IF($A22="","",IF(H22="-","-",IF($D22=0,0,H22/$D22)))</f>
        <v/>
      </c>
      <c r="J22" s="3">
        <f>IF($A22="","",IF($B22="","",IF(TODAY()&lt;$B22+90,"-",SUMPRODUCT(('Picked Students (raw)'!$B$2:$B$824=$A22)*('Picked Students (raw)'!$E$2:$E$824="Fresher")*('Picked Students (raw)'!$C$2:$C$824&lt;&gt;"")*(('Picked Students (raw)'!$C$2:$C$824-$B22)&lt;90)))))</f>
        <v/>
      </c>
      <c r="K22" s="5">
        <f>IF($A22="","",IF(J22="-","-",IF($D22=0,0,J22/$D22)))</f>
        <v/>
      </c>
      <c r="L22" s="3">
        <f>IF($A22="","",IF($B22="","",IF(TODAY()&lt;$B22+120,"-",SUMPRODUCT(('Picked Students (raw)'!$B$2:$B$824=$A22)*('Picked Students (raw)'!$E$2:$E$824="Fresher")*('Picked Students (raw)'!$C$2:$C$824&lt;&gt;"")*(('Picked Students (raw)'!$C$2:$C$824-$B22)&lt;120)))))</f>
        <v/>
      </c>
      <c r="M22" s="5">
        <f>IF($A22="","",IF(L22="-","-",IF($D22=0,0,L22/$D22)))</f>
        <v/>
      </c>
      <c r="N22" s="3">
        <f>IF($A22="","",IF($B22="","",IF(TODAY()&lt;$B22+150,"-",SUMPRODUCT(('Picked Students (raw)'!$B$2:$B$824=$A22)*('Picked Students (raw)'!$E$2:$E$824="Fresher")*('Picked Students (raw)'!$C$2:$C$824&lt;&gt;"")*(('Picked Students (raw)'!$C$2:$C$824-$B22)&lt;150)))))</f>
        <v/>
      </c>
      <c r="O22" s="5">
        <f>IF($A22="","",IF(N22="-","-",IF($D22=0,0,N22/$D22)))</f>
        <v/>
      </c>
      <c r="P22" s="3">
        <f>IF($A22="","",IF($B22="","",IF(TODAY()&lt;$B22+180,"-",SUMPRODUCT(('Picked Students (raw)'!$B$2:$B$824=$A22)*('Picked Students (raw)'!$E$2:$E$824="Fresher")*('Picked Students (raw)'!$C$2:$C$824&lt;&gt;"")*(('Picked Students (raw)'!$C$2:$C$824-$B22)&lt;180)))))</f>
        <v/>
      </c>
      <c r="Q22" s="5">
        <f>IF($A22="","",IF(P22="-","-",IF($D22=0,0,P22/$D22)))</f>
        <v/>
      </c>
      <c r="R22" s="3">
        <f>IF($A22="","",IF($B22="","",IF(TODAY()&lt;$B22+210,"-",SUMPRODUCT(('Picked Students (raw)'!$B$2:$B$824=$A22)*('Picked Students (raw)'!$E$2:$E$824="Fresher")*('Picked Students (raw)'!$C$2:$C$824&lt;&gt;"")*(('Picked Students (raw)'!$C$2:$C$824-$B22)&lt;210)))))</f>
        <v/>
      </c>
      <c r="S22" s="5">
        <f>IF($A22="","",IF(R22="-","-",IF($D22=0,0,R22/$D22)))</f>
        <v/>
      </c>
      <c r="T22" s="3">
        <f>IF($A22="","",IF($B22="","",IF(TODAY()&lt;$B22+240,"-",SUMPRODUCT(('Picked Students (raw)'!$B$2:$B$824=$A22)*('Picked Students (raw)'!$E$2:$E$824="Fresher")*('Picked Students (raw)'!$C$2:$C$824&lt;&gt;"")*(('Picked Students (raw)'!$C$2:$C$824-$B22)&lt;240)))))</f>
        <v/>
      </c>
      <c r="U22" s="5">
        <f>IF($A22="","",IF(T22="-","-",IF($D22=0,0,T22/$D22)))</f>
        <v/>
      </c>
      <c r="V22" s="3">
        <f>IF($A22="","",IF($B22="","",IF(TODAY()&lt;$B22+270,"-",SUMPRODUCT(('Picked Students (raw)'!$B$2:$B$824=$A22)*('Picked Students (raw)'!$E$2:$E$824="Fresher")*('Picked Students (raw)'!$C$2:$C$824&lt;&gt;"")*(('Picked Students (raw)'!$C$2:$C$824-$B22)&lt;270)))))</f>
        <v/>
      </c>
      <c r="W22" s="5">
        <f>IF($A22="","",IF(V22="-","-",IF($D22=0,0,V22/$D22)))</f>
        <v/>
      </c>
      <c r="X22" s="3">
        <f>IF($A22="","",IF($B22="","",IF(TODAY()&lt;$B22+300,"-",SUMPRODUCT(('Picked Students (raw)'!$B$2:$B$824=$A22)*('Picked Students (raw)'!$E$2:$E$824="Fresher")*('Picked Students (raw)'!$C$2:$C$824&lt;&gt;"")*(('Picked Students (raw)'!$C$2:$C$824-$B22)&lt;300)))))</f>
        <v/>
      </c>
      <c r="Y22" s="5">
        <f>IF($A22="","",IF(X22="-","-",IF($D22=0,0,X22/$D22)))</f>
        <v/>
      </c>
      <c r="Z22" s="3">
        <f>IF($A22="","",IF($B22="","",IF(TODAY()&lt;$B22+330,"-",SUMPRODUCT(('Picked Students (raw)'!$B$2:$B$824=$A22)*('Picked Students (raw)'!$E$2:$E$824="Fresher")*('Picked Students (raw)'!$C$2:$C$824&lt;&gt;"")*(('Picked Students (raw)'!$C$2:$C$824-$B22)&lt;330)))))</f>
        <v/>
      </c>
      <c r="AA22" s="5">
        <f>IF($A22="","",IF(Z22="-","-",IF($D22=0,0,Z22/$D22)))</f>
        <v/>
      </c>
      <c r="AB22" s="3">
        <f>IF($A22="","",IF($B22="","",IF(TODAY()&lt;$B22+360,"-",SUMPRODUCT(('Picked Students (raw)'!$B$2:$B$824=$A22)*('Picked Students (raw)'!$E$2:$E$824="Fresher")*('Picked Students (raw)'!$C$2:$C$824&lt;&gt;"")*(('Picked Students (raw)'!$C$2:$C$824-$B22)&lt;360)))))</f>
        <v/>
      </c>
      <c r="AC22" s="5">
        <f>IF($A22="","",IF(AB22="-","-",IF($D22=0,0,AB22/$D22)))</f>
        <v/>
      </c>
      <c r="AD22" s="3">
        <f>IF($A22="","",IF($B22="","",IF(TODAY()&lt;$B22+390,"-",SUMPRODUCT(('Picked Students (raw)'!$B$2:$B$824=$A22)*('Picked Students (raw)'!$E$2:$E$824="Fresher")*('Picked Students (raw)'!$C$2:$C$824&lt;&gt;"")*(('Picked Students (raw)'!$C$2:$C$824-$B22)&lt;390)))))</f>
        <v/>
      </c>
      <c r="AE22" s="5">
        <f>IF($A22="","",IF(AD22="-","-",IF($D22=0,0,AD22/$D22)))</f>
        <v/>
      </c>
      <c r="AF22" s="3">
        <f>IF($A22="","",IF($B22="","",IF(TODAY()&lt;$B22+420,"-",SUMPRODUCT(('Picked Students (raw)'!$B$2:$B$824=$A22)*('Picked Students (raw)'!$E$2:$E$824="Fresher")*('Picked Students (raw)'!$C$2:$C$824&lt;&gt;"")*(('Picked Students (raw)'!$C$2:$C$824-$B22)&lt;420)))))</f>
        <v/>
      </c>
      <c r="AG22" s="5">
        <f>IF($A22="","",IF(AF22="-","-",IF($D22=0,0,AF22/$D22)))</f>
        <v/>
      </c>
      <c r="AH22" s="3">
        <f>IF($A22="","",IF($B22="","",IF(TODAY()&lt;$B22+450,"-",SUMPRODUCT(('Picked Students (raw)'!$B$2:$B$824=$A22)*('Picked Students (raw)'!$E$2:$E$824="Fresher")*('Picked Students (raw)'!$C$2:$C$824&lt;&gt;"")*(('Picked Students (raw)'!$C$2:$C$824-$B22)&lt;450)))))</f>
        <v/>
      </c>
      <c r="AI22" s="5">
        <f>IF($A22="","",IF(AH22="-","-",IF($D22=0,0,AH22/$D22)))</f>
        <v/>
      </c>
      <c r="AJ22" s="3">
        <f>IF($A22="","",IF($B22="","",IF(TODAY()&lt;$B22+480,"-",SUMPRODUCT(('Picked Students (raw)'!$B$2:$B$824=$A22)*('Picked Students (raw)'!$E$2:$E$824="Fresher")*('Picked Students (raw)'!$C$2:$C$824&lt;&gt;"")*(('Picked Students (raw)'!$C$2:$C$824-$B22)&lt;480)))))</f>
        <v/>
      </c>
      <c r="AK22" s="5">
        <f>IF($A22="","",IF(AJ22="-","-",IF($D22=0,0,AJ22/$D22)))</f>
        <v/>
      </c>
      <c r="AL22" s="3">
        <f>IF($A22="","",IF($B22="","",IF(TODAY()&lt;$B22+510,"-",SUMPRODUCT(('Picked Students (raw)'!$B$2:$B$824=$A22)*('Picked Students (raw)'!$E$2:$E$824="Fresher")*('Picked Students (raw)'!$C$2:$C$824&lt;&gt;"")*(('Picked Students (raw)'!$C$2:$C$824-$B22)&lt;510)))))</f>
        <v/>
      </c>
      <c r="AM22" s="5">
        <f>IF($A22="","",IF(AL22="-","-",IF($D22=0,0,AL22/$D22)))</f>
        <v/>
      </c>
      <c r="AN22" s="3">
        <f>IF($A22="","",IF($B22="","",IF(TODAY()&lt;$B22+540,"-",SUMPRODUCT(('Picked Students (raw)'!$B$2:$B$824=$A22)*('Picked Students (raw)'!$E$2:$E$824="Fresher")*('Picked Students (raw)'!$C$2:$C$824&lt;&gt;"")*(('Picked Students (raw)'!$C$2:$C$824-$B22)&lt;540)))))</f>
        <v/>
      </c>
      <c r="AO22" s="5">
        <f>IF($A22="","",IF(AN22="-","-",IF($D22=0,0,AN22/$D22)))</f>
        <v/>
      </c>
      <c r="AP22" s="3">
        <f>IF($A22="","",IF(AN22="-","-",$E22-AN22))</f>
        <v/>
      </c>
    </row>
    <row r="23">
      <c r="A23" s="3" t="inlineStr">
        <is>
          <t>Professional Certificate Course In Data Science - October 2024</t>
        </is>
      </c>
      <c r="B23" s="4">
        <f>IF($A23="","",IFERROR(INDEX('Batch Enrollment (Metabase)'!$D$2:$D$47,MATCH($A23,'Batch Enrollment (Metabase)'!$A$2:$A$47,0)),""))</f>
        <v/>
      </c>
      <c r="C23" s="3">
        <f>IF($A23="","",IFERROR(INDEX('Batch Enrollment (Metabase)'!$E$2:$E$47,MATCH($A23,'Batch Enrollment (Metabase)'!$A$2:$A$47,0)),""))</f>
        <v/>
      </c>
      <c r="D23" s="3">
        <f>IF($A23="","",IFERROR(INDEX('Batch Enrollment (Metabase)'!$F$2:$F$47,MATCH($A23,'Batch Enrollment (Metabase)'!$A$2:$A$47,0)),""))</f>
        <v/>
      </c>
      <c r="E23" s="3">
        <f>IF($A23="","",COUNTIFS('Picked Students (raw)'!$B$2:$B$824,$A23,'Picked Students (raw)'!$E$2:$E$824,"Fresher"))</f>
        <v/>
      </c>
      <c r="F23" s="3">
        <f>IF($A23="","",IF($B23="","",IF(TODAY()&lt;$B23+30,"-",SUMPRODUCT(('Picked Students (raw)'!$B$2:$B$824=$A23)*('Picked Students (raw)'!$E$2:$E$824="Fresher")*('Picked Students (raw)'!$C$2:$C$824&lt;&gt;"")*(('Picked Students (raw)'!$C$2:$C$824-$B23)&lt;30)))))</f>
        <v/>
      </c>
      <c r="G23" s="5">
        <f>IF($A23="","",IF(F23="-","-",IF($D23=0,0,F23/$D23)))</f>
        <v/>
      </c>
      <c r="H23" s="3">
        <f>IF($A23="","",IF($B23="","",IF(TODAY()&lt;$B23+60,"-",SUMPRODUCT(('Picked Students (raw)'!$B$2:$B$824=$A23)*('Picked Students (raw)'!$E$2:$E$824="Fresher")*('Picked Students (raw)'!$C$2:$C$824&lt;&gt;"")*(('Picked Students (raw)'!$C$2:$C$824-$B23)&lt;60)))))</f>
        <v/>
      </c>
      <c r="I23" s="5">
        <f>IF($A23="","",IF(H23="-","-",IF($D23=0,0,H23/$D23)))</f>
        <v/>
      </c>
      <c r="J23" s="3">
        <f>IF($A23="","",IF($B23="","",IF(TODAY()&lt;$B23+90,"-",SUMPRODUCT(('Picked Students (raw)'!$B$2:$B$824=$A23)*('Picked Students (raw)'!$E$2:$E$824="Fresher")*('Picked Students (raw)'!$C$2:$C$824&lt;&gt;"")*(('Picked Students (raw)'!$C$2:$C$824-$B23)&lt;90)))))</f>
        <v/>
      </c>
      <c r="K23" s="5">
        <f>IF($A23="","",IF(J23="-","-",IF($D23=0,0,J23/$D23)))</f>
        <v/>
      </c>
      <c r="L23" s="3">
        <f>IF($A23="","",IF($B23="","",IF(TODAY()&lt;$B23+120,"-",SUMPRODUCT(('Picked Students (raw)'!$B$2:$B$824=$A23)*('Picked Students (raw)'!$E$2:$E$824="Fresher")*('Picked Students (raw)'!$C$2:$C$824&lt;&gt;"")*(('Picked Students (raw)'!$C$2:$C$824-$B23)&lt;120)))))</f>
        <v/>
      </c>
      <c r="M23" s="5">
        <f>IF($A23="","",IF(L23="-","-",IF($D23=0,0,L23/$D23)))</f>
        <v/>
      </c>
      <c r="N23" s="3">
        <f>IF($A23="","",IF($B23="","",IF(TODAY()&lt;$B23+150,"-",SUMPRODUCT(('Picked Students (raw)'!$B$2:$B$824=$A23)*('Picked Students (raw)'!$E$2:$E$824="Fresher")*('Picked Students (raw)'!$C$2:$C$824&lt;&gt;"")*(('Picked Students (raw)'!$C$2:$C$824-$B23)&lt;150)))))</f>
        <v/>
      </c>
      <c r="O23" s="5">
        <f>IF($A23="","",IF(N23="-","-",IF($D23=0,0,N23/$D23)))</f>
        <v/>
      </c>
      <c r="P23" s="3">
        <f>IF($A23="","",IF($B23="","",IF(TODAY()&lt;$B23+180,"-",SUMPRODUCT(('Picked Students (raw)'!$B$2:$B$824=$A23)*('Picked Students (raw)'!$E$2:$E$824="Fresher")*('Picked Students (raw)'!$C$2:$C$824&lt;&gt;"")*(('Picked Students (raw)'!$C$2:$C$824-$B23)&lt;180)))))</f>
        <v/>
      </c>
      <c r="Q23" s="5">
        <f>IF($A23="","",IF(P23="-","-",IF($D23=0,0,P23/$D23)))</f>
        <v/>
      </c>
      <c r="R23" s="3">
        <f>IF($A23="","",IF($B23="","",IF(TODAY()&lt;$B23+210,"-",SUMPRODUCT(('Picked Students (raw)'!$B$2:$B$824=$A23)*('Picked Students (raw)'!$E$2:$E$824="Fresher")*('Picked Students (raw)'!$C$2:$C$824&lt;&gt;"")*(('Picked Students (raw)'!$C$2:$C$824-$B23)&lt;210)))))</f>
        <v/>
      </c>
      <c r="S23" s="5">
        <f>IF($A23="","",IF(R23="-","-",IF($D23=0,0,R23/$D23)))</f>
        <v/>
      </c>
      <c r="T23" s="3">
        <f>IF($A23="","",IF($B23="","",IF(TODAY()&lt;$B23+240,"-",SUMPRODUCT(('Picked Students (raw)'!$B$2:$B$824=$A23)*('Picked Students (raw)'!$E$2:$E$824="Fresher")*('Picked Students (raw)'!$C$2:$C$824&lt;&gt;"")*(('Picked Students (raw)'!$C$2:$C$824-$B23)&lt;240)))))</f>
        <v/>
      </c>
      <c r="U23" s="5">
        <f>IF($A23="","",IF(T23="-","-",IF($D23=0,0,T23/$D23)))</f>
        <v/>
      </c>
      <c r="V23" s="3">
        <f>IF($A23="","",IF($B23="","",IF(TODAY()&lt;$B23+270,"-",SUMPRODUCT(('Picked Students (raw)'!$B$2:$B$824=$A23)*('Picked Students (raw)'!$E$2:$E$824="Fresher")*('Picked Students (raw)'!$C$2:$C$824&lt;&gt;"")*(('Picked Students (raw)'!$C$2:$C$824-$B23)&lt;270)))))</f>
        <v/>
      </c>
      <c r="W23" s="5">
        <f>IF($A23="","",IF(V23="-","-",IF($D23=0,0,V23/$D23)))</f>
        <v/>
      </c>
      <c r="X23" s="3">
        <f>IF($A23="","",IF($B23="","",IF(TODAY()&lt;$B23+300,"-",SUMPRODUCT(('Picked Students (raw)'!$B$2:$B$824=$A23)*('Picked Students (raw)'!$E$2:$E$824="Fresher")*('Picked Students (raw)'!$C$2:$C$824&lt;&gt;"")*(('Picked Students (raw)'!$C$2:$C$824-$B23)&lt;300)))))</f>
        <v/>
      </c>
      <c r="Y23" s="5">
        <f>IF($A23="","",IF(X23="-","-",IF($D23=0,0,X23/$D23)))</f>
        <v/>
      </c>
      <c r="Z23" s="3">
        <f>IF($A23="","",IF($B23="","",IF(TODAY()&lt;$B23+330,"-",SUMPRODUCT(('Picked Students (raw)'!$B$2:$B$824=$A23)*('Picked Students (raw)'!$E$2:$E$824="Fresher")*('Picked Students (raw)'!$C$2:$C$824&lt;&gt;"")*(('Picked Students (raw)'!$C$2:$C$824-$B23)&lt;330)))))</f>
        <v/>
      </c>
      <c r="AA23" s="5">
        <f>IF($A23="","",IF(Z23="-","-",IF($D23=0,0,Z23/$D23)))</f>
        <v/>
      </c>
      <c r="AB23" s="3">
        <f>IF($A23="","",IF($B23="","",IF(TODAY()&lt;$B23+360,"-",SUMPRODUCT(('Picked Students (raw)'!$B$2:$B$824=$A23)*('Picked Students (raw)'!$E$2:$E$824="Fresher")*('Picked Students (raw)'!$C$2:$C$824&lt;&gt;"")*(('Picked Students (raw)'!$C$2:$C$824-$B23)&lt;360)))))</f>
        <v/>
      </c>
      <c r="AC23" s="5">
        <f>IF($A23="","",IF(AB23="-","-",IF($D23=0,0,AB23/$D23)))</f>
        <v/>
      </c>
      <c r="AD23" s="3">
        <f>IF($A23="","",IF($B23="","",IF(TODAY()&lt;$B23+390,"-",SUMPRODUCT(('Picked Students (raw)'!$B$2:$B$824=$A23)*('Picked Students (raw)'!$E$2:$E$824="Fresher")*('Picked Students (raw)'!$C$2:$C$824&lt;&gt;"")*(('Picked Students (raw)'!$C$2:$C$824-$B23)&lt;390)))))</f>
        <v/>
      </c>
      <c r="AE23" s="5">
        <f>IF($A23="","",IF(AD23="-","-",IF($D23=0,0,AD23/$D23)))</f>
        <v/>
      </c>
      <c r="AF23" s="3">
        <f>IF($A23="","",IF($B23="","",IF(TODAY()&lt;$B23+420,"-",SUMPRODUCT(('Picked Students (raw)'!$B$2:$B$824=$A23)*('Picked Students (raw)'!$E$2:$E$824="Fresher")*('Picked Students (raw)'!$C$2:$C$824&lt;&gt;"")*(('Picked Students (raw)'!$C$2:$C$824-$B23)&lt;420)))))</f>
        <v/>
      </c>
      <c r="AG23" s="5">
        <f>IF($A23="","",IF(AF23="-","-",IF($D23=0,0,AF23/$D23)))</f>
        <v/>
      </c>
      <c r="AH23" s="3">
        <f>IF($A23="","",IF($B23="","",IF(TODAY()&lt;$B23+450,"-",SUMPRODUCT(('Picked Students (raw)'!$B$2:$B$824=$A23)*('Picked Students (raw)'!$E$2:$E$824="Fresher")*('Picked Students (raw)'!$C$2:$C$824&lt;&gt;"")*(('Picked Students (raw)'!$C$2:$C$824-$B23)&lt;450)))))</f>
        <v/>
      </c>
      <c r="AI23" s="5">
        <f>IF($A23="","",IF(AH23="-","-",IF($D23=0,0,AH23/$D23)))</f>
        <v/>
      </c>
      <c r="AJ23" s="3">
        <f>IF($A23="","",IF($B23="","",IF(TODAY()&lt;$B23+480,"-",SUMPRODUCT(('Picked Students (raw)'!$B$2:$B$824=$A23)*('Picked Students (raw)'!$E$2:$E$824="Fresher")*('Picked Students (raw)'!$C$2:$C$824&lt;&gt;"")*(('Picked Students (raw)'!$C$2:$C$824-$B23)&lt;480)))))</f>
        <v/>
      </c>
      <c r="AK23" s="5">
        <f>IF($A23="","",IF(AJ23="-","-",IF($D23=0,0,AJ23/$D23)))</f>
        <v/>
      </c>
      <c r="AL23" s="3">
        <f>IF($A23="","",IF($B23="","",IF(TODAY()&lt;$B23+510,"-",SUMPRODUCT(('Picked Students (raw)'!$B$2:$B$824=$A23)*('Picked Students (raw)'!$E$2:$E$824="Fresher")*('Picked Students (raw)'!$C$2:$C$824&lt;&gt;"")*(('Picked Students (raw)'!$C$2:$C$824-$B23)&lt;510)))))</f>
        <v/>
      </c>
      <c r="AM23" s="5">
        <f>IF($A23="","",IF(AL23="-","-",IF($D23=0,0,AL23/$D23)))</f>
        <v/>
      </c>
      <c r="AN23" s="3">
        <f>IF($A23="","",IF($B23="","",IF(TODAY()&lt;$B23+540,"-",SUMPRODUCT(('Picked Students (raw)'!$B$2:$B$824=$A23)*('Picked Students (raw)'!$E$2:$E$824="Fresher")*('Picked Students (raw)'!$C$2:$C$824&lt;&gt;"")*(('Picked Students (raw)'!$C$2:$C$824-$B23)&lt;540)))))</f>
        <v/>
      </c>
      <c r="AO23" s="5">
        <f>IF($A23="","",IF(AN23="-","-",IF($D23=0,0,AN23/$D23)))</f>
        <v/>
      </c>
      <c r="AP23" s="3">
        <f>IF($A23="","",IF(AN23="-","-",$E23-AN23))</f>
        <v/>
      </c>
    </row>
    <row r="24">
      <c r="A24" s="3" t="inlineStr">
        <is>
          <t>Professional Certificate Course In Data Science - November 2024</t>
        </is>
      </c>
      <c r="B24" s="4">
        <f>IF($A24="","",IFERROR(INDEX('Batch Enrollment (Metabase)'!$D$2:$D$47,MATCH($A24,'Batch Enrollment (Metabase)'!$A$2:$A$47,0)),""))</f>
        <v/>
      </c>
      <c r="C24" s="3">
        <f>IF($A24="","",IFERROR(INDEX('Batch Enrollment (Metabase)'!$E$2:$E$47,MATCH($A24,'Batch Enrollment (Metabase)'!$A$2:$A$47,0)),""))</f>
        <v/>
      </c>
      <c r="D24" s="3">
        <f>IF($A24="","",IFERROR(INDEX('Batch Enrollment (Metabase)'!$F$2:$F$47,MATCH($A24,'Batch Enrollment (Metabase)'!$A$2:$A$47,0)),""))</f>
        <v/>
      </c>
      <c r="E24" s="3">
        <f>IF($A24="","",COUNTIFS('Picked Students (raw)'!$B$2:$B$824,$A24,'Picked Students (raw)'!$E$2:$E$824,"Fresher"))</f>
        <v/>
      </c>
      <c r="F24" s="3">
        <f>IF($A24="","",IF($B24="","",IF(TODAY()&lt;$B24+30,"-",SUMPRODUCT(('Picked Students (raw)'!$B$2:$B$824=$A24)*('Picked Students (raw)'!$E$2:$E$824="Fresher")*('Picked Students (raw)'!$C$2:$C$824&lt;&gt;"")*(('Picked Students (raw)'!$C$2:$C$824-$B24)&lt;30)))))</f>
        <v/>
      </c>
      <c r="G24" s="5">
        <f>IF($A24="","",IF(F24="-","-",IF($D24=0,0,F24/$D24)))</f>
        <v/>
      </c>
      <c r="H24" s="3">
        <f>IF($A24="","",IF($B24="","",IF(TODAY()&lt;$B24+60,"-",SUMPRODUCT(('Picked Students (raw)'!$B$2:$B$824=$A24)*('Picked Students (raw)'!$E$2:$E$824="Fresher")*('Picked Students (raw)'!$C$2:$C$824&lt;&gt;"")*(('Picked Students (raw)'!$C$2:$C$824-$B24)&lt;60)))))</f>
        <v/>
      </c>
      <c r="I24" s="5">
        <f>IF($A24="","",IF(H24="-","-",IF($D24=0,0,H24/$D24)))</f>
        <v/>
      </c>
      <c r="J24" s="3">
        <f>IF($A24="","",IF($B24="","",IF(TODAY()&lt;$B24+90,"-",SUMPRODUCT(('Picked Students (raw)'!$B$2:$B$824=$A24)*('Picked Students (raw)'!$E$2:$E$824="Fresher")*('Picked Students (raw)'!$C$2:$C$824&lt;&gt;"")*(('Picked Students (raw)'!$C$2:$C$824-$B24)&lt;90)))))</f>
        <v/>
      </c>
      <c r="K24" s="5">
        <f>IF($A24="","",IF(J24="-","-",IF($D24=0,0,J24/$D24)))</f>
        <v/>
      </c>
      <c r="L24" s="3">
        <f>IF($A24="","",IF($B24="","",IF(TODAY()&lt;$B24+120,"-",SUMPRODUCT(('Picked Students (raw)'!$B$2:$B$824=$A24)*('Picked Students (raw)'!$E$2:$E$824="Fresher")*('Picked Students (raw)'!$C$2:$C$824&lt;&gt;"")*(('Picked Students (raw)'!$C$2:$C$824-$B24)&lt;120)))))</f>
        <v/>
      </c>
      <c r="M24" s="5">
        <f>IF($A24="","",IF(L24="-","-",IF($D24=0,0,L24/$D24)))</f>
        <v/>
      </c>
      <c r="N24" s="3">
        <f>IF($A24="","",IF($B24="","",IF(TODAY()&lt;$B24+150,"-",SUMPRODUCT(('Picked Students (raw)'!$B$2:$B$824=$A24)*('Picked Students (raw)'!$E$2:$E$824="Fresher")*('Picked Students (raw)'!$C$2:$C$824&lt;&gt;"")*(('Picked Students (raw)'!$C$2:$C$824-$B24)&lt;150)))))</f>
        <v/>
      </c>
      <c r="O24" s="5">
        <f>IF($A24="","",IF(N24="-","-",IF($D24=0,0,N24/$D24)))</f>
        <v/>
      </c>
      <c r="P24" s="3">
        <f>IF($A24="","",IF($B24="","",IF(TODAY()&lt;$B24+180,"-",SUMPRODUCT(('Picked Students (raw)'!$B$2:$B$824=$A24)*('Picked Students (raw)'!$E$2:$E$824="Fresher")*('Picked Students (raw)'!$C$2:$C$824&lt;&gt;"")*(('Picked Students (raw)'!$C$2:$C$824-$B24)&lt;180)))))</f>
        <v/>
      </c>
      <c r="Q24" s="5">
        <f>IF($A24="","",IF(P24="-","-",IF($D24=0,0,P24/$D24)))</f>
        <v/>
      </c>
      <c r="R24" s="3">
        <f>IF($A24="","",IF($B24="","",IF(TODAY()&lt;$B24+210,"-",SUMPRODUCT(('Picked Students (raw)'!$B$2:$B$824=$A24)*('Picked Students (raw)'!$E$2:$E$824="Fresher")*('Picked Students (raw)'!$C$2:$C$824&lt;&gt;"")*(('Picked Students (raw)'!$C$2:$C$824-$B24)&lt;210)))))</f>
        <v/>
      </c>
      <c r="S24" s="5">
        <f>IF($A24="","",IF(R24="-","-",IF($D24=0,0,R24/$D24)))</f>
        <v/>
      </c>
      <c r="T24" s="3">
        <f>IF($A24="","",IF($B24="","",IF(TODAY()&lt;$B24+240,"-",SUMPRODUCT(('Picked Students (raw)'!$B$2:$B$824=$A24)*('Picked Students (raw)'!$E$2:$E$824="Fresher")*('Picked Students (raw)'!$C$2:$C$824&lt;&gt;"")*(('Picked Students (raw)'!$C$2:$C$824-$B24)&lt;240)))))</f>
        <v/>
      </c>
      <c r="U24" s="5">
        <f>IF($A24="","",IF(T24="-","-",IF($D24=0,0,T24/$D24)))</f>
        <v/>
      </c>
      <c r="V24" s="3">
        <f>IF($A24="","",IF($B24="","",IF(TODAY()&lt;$B24+270,"-",SUMPRODUCT(('Picked Students (raw)'!$B$2:$B$824=$A24)*('Picked Students (raw)'!$E$2:$E$824="Fresher")*('Picked Students (raw)'!$C$2:$C$824&lt;&gt;"")*(('Picked Students (raw)'!$C$2:$C$824-$B24)&lt;270)))))</f>
        <v/>
      </c>
      <c r="W24" s="5">
        <f>IF($A24="","",IF(V24="-","-",IF($D24=0,0,V24/$D24)))</f>
        <v/>
      </c>
      <c r="X24" s="3">
        <f>IF($A24="","",IF($B24="","",IF(TODAY()&lt;$B24+300,"-",SUMPRODUCT(('Picked Students (raw)'!$B$2:$B$824=$A24)*('Picked Students (raw)'!$E$2:$E$824="Fresher")*('Picked Students (raw)'!$C$2:$C$824&lt;&gt;"")*(('Picked Students (raw)'!$C$2:$C$824-$B24)&lt;300)))))</f>
        <v/>
      </c>
      <c r="Y24" s="5">
        <f>IF($A24="","",IF(X24="-","-",IF($D24=0,0,X24/$D24)))</f>
        <v/>
      </c>
      <c r="Z24" s="3">
        <f>IF($A24="","",IF($B24="","",IF(TODAY()&lt;$B24+330,"-",SUMPRODUCT(('Picked Students (raw)'!$B$2:$B$824=$A24)*('Picked Students (raw)'!$E$2:$E$824="Fresher")*('Picked Students (raw)'!$C$2:$C$824&lt;&gt;"")*(('Picked Students (raw)'!$C$2:$C$824-$B24)&lt;330)))))</f>
        <v/>
      </c>
      <c r="AA24" s="5">
        <f>IF($A24="","",IF(Z24="-","-",IF($D24=0,0,Z24/$D24)))</f>
        <v/>
      </c>
      <c r="AB24" s="3">
        <f>IF($A24="","",IF($B24="","",IF(TODAY()&lt;$B24+360,"-",SUMPRODUCT(('Picked Students (raw)'!$B$2:$B$824=$A24)*('Picked Students (raw)'!$E$2:$E$824="Fresher")*('Picked Students (raw)'!$C$2:$C$824&lt;&gt;"")*(('Picked Students (raw)'!$C$2:$C$824-$B24)&lt;360)))))</f>
        <v/>
      </c>
      <c r="AC24" s="5">
        <f>IF($A24="","",IF(AB24="-","-",IF($D24=0,0,AB24/$D24)))</f>
        <v/>
      </c>
      <c r="AD24" s="3">
        <f>IF($A24="","",IF($B24="","",IF(TODAY()&lt;$B24+390,"-",SUMPRODUCT(('Picked Students (raw)'!$B$2:$B$824=$A24)*('Picked Students (raw)'!$E$2:$E$824="Fresher")*('Picked Students (raw)'!$C$2:$C$824&lt;&gt;"")*(('Picked Students (raw)'!$C$2:$C$824-$B24)&lt;390)))))</f>
        <v/>
      </c>
      <c r="AE24" s="5">
        <f>IF($A24="","",IF(AD24="-","-",IF($D24=0,0,AD24/$D24)))</f>
        <v/>
      </c>
      <c r="AF24" s="3">
        <f>IF($A24="","",IF($B24="","",IF(TODAY()&lt;$B24+420,"-",SUMPRODUCT(('Picked Students (raw)'!$B$2:$B$824=$A24)*('Picked Students (raw)'!$E$2:$E$824="Fresher")*('Picked Students (raw)'!$C$2:$C$824&lt;&gt;"")*(('Picked Students (raw)'!$C$2:$C$824-$B24)&lt;420)))))</f>
        <v/>
      </c>
      <c r="AG24" s="5">
        <f>IF($A24="","",IF(AF24="-","-",IF($D24=0,0,AF24/$D24)))</f>
        <v/>
      </c>
      <c r="AH24" s="3">
        <f>IF($A24="","",IF($B24="","",IF(TODAY()&lt;$B24+450,"-",SUMPRODUCT(('Picked Students (raw)'!$B$2:$B$824=$A24)*('Picked Students (raw)'!$E$2:$E$824="Fresher")*('Picked Students (raw)'!$C$2:$C$824&lt;&gt;"")*(('Picked Students (raw)'!$C$2:$C$824-$B24)&lt;450)))))</f>
        <v/>
      </c>
      <c r="AI24" s="5">
        <f>IF($A24="","",IF(AH24="-","-",IF($D24=0,0,AH24/$D24)))</f>
        <v/>
      </c>
      <c r="AJ24" s="3">
        <f>IF($A24="","",IF($B24="","",IF(TODAY()&lt;$B24+480,"-",SUMPRODUCT(('Picked Students (raw)'!$B$2:$B$824=$A24)*('Picked Students (raw)'!$E$2:$E$824="Fresher")*('Picked Students (raw)'!$C$2:$C$824&lt;&gt;"")*(('Picked Students (raw)'!$C$2:$C$824-$B24)&lt;480)))))</f>
        <v/>
      </c>
      <c r="AK24" s="5">
        <f>IF($A24="","",IF(AJ24="-","-",IF($D24=0,0,AJ24/$D24)))</f>
        <v/>
      </c>
      <c r="AL24" s="3">
        <f>IF($A24="","",IF($B24="","",IF(TODAY()&lt;$B24+510,"-",SUMPRODUCT(('Picked Students (raw)'!$B$2:$B$824=$A24)*('Picked Students (raw)'!$E$2:$E$824="Fresher")*('Picked Students (raw)'!$C$2:$C$824&lt;&gt;"")*(('Picked Students (raw)'!$C$2:$C$824-$B24)&lt;510)))))</f>
        <v/>
      </c>
      <c r="AM24" s="5">
        <f>IF($A24="","",IF(AL24="-","-",IF($D24=0,0,AL24/$D24)))</f>
        <v/>
      </c>
      <c r="AN24" s="3">
        <f>IF($A24="","",IF($B24="","",IF(TODAY()&lt;$B24+540,"-",SUMPRODUCT(('Picked Students (raw)'!$B$2:$B$824=$A24)*('Picked Students (raw)'!$E$2:$E$824="Fresher")*('Picked Students (raw)'!$C$2:$C$824&lt;&gt;"")*(('Picked Students (raw)'!$C$2:$C$824-$B24)&lt;540)))))</f>
        <v/>
      </c>
      <c r="AO24" s="5">
        <f>IF($A24="","",IF(AN24="-","-",IF($D24=0,0,AN24/$D24)))</f>
        <v/>
      </c>
      <c r="AP24" s="3">
        <f>IF($A24="","",IF(AN24="-","-",$E24-AN24))</f>
        <v/>
      </c>
    </row>
    <row r="25">
      <c r="A25" s="3" t="inlineStr">
        <is>
          <t>Professional Certificate Course In Data Science - December 2024</t>
        </is>
      </c>
      <c r="B25" s="4">
        <f>IF($A25="","",IFERROR(INDEX('Batch Enrollment (Metabase)'!$D$2:$D$47,MATCH($A25,'Batch Enrollment (Metabase)'!$A$2:$A$47,0)),""))</f>
        <v/>
      </c>
      <c r="C25" s="3">
        <f>IF($A25="","",IFERROR(INDEX('Batch Enrollment (Metabase)'!$E$2:$E$47,MATCH($A25,'Batch Enrollment (Metabase)'!$A$2:$A$47,0)),""))</f>
        <v/>
      </c>
      <c r="D25" s="3">
        <f>IF($A25="","",IFERROR(INDEX('Batch Enrollment (Metabase)'!$F$2:$F$47,MATCH($A25,'Batch Enrollment (Metabase)'!$A$2:$A$47,0)),""))</f>
        <v/>
      </c>
      <c r="E25" s="3">
        <f>IF($A25="","",COUNTIFS('Picked Students (raw)'!$B$2:$B$824,$A25,'Picked Students (raw)'!$E$2:$E$824,"Fresher"))</f>
        <v/>
      </c>
      <c r="F25" s="3">
        <f>IF($A25="","",IF($B25="","",IF(TODAY()&lt;$B25+30,"-",SUMPRODUCT(('Picked Students (raw)'!$B$2:$B$824=$A25)*('Picked Students (raw)'!$E$2:$E$824="Fresher")*('Picked Students (raw)'!$C$2:$C$824&lt;&gt;"")*(('Picked Students (raw)'!$C$2:$C$824-$B25)&lt;30)))))</f>
        <v/>
      </c>
      <c r="G25" s="5">
        <f>IF($A25="","",IF(F25="-","-",IF($D25=0,0,F25/$D25)))</f>
        <v/>
      </c>
      <c r="H25" s="3">
        <f>IF($A25="","",IF($B25="","",IF(TODAY()&lt;$B25+60,"-",SUMPRODUCT(('Picked Students (raw)'!$B$2:$B$824=$A25)*('Picked Students (raw)'!$E$2:$E$824="Fresher")*('Picked Students (raw)'!$C$2:$C$824&lt;&gt;"")*(('Picked Students (raw)'!$C$2:$C$824-$B25)&lt;60)))))</f>
        <v/>
      </c>
      <c r="I25" s="5">
        <f>IF($A25="","",IF(H25="-","-",IF($D25=0,0,H25/$D25)))</f>
        <v/>
      </c>
      <c r="J25" s="3">
        <f>IF($A25="","",IF($B25="","",IF(TODAY()&lt;$B25+90,"-",SUMPRODUCT(('Picked Students (raw)'!$B$2:$B$824=$A25)*('Picked Students (raw)'!$E$2:$E$824="Fresher")*('Picked Students (raw)'!$C$2:$C$824&lt;&gt;"")*(('Picked Students (raw)'!$C$2:$C$824-$B25)&lt;90)))))</f>
        <v/>
      </c>
      <c r="K25" s="5">
        <f>IF($A25="","",IF(J25="-","-",IF($D25=0,0,J25/$D25)))</f>
        <v/>
      </c>
      <c r="L25" s="3">
        <f>IF($A25="","",IF($B25="","",IF(TODAY()&lt;$B25+120,"-",SUMPRODUCT(('Picked Students (raw)'!$B$2:$B$824=$A25)*('Picked Students (raw)'!$E$2:$E$824="Fresher")*('Picked Students (raw)'!$C$2:$C$824&lt;&gt;"")*(('Picked Students (raw)'!$C$2:$C$824-$B25)&lt;120)))))</f>
        <v/>
      </c>
      <c r="M25" s="5">
        <f>IF($A25="","",IF(L25="-","-",IF($D25=0,0,L25/$D25)))</f>
        <v/>
      </c>
      <c r="N25" s="3">
        <f>IF($A25="","",IF($B25="","",IF(TODAY()&lt;$B25+150,"-",SUMPRODUCT(('Picked Students (raw)'!$B$2:$B$824=$A25)*('Picked Students (raw)'!$E$2:$E$824="Fresher")*('Picked Students (raw)'!$C$2:$C$824&lt;&gt;"")*(('Picked Students (raw)'!$C$2:$C$824-$B25)&lt;150)))))</f>
        <v/>
      </c>
      <c r="O25" s="5">
        <f>IF($A25="","",IF(N25="-","-",IF($D25=0,0,N25/$D25)))</f>
        <v/>
      </c>
      <c r="P25" s="3">
        <f>IF($A25="","",IF($B25="","",IF(TODAY()&lt;$B25+180,"-",SUMPRODUCT(('Picked Students (raw)'!$B$2:$B$824=$A25)*('Picked Students (raw)'!$E$2:$E$824="Fresher")*('Picked Students (raw)'!$C$2:$C$824&lt;&gt;"")*(('Picked Students (raw)'!$C$2:$C$824-$B25)&lt;180)))))</f>
        <v/>
      </c>
      <c r="Q25" s="5">
        <f>IF($A25="","",IF(P25="-","-",IF($D25=0,0,P25/$D25)))</f>
        <v/>
      </c>
      <c r="R25" s="3">
        <f>IF($A25="","",IF($B25="","",IF(TODAY()&lt;$B25+210,"-",SUMPRODUCT(('Picked Students (raw)'!$B$2:$B$824=$A25)*('Picked Students (raw)'!$E$2:$E$824="Fresher")*('Picked Students (raw)'!$C$2:$C$824&lt;&gt;"")*(('Picked Students (raw)'!$C$2:$C$824-$B25)&lt;210)))))</f>
        <v/>
      </c>
      <c r="S25" s="5">
        <f>IF($A25="","",IF(R25="-","-",IF($D25=0,0,R25/$D25)))</f>
        <v/>
      </c>
      <c r="T25" s="3">
        <f>IF($A25="","",IF($B25="","",IF(TODAY()&lt;$B25+240,"-",SUMPRODUCT(('Picked Students (raw)'!$B$2:$B$824=$A25)*('Picked Students (raw)'!$E$2:$E$824="Fresher")*('Picked Students (raw)'!$C$2:$C$824&lt;&gt;"")*(('Picked Students (raw)'!$C$2:$C$824-$B25)&lt;240)))))</f>
        <v/>
      </c>
      <c r="U25" s="5">
        <f>IF($A25="","",IF(T25="-","-",IF($D25=0,0,T25/$D25)))</f>
        <v/>
      </c>
      <c r="V25" s="3">
        <f>IF($A25="","",IF($B25="","",IF(TODAY()&lt;$B25+270,"-",SUMPRODUCT(('Picked Students (raw)'!$B$2:$B$824=$A25)*('Picked Students (raw)'!$E$2:$E$824="Fresher")*('Picked Students (raw)'!$C$2:$C$824&lt;&gt;"")*(('Picked Students (raw)'!$C$2:$C$824-$B25)&lt;270)))))</f>
        <v/>
      </c>
      <c r="W25" s="5">
        <f>IF($A25="","",IF(V25="-","-",IF($D25=0,0,V25/$D25)))</f>
        <v/>
      </c>
      <c r="X25" s="3">
        <f>IF($A25="","",IF($B25="","",IF(TODAY()&lt;$B25+300,"-",SUMPRODUCT(('Picked Students (raw)'!$B$2:$B$824=$A25)*('Picked Students (raw)'!$E$2:$E$824="Fresher")*('Picked Students (raw)'!$C$2:$C$824&lt;&gt;"")*(('Picked Students (raw)'!$C$2:$C$824-$B25)&lt;300)))))</f>
        <v/>
      </c>
      <c r="Y25" s="5">
        <f>IF($A25="","",IF(X25="-","-",IF($D25=0,0,X25/$D25)))</f>
        <v/>
      </c>
      <c r="Z25" s="3">
        <f>IF($A25="","",IF($B25="","",IF(TODAY()&lt;$B25+330,"-",SUMPRODUCT(('Picked Students (raw)'!$B$2:$B$824=$A25)*('Picked Students (raw)'!$E$2:$E$824="Fresher")*('Picked Students (raw)'!$C$2:$C$824&lt;&gt;"")*(('Picked Students (raw)'!$C$2:$C$824-$B25)&lt;330)))))</f>
        <v/>
      </c>
      <c r="AA25" s="5">
        <f>IF($A25="","",IF(Z25="-","-",IF($D25=0,0,Z25/$D25)))</f>
        <v/>
      </c>
      <c r="AB25" s="3">
        <f>IF($A25="","",IF($B25="","",IF(TODAY()&lt;$B25+360,"-",SUMPRODUCT(('Picked Students (raw)'!$B$2:$B$824=$A25)*('Picked Students (raw)'!$E$2:$E$824="Fresher")*('Picked Students (raw)'!$C$2:$C$824&lt;&gt;"")*(('Picked Students (raw)'!$C$2:$C$824-$B25)&lt;360)))))</f>
        <v/>
      </c>
      <c r="AC25" s="5">
        <f>IF($A25="","",IF(AB25="-","-",IF($D25=0,0,AB25/$D25)))</f>
        <v/>
      </c>
      <c r="AD25" s="3">
        <f>IF($A25="","",IF($B25="","",IF(TODAY()&lt;$B25+390,"-",SUMPRODUCT(('Picked Students (raw)'!$B$2:$B$824=$A25)*('Picked Students (raw)'!$E$2:$E$824="Fresher")*('Picked Students (raw)'!$C$2:$C$824&lt;&gt;"")*(('Picked Students (raw)'!$C$2:$C$824-$B25)&lt;390)))))</f>
        <v/>
      </c>
      <c r="AE25" s="5">
        <f>IF($A25="","",IF(AD25="-","-",IF($D25=0,0,AD25/$D25)))</f>
        <v/>
      </c>
      <c r="AF25" s="3">
        <f>IF($A25="","",IF($B25="","",IF(TODAY()&lt;$B25+420,"-",SUMPRODUCT(('Picked Students (raw)'!$B$2:$B$824=$A25)*('Picked Students (raw)'!$E$2:$E$824="Fresher")*('Picked Students (raw)'!$C$2:$C$824&lt;&gt;"")*(('Picked Students (raw)'!$C$2:$C$824-$B25)&lt;420)))))</f>
        <v/>
      </c>
      <c r="AG25" s="5">
        <f>IF($A25="","",IF(AF25="-","-",IF($D25=0,0,AF25/$D25)))</f>
        <v/>
      </c>
      <c r="AH25" s="3">
        <f>IF($A25="","",IF($B25="","",IF(TODAY()&lt;$B25+450,"-",SUMPRODUCT(('Picked Students (raw)'!$B$2:$B$824=$A25)*('Picked Students (raw)'!$E$2:$E$824="Fresher")*('Picked Students (raw)'!$C$2:$C$824&lt;&gt;"")*(('Picked Students (raw)'!$C$2:$C$824-$B25)&lt;450)))))</f>
        <v/>
      </c>
      <c r="AI25" s="5">
        <f>IF($A25="","",IF(AH25="-","-",IF($D25=0,0,AH25/$D25)))</f>
        <v/>
      </c>
      <c r="AJ25" s="3">
        <f>IF($A25="","",IF($B25="","",IF(TODAY()&lt;$B25+480,"-",SUMPRODUCT(('Picked Students (raw)'!$B$2:$B$824=$A25)*('Picked Students (raw)'!$E$2:$E$824="Fresher")*('Picked Students (raw)'!$C$2:$C$824&lt;&gt;"")*(('Picked Students (raw)'!$C$2:$C$824-$B25)&lt;480)))))</f>
        <v/>
      </c>
      <c r="AK25" s="5">
        <f>IF($A25="","",IF(AJ25="-","-",IF($D25=0,0,AJ25/$D25)))</f>
        <v/>
      </c>
      <c r="AL25" s="3">
        <f>IF($A25="","",IF($B25="","",IF(TODAY()&lt;$B25+510,"-",SUMPRODUCT(('Picked Students (raw)'!$B$2:$B$824=$A25)*('Picked Students (raw)'!$E$2:$E$824="Fresher")*('Picked Students (raw)'!$C$2:$C$824&lt;&gt;"")*(('Picked Students (raw)'!$C$2:$C$824-$B25)&lt;510)))))</f>
        <v/>
      </c>
      <c r="AM25" s="5">
        <f>IF($A25="","",IF(AL25="-","-",IF($D25=0,0,AL25/$D25)))</f>
        <v/>
      </c>
      <c r="AN25" s="3">
        <f>IF($A25="","",IF($B25="","",IF(TODAY()&lt;$B25+540,"-",SUMPRODUCT(('Picked Students (raw)'!$B$2:$B$824=$A25)*('Picked Students (raw)'!$E$2:$E$824="Fresher")*('Picked Students (raw)'!$C$2:$C$824&lt;&gt;"")*(('Picked Students (raw)'!$C$2:$C$824-$B25)&lt;540)))))</f>
        <v/>
      </c>
      <c r="AO25" s="5">
        <f>IF($A25="","",IF(AN25="-","-",IF($D25=0,0,AN25/$D25)))</f>
        <v/>
      </c>
      <c r="AP25" s="3">
        <f>IF($A25="","",IF(AN25="-","-",$E25-AN25))</f>
        <v/>
      </c>
    </row>
    <row r="26">
      <c r="A26" s="3" t="inlineStr">
        <is>
          <t>Professional Certificate Course In Data Science - January 2025</t>
        </is>
      </c>
      <c r="B26" s="4">
        <f>IF($A26="","",IFERROR(INDEX('Batch Enrollment (Metabase)'!$D$2:$D$47,MATCH($A26,'Batch Enrollment (Metabase)'!$A$2:$A$47,0)),""))</f>
        <v/>
      </c>
      <c r="C26" s="3">
        <f>IF($A26="","",IFERROR(INDEX('Batch Enrollment (Metabase)'!$E$2:$E$47,MATCH($A26,'Batch Enrollment (Metabase)'!$A$2:$A$47,0)),""))</f>
        <v/>
      </c>
      <c r="D26" s="3">
        <f>IF($A26="","",IFERROR(INDEX('Batch Enrollment (Metabase)'!$F$2:$F$47,MATCH($A26,'Batch Enrollment (Metabase)'!$A$2:$A$47,0)),""))</f>
        <v/>
      </c>
      <c r="E26" s="3">
        <f>IF($A26="","",COUNTIFS('Picked Students (raw)'!$B$2:$B$824,$A26,'Picked Students (raw)'!$E$2:$E$824,"Fresher"))</f>
        <v/>
      </c>
      <c r="F26" s="3">
        <f>IF($A26="","",IF($B26="","",IF(TODAY()&lt;$B26+30,"-",SUMPRODUCT(('Picked Students (raw)'!$B$2:$B$824=$A26)*('Picked Students (raw)'!$E$2:$E$824="Fresher")*('Picked Students (raw)'!$C$2:$C$824&lt;&gt;"")*(('Picked Students (raw)'!$C$2:$C$824-$B26)&lt;30)))))</f>
        <v/>
      </c>
      <c r="G26" s="5">
        <f>IF($A26="","",IF(F26="-","-",IF($D26=0,0,F26/$D26)))</f>
        <v/>
      </c>
      <c r="H26" s="3">
        <f>IF($A26="","",IF($B26="","",IF(TODAY()&lt;$B26+60,"-",SUMPRODUCT(('Picked Students (raw)'!$B$2:$B$824=$A26)*('Picked Students (raw)'!$E$2:$E$824="Fresher")*('Picked Students (raw)'!$C$2:$C$824&lt;&gt;"")*(('Picked Students (raw)'!$C$2:$C$824-$B26)&lt;60)))))</f>
        <v/>
      </c>
      <c r="I26" s="5">
        <f>IF($A26="","",IF(H26="-","-",IF($D26=0,0,H26/$D26)))</f>
        <v/>
      </c>
      <c r="J26" s="3">
        <f>IF($A26="","",IF($B26="","",IF(TODAY()&lt;$B26+90,"-",SUMPRODUCT(('Picked Students (raw)'!$B$2:$B$824=$A26)*('Picked Students (raw)'!$E$2:$E$824="Fresher")*('Picked Students (raw)'!$C$2:$C$824&lt;&gt;"")*(('Picked Students (raw)'!$C$2:$C$824-$B26)&lt;90)))))</f>
        <v/>
      </c>
      <c r="K26" s="5">
        <f>IF($A26="","",IF(J26="-","-",IF($D26=0,0,J26/$D26)))</f>
        <v/>
      </c>
      <c r="L26" s="3">
        <f>IF($A26="","",IF($B26="","",IF(TODAY()&lt;$B26+120,"-",SUMPRODUCT(('Picked Students (raw)'!$B$2:$B$824=$A26)*('Picked Students (raw)'!$E$2:$E$824="Fresher")*('Picked Students (raw)'!$C$2:$C$824&lt;&gt;"")*(('Picked Students (raw)'!$C$2:$C$824-$B26)&lt;120)))))</f>
        <v/>
      </c>
      <c r="M26" s="5">
        <f>IF($A26="","",IF(L26="-","-",IF($D26=0,0,L26/$D26)))</f>
        <v/>
      </c>
      <c r="N26" s="3">
        <f>IF($A26="","",IF($B26="","",IF(TODAY()&lt;$B26+150,"-",SUMPRODUCT(('Picked Students (raw)'!$B$2:$B$824=$A26)*('Picked Students (raw)'!$E$2:$E$824="Fresher")*('Picked Students (raw)'!$C$2:$C$824&lt;&gt;"")*(('Picked Students (raw)'!$C$2:$C$824-$B26)&lt;150)))))</f>
        <v/>
      </c>
      <c r="O26" s="5">
        <f>IF($A26="","",IF(N26="-","-",IF($D26=0,0,N26/$D26)))</f>
        <v/>
      </c>
      <c r="P26" s="3">
        <f>IF($A26="","",IF($B26="","",IF(TODAY()&lt;$B26+180,"-",SUMPRODUCT(('Picked Students (raw)'!$B$2:$B$824=$A26)*('Picked Students (raw)'!$E$2:$E$824="Fresher")*('Picked Students (raw)'!$C$2:$C$824&lt;&gt;"")*(('Picked Students (raw)'!$C$2:$C$824-$B26)&lt;180)))))</f>
        <v/>
      </c>
      <c r="Q26" s="5">
        <f>IF($A26="","",IF(P26="-","-",IF($D26=0,0,P26/$D26)))</f>
        <v/>
      </c>
      <c r="R26" s="3">
        <f>IF($A26="","",IF($B26="","",IF(TODAY()&lt;$B26+210,"-",SUMPRODUCT(('Picked Students (raw)'!$B$2:$B$824=$A26)*('Picked Students (raw)'!$E$2:$E$824="Fresher")*('Picked Students (raw)'!$C$2:$C$824&lt;&gt;"")*(('Picked Students (raw)'!$C$2:$C$824-$B26)&lt;210)))))</f>
        <v/>
      </c>
      <c r="S26" s="5">
        <f>IF($A26="","",IF(R26="-","-",IF($D26=0,0,R26/$D26)))</f>
        <v/>
      </c>
      <c r="T26" s="3">
        <f>IF($A26="","",IF($B26="","",IF(TODAY()&lt;$B26+240,"-",SUMPRODUCT(('Picked Students (raw)'!$B$2:$B$824=$A26)*('Picked Students (raw)'!$E$2:$E$824="Fresher")*('Picked Students (raw)'!$C$2:$C$824&lt;&gt;"")*(('Picked Students (raw)'!$C$2:$C$824-$B26)&lt;240)))))</f>
        <v/>
      </c>
      <c r="U26" s="5">
        <f>IF($A26="","",IF(T26="-","-",IF($D26=0,0,T26/$D26)))</f>
        <v/>
      </c>
      <c r="V26" s="3">
        <f>IF($A26="","",IF($B26="","",IF(TODAY()&lt;$B26+270,"-",SUMPRODUCT(('Picked Students (raw)'!$B$2:$B$824=$A26)*('Picked Students (raw)'!$E$2:$E$824="Fresher")*('Picked Students (raw)'!$C$2:$C$824&lt;&gt;"")*(('Picked Students (raw)'!$C$2:$C$824-$B26)&lt;270)))))</f>
        <v/>
      </c>
      <c r="W26" s="5">
        <f>IF($A26="","",IF(V26="-","-",IF($D26=0,0,V26/$D26)))</f>
        <v/>
      </c>
      <c r="X26" s="3">
        <f>IF($A26="","",IF($B26="","",IF(TODAY()&lt;$B26+300,"-",SUMPRODUCT(('Picked Students (raw)'!$B$2:$B$824=$A26)*('Picked Students (raw)'!$E$2:$E$824="Fresher")*('Picked Students (raw)'!$C$2:$C$824&lt;&gt;"")*(('Picked Students (raw)'!$C$2:$C$824-$B26)&lt;300)))))</f>
        <v/>
      </c>
      <c r="Y26" s="5">
        <f>IF($A26="","",IF(X26="-","-",IF($D26=0,0,X26/$D26)))</f>
        <v/>
      </c>
      <c r="Z26" s="3">
        <f>IF($A26="","",IF($B26="","",IF(TODAY()&lt;$B26+330,"-",SUMPRODUCT(('Picked Students (raw)'!$B$2:$B$824=$A26)*('Picked Students (raw)'!$E$2:$E$824="Fresher")*('Picked Students (raw)'!$C$2:$C$824&lt;&gt;"")*(('Picked Students (raw)'!$C$2:$C$824-$B26)&lt;330)))))</f>
        <v/>
      </c>
      <c r="AA26" s="5">
        <f>IF($A26="","",IF(Z26="-","-",IF($D26=0,0,Z26/$D26)))</f>
        <v/>
      </c>
      <c r="AB26" s="3">
        <f>IF($A26="","",IF($B26="","",IF(TODAY()&lt;$B26+360,"-",SUMPRODUCT(('Picked Students (raw)'!$B$2:$B$824=$A26)*('Picked Students (raw)'!$E$2:$E$824="Fresher")*('Picked Students (raw)'!$C$2:$C$824&lt;&gt;"")*(('Picked Students (raw)'!$C$2:$C$824-$B26)&lt;360)))))</f>
        <v/>
      </c>
      <c r="AC26" s="5">
        <f>IF($A26="","",IF(AB26="-","-",IF($D26=0,0,AB26/$D26)))</f>
        <v/>
      </c>
      <c r="AD26" s="3">
        <f>IF($A26="","",IF($B26="","",IF(TODAY()&lt;$B26+390,"-",SUMPRODUCT(('Picked Students (raw)'!$B$2:$B$824=$A26)*('Picked Students (raw)'!$E$2:$E$824="Fresher")*('Picked Students (raw)'!$C$2:$C$824&lt;&gt;"")*(('Picked Students (raw)'!$C$2:$C$824-$B26)&lt;390)))))</f>
        <v/>
      </c>
      <c r="AE26" s="5">
        <f>IF($A26="","",IF(AD26="-","-",IF($D26=0,0,AD26/$D26)))</f>
        <v/>
      </c>
      <c r="AF26" s="3">
        <f>IF($A26="","",IF($B26="","",IF(TODAY()&lt;$B26+420,"-",SUMPRODUCT(('Picked Students (raw)'!$B$2:$B$824=$A26)*('Picked Students (raw)'!$E$2:$E$824="Fresher")*('Picked Students (raw)'!$C$2:$C$824&lt;&gt;"")*(('Picked Students (raw)'!$C$2:$C$824-$B26)&lt;420)))))</f>
        <v/>
      </c>
      <c r="AG26" s="5">
        <f>IF($A26="","",IF(AF26="-","-",IF($D26=0,0,AF26/$D26)))</f>
        <v/>
      </c>
      <c r="AH26" s="3">
        <f>IF($A26="","",IF($B26="","",IF(TODAY()&lt;$B26+450,"-",SUMPRODUCT(('Picked Students (raw)'!$B$2:$B$824=$A26)*('Picked Students (raw)'!$E$2:$E$824="Fresher")*('Picked Students (raw)'!$C$2:$C$824&lt;&gt;"")*(('Picked Students (raw)'!$C$2:$C$824-$B26)&lt;450)))))</f>
        <v/>
      </c>
      <c r="AI26" s="5">
        <f>IF($A26="","",IF(AH26="-","-",IF($D26=0,0,AH26/$D26)))</f>
        <v/>
      </c>
      <c r="AJ26" s="3">
        <f>IF($A26="","",IF($B26="","",IF(TODAY()&lt;$B26+480,"-",SUMPRODUCT(('Picked Students (raw)'!$B$2:$B$824=$A26)*('Picked Students (raw)'!$E$2:$E$824="Fresher")*('Picked Students (raw)'!$C$2:$C$824&lt;&gt;"")*(('Picked Students (raw)'!$C$2:$C$824-$B26)&lt;480)))))</f>
        <v/>
      </c>
      <c r="AK26" s="5">
        <f>IF($A26="","",IF(AJ26="-","-",IF($D26=0,0,AJ26/$D26)))</f>
        <v/>
      </c>
      <c r="AL26" s="3">
        <f>IF($A26="","",IF($B26="","",IF(TODAY()&lt;$B26+510,"-",SUMPRODUCT(('Picked Students (raw)'!$B$2:$B$824=$A26)*('Picked Students (raw)'!$E$2:$E$824="Fresher")*('Picked Students (raw)'!$C$2:$C$824&lt;&gt;"")*(('Picked Students (raw)'!$C$2:$C$824-$B26)&lt;510)))))</f>
        <v/>
      </c>
      <c r="AM26" s="5">
        <f>IF($A26="","",IF(AL26="-","-",IF($D26=0,0,AL26/$D26)))</f>
        <v/>
      </c>
      <c r="AN26" s="3">
        <f>IF($A26="","",IF($B26="","",IF(TODAY()&lt;$B26+540,"-",SUMPRODUCT(('Picked Students (raw)'!$B$2:$B$824=$A26)*('Picked Students (raw)'!$E$2:$E$824="Fresher")*('Picked Students (raw)'!$C$2:$C$824&lt;&gt;"")*(('Picked Students (raw)'!$C$2:$C$824-$B26)&lt;540)))))</f>
        <v/>
      </c>
      <c r="AO26" s="5">
        <f>IF($A26="","",IF(AN26="-","-",IF($D26=0,0,AN26/$D26)))</f>
        <v/>
      </c>
      <c r="AP26" s="3">
        <f>IF($A26="","",IF(AN26="-","-",$E26-AN26))</f>
        <v/>
      </c>
    </row>
    <row r="27">
      <c r="A27" s="3" t="inlineStr">
        <is>
          <t>Professional Certificate Course In Data Science - February 2025</t>
        </is>
      </c>
      <c r="B27" s="4">
        <f>IF($A27="","",IFERROR(INDEX('Batch Enrollment (Metabase)'!$D$2:$D$47,MATCH($A27,'Batch Enrollment (Metabase)'!$A$2:$A$47,0)),""))</f>
        <v/>
      </c>
      <c r="C27" s="3">
        <f>IF($A27="","",IFERROR(INDEX('Batch Enrollment (Metabase)'!$E$2:$E$47,MATCH($A27,'Batch Enrollment (Metabase)'!$A$2:$A$47,0)),""))</f>
        <v/>
      </c>
      <c r="D27" s="3">
        <f>IF($A27="","",IFERROR(INDEX('Batch Enrollment (Metabase)'!$F$2:$F$47,MATCH($A27,'Batch Enrollment (Metabase)'!$A$2:$A$47,0)),""))</f>
        <v/>
      </c>
      <c r="E27" s="3">
        <f>IF($A27="","",COUNTIFS('Picked Students (raw)'!$B$2:$B$824,$A27,'Picked Students (raw)'!$E$2:$E$824,"Fresher"))</f>
        <v/>
      </c>
      <c r="F27" s="3">
        <f>IF($A27="","",IF($B27="","",IF(TODAY()&lt;$B27+30,"-",SUMPRODUCT(('Picked Students (raw)'!$B$2:$B$824=$A27)*('Picked Students (raw)'!$E$2:$E$824="Fresher")*('Picked Students (raw)'!$C$2:$C$824&lt;&gt;"")*(('Picked Students (raw)'!$C$2:$C$824-$B27)&lt;30)))))</f>
        <v/>
      </c>
      <c r="G27" s="5">
        <f>IF($A27="","",IF(F27="-","-",IF($D27=0,0,F27/$D27)))</f>
        <v/>
      </c>
      <c r="H27" s="3">
        <f>IF($A27="","",IF($B27="","",IF(TODAY()&lt;$B27+60,"-",SUMPRODUCT(('Picked Students (raw)'!$B$2:$B$824=$A27)*('Picked Students (raw)'!$E$2:$E$824="Fresher")*('Picked Students (raw)'!$C$2:$C$824&lt;&gt;"")*(('Picked Students (raw)'!$C$2:$C$824-$B27)&lt;60)))))</f>
        <v/>
      </c>
      <c r="I27" s="5">
        <f>IF($A27="","",IF(H27="-","-",IF($D27=0,0,H27/$D27)))</f>
        <v/>
      </c>
      <c r="J27" s="3">
        <f>IF($A27="","",IF($B27="","",IF(TODAY()&lt;$B27+90,"-",SUMPRODUCT(('Picked Students (raw)'!$B$2:$B$824=$A27)*('Picked Students (raw)'!$E$2:$E$824="Fresher")*('Picked Students (raw)'!$C$2:$C$824&lt;&gt;"")*(('Picked Students (raw)'!$C$2:$C$824-$B27)&lt;90)))))</f>
        <v/>
      </c>
      <c r="K27" s="5">
        <f>IF($A27="","",IF(J27="-","-",IF($D27=0,0,J27/$D27)))</f>
        <v/>
      </c>
      <c r="L27" s="3">
        <f>IF($A27="","",IF($B27="","",IF(TODAY()&lt;$B27+120,"-",SUMPRODUCT(('Picked Students (raw)'!$B$2:$B$824=$A27)*('Picked Students (raw)'!$E$2:$E$824="Fresher")*('Picked Students (raw)'!$C$2:$C$824&lt;&gt;"")*(('Picked Students (raw)'!$C$2:$C$824-$B27)&lt;120)))))</f>
        <v/>
      </c>
      <c r="M27" s="5">
        <f>IF($A27="","",IF(L27="-","-",IF($D27=0,0,L27/$D27)))</f>
        <v/>
      </c>
      <c r="N27" s="3">
        <f>IF($A27="","",IF($B27="","",IF(TODAY()&lt;$B27+150,"-",SUMPRODUCT(('Picked Students (raw)'!$B$2:$B$824=$A27)*('Picked Students (raw)'!$E$2:$E$824="Fresher")*('Picked Students (raw)'!$C$2:$C$824&lt;&gt;"")*(('Picked Students (raw)'!$C$2:$C$824-$B27)&lt;150)))))</f>
        <v/>
      </c>
      <c r="O27" s="5">
        <f>IF($A27="","",IF(N27="-","-",IF($D27=0,0,N27/$D27)))</f>
        <v/>
      </c>
      <c r="P27" s="3">
        <f>IF($A27="","",IF($B27="","",IF(TODAY()&lt;$B27+180,"-",SUMPRODUCT(('Picked Students (raw)'!$B$2:$B$824=$A27)*('Picked Students (raw)'!$E$2:$E$824="Fresher")*('Picked Students (raw)'!$C$2:$C$824&lt;&gt;"")*(('Picked Students (raw)'!$C$2:$C$824-$B27)&lt;180)))))</f>
        <v/>
      </c>
      <c r="Q27" s="5">
        <f>IF($A27="","",IF(P27="-","-",IF($D27=0,0,P27/$D27)))</f>
        <v/>
      </c>
      <c r="R27" s="3">
        <f>IF($A27="","",IF($B27="","",IF(TODAY()&lt;$B27+210,"-",SUMPRODUCT(('Picked Students (raw)'!$B$2:$B$824=$A27)*('Picked Students (raw)'!$E$2:$E$824="Fresher")*('Picked Students (raw)'!$C$2:$C$824&lt;&gt;"")*(('Picked Students (raw)'!$C$2:$C$824-$B27)&lt;210)))))</f>
        <v/>
      </c>
      <c r="S27" s="5">
        <f>IF($A27="","",IF(R27="-","-",IF($D27=0,0,R27/$D27)))</f>
        <v/>
      </c>
      <c r="T27" s="3">
        <f>IF($A27="","",IF($B27="","",IF(TODAY()&lt;$B27+240,"-",SUMPRODUCT(('Picked Students (raw)'!$B$2:$B$824=$A27)*('Picked Students (raw)'!$E$2:$E$824="Fresher")*('Picked Students (raw)'!$C$2:$C$824&lt;&gt;"")*(('Picked Students (raw)'!$C$2:$C$824-$B27)&lt;240)))))</f>
        <v/>
      </c>
      <c r="U27" s="5">
        <f>IF($A27="","",IF(T27="-","-",IF($D27=0,0,T27/$D27)))</f>
        <v/>
      </c>
      <c r="V27" s="3">
        <f>IF($A27="","",IF($B27="","",IF(TODAY()&lt;$B27+270,"-",SUMPRODUCT(('Picked Students (raw)'!$B$2:$B$824=$A27)*('Picked Students (raw)'!$E$2:$E$824="Fresher")*('Picked Students (raw)'!$C$2:$C$824&lt;&gt;"")*(('Picked Students (raw)'!$C$2:$C$824-$B27)&lt;270)))))</f>
        <v/>
      </c>
      <c r="W27" s="5">
        <f>IF($A27="","",IF(V27="-","-",IF($D27=0,0,V27/$D27)))</f>
        <v/>
      </c>
      <c r="X27" s="3">
        <f>IF($A27="","",IF($B27="","",IF(TODAY()&lt;$B27+300,"-",SUMPRODUCT(('Picked Students (raw)'!$B$2:$B$824=$A27)*('Picked Students (raw)'!$E$2:$E$824="Fresher")*('Picked Students (raw)'!$C$2:$C$824&lt;&gt;"")*(('Picked Students (raw)'!$C$2:$C$824-$B27)&lt;300)))))</f>
        <v/>
      </c>
      <c r="Y27" s="5">
        <f>IF($A27="","",IF(X27="-","-",IF($D27=0,0,X27/$D27)))</f>
        <v/>
      </c>
      <c r="Z27" s="3">
        <f>IF($A27="","",IF($B27="","",IF(TODAY()&lt;$B27+330,"-",SUMPRODUCT(('Picked Students (raw)'!$B$2:$B$824=$A27)*('Picked Students (raw)'!$E$2:$E$824="Fresher")*('Picked Students (raw)'!$C$2:$C$824&lt;&gt;"")*(('Picked Students (raw)'!$C$2:$C$824-$B27)&lt;330)))))</f>
        <v/>
      </c>
      <c r="AA27" s="5">
        <f>IF($A27="","",IF(Z27="-","-",IF($D27=0,0,Z27/$D27)))</f>
        <v/>
      </c>
      <c r="AB27" s="3">
        <f>IF($A27="","",IF($B27="","",IF(TODAY()&lt;$B27+360,"-",SUMPRODUCT(('Picked Students (raw)'!$B$2:$B$824=$A27)*('Picked Students (raw)'!$E$2:$E$824="Fresher")*('Picked Students (raw)'!$C$2:$C$824&lt;&gt;"")*(('Picked Students (raw)'!$C$2:$C$824-$B27)&lt;360)))))</f>
        <v/>
      </c>
      <c r="AC27" s="5">
        <f>IF($A27="","",IF(AB27="-","-",IF($D27=0,0,AB27/$D27)))</f>
        <v/>
      </c>
      <c r="AD27" s="3">
        <f>IF($A27="","",IF($B27="","",IF(TODAY()&lt;$B27+390,"-",SUMPRODUCT(('Picked Students (raw)'!$B$2:$B$824=$A27)*('Picked Students (raw)'!$E$2:$E$824="Fresher")*('Picked Students (raw)'!$C$2:$C$824&lt;&gt;"")*(('Picked Students (raw)'!$C$2:$C$824-$B27)&lt;390)))))</f>
        <v/>
      </c>
      <c r="AE27" s="5">
        <f>IF($A27="","",IF(AD27="-","-",IF($D27=0,0,AD27/$D27)))</f>
        <v/>
      </c>
      <c r="AF27" s="3">
        <f>IF($A27="","",IF($B27="","",IF(TODAY()&lt;$B27+420,"-",SUMPRODUCT(('Picked Students (raw)'!$B$2:$B$824=$A27)*('Picked Students (raw)'!$E$2:$E$824="Fresher")*('Picked Students (raw)'!$C$2:$C$824&lt;&gt;"")*(('Picked Students (raw)'!$C$2:$C$824-$B27)&lt;420)))))</f>
        <v/>
      </c>
      <c r="AG27" s="5">
        <f>IF($A27="","",IF(AF27="-","-",IF($D27=0,0,AF27/$D27)))</f>
        <v/>
      </c>
      <c r="AH27" s="3">
        <f>IF($A27="","",IF($B27="","",IF(TODAY()&lt;$B27+450,"-",SUMPRODUCT(('Picked Students (raw)'!$B$2:$B$824=$A27)*('Picked Students (raw)'!$E$2:$E$824="Fresher")*('Picked Students (raw)'!$C$2:$C$824&lt;&gt;"")*(('Picked Students (raw)'!$C$2:$C$824-$B27)&lt;450)))))</f>
        <v/>
      </c>
      <c r="AI27" s="5">
        <f>IF($A27="","",IF(AH27="-","-",IF($D27=0,0,AH27/$D27)))</f>
        <v/>
      </c>
      <c r="AJ27" s="3">
        <f>IF($A27="","",IF($B27="","",IF(TODAY()&lt;$B27+480,"-",SUMPRODUCT(('Picked Students (raw)'!$B$2:$B$824=$A27)*('Picked Students (raw)'!$E$2:$E$824="Fresher")*('Picked Students (raw)'!$C$2:$C$824&lt;&gt;"")*(('Picked Students (raw)'!$C$2:$C$824-$B27)&lt;480)))))</f>
        <v/>
      </c>
      <c r="AK27" s="5">
        <f>IF($A27="","",IF(AJ27="-","-",IF($D27=0,0,AJ27/$D27)))</f>
        <v/>
      </c>
      <c r="AL27" s="3">
        <f>IF($A27="","",IF($B27="","",IF(TODAY()&lt;$B27+510,"-",SUMPRODUCT(('Picked Students (raw)'!$B$2:$B$824=$A27)*('Picked Students (raw)'!$E$2:$E$824="Fresher")*('Picked Students (raw)'!$C$2:$C$824&lt;&gt;"")*(('Picked Students (raw)'!$C$2:$C$824-$B27)&lt;510)))))</f>
        <v/>
      </c>
      <c r="AM27" s="5">
        <f>IF($A27="","",IF(AL27="-","-",IF($D27=0,0,AL27/$D27)))</f>
        <v/>
      </c>
      <c r="AN27" s="3">
        <f>IF($A27="","",IF($B27="","",IF(TODAY()&lt;$B27+540,"-",SUMPRODUCT(('Picked Students (raw)'!$B$2:$B$824=$A27)*('Picked Students (raw)'!$E$2:$E$824="Fresher")*('Picked Students (raw)'!$C$2:$C$824&lt;&gt;"")*(('Picked Students (raw)'!$C$2:$C$824-$B27)&lt;540)))))</f>
        <v/>
      </c>
      <c r="AO27" s="5">
        <f>IF($A27="","",IF(AN27="-","-",IF($D27=0,0,AN27/$D27)))</f>
        <v/>
      </c>
      <c r="AP27" s="3">
        <f>IF($A27="","",IF(AN27="-","-",$E27-AN27))</f>
        <v/>
      </c>
    </row>
    <row r="28">
      <c r="A28" s="3" t="inlineStr">
        <is>
          <t>Professional Certificate Course In Data Science - March 2025</t>
        </is>
      </c>
      <c r="B28" s="4">
        <f>IF($A28="","",IFERROR(INDEX('Batch Enrollment (Metabase)'!$D$2:$D$47,MATCH($A28,'Batch Enrollment (Metabase)'!$A$2:$A$47,0)),""))</f>
        <v/>
      </c>
      <c r="C28" s="3">
        <f>IF($A28="","",IFERROR(INDEX('Batch Enrollment (Metabase)'!$E$2:$E$47,MATCH($A28,'Batch Enrollment (Metabase)'!$A$2:$A$47,0)),""))</f>
        <v/>
      </c>
      <c r="D28" s="3">
        <f>IF($A28="","",IFERROR(INDEX('Batch Enrollment (Metabase)'!$F$2:$F$47,MATCH($A28,'Batch Enrollment (Metabase)'!$A$2:$A$47,0)),""))</f>
        <v/>
      </c>
      <c r="E28" s="3">
        <f>IF($A28="","",COUNTIFS('Picked Students (raw)'!$B$2:$B$824,$A28,'Picked Students (raw)'!$E$2:$E$824,"Fresher"))</f>
        <v/>
      </c>
      <c r="F28" s="3">
        <f>IF($A28="","",IF($B28="","",IF(TODAY()&lt;$B28+30,"-",SUMPRODUCT(('Picked Students (raw)'!$B$2:$B$824=$A28)*('Picked Students (raw)'!$E$2:$E$824="Fresher")*('Picked Students (raw)'!$C$2:$C$824&lt;&gt;"")*(('Picked Students (raw)'!$C$2:$C$824-$B28)&lt;30)))))</f>
        <v/>
      </c>
      <c r="G28" s="5">
        <f>IF($A28="","",IF(F28="-","-",IF($D28=0,0,F28/$D28)))</f>
        <v/>
      </c>
      <c r="H28" s="3">
        <f>IF($A28="","",IF($B28="","",IF(TODAY()&lt;$B28+60,"-",SUMPRODUCT(('Picked Students (raw)'!$B$2:$B$824=$A28)*('Picked Students (raw)'!$E$2:$E$824="Fresher")*('Picked Students (raw)'!$C$2:$C$824&lt;&gt;"")*(('Picked Students (raw)'!$C$2:$C$824-$B28)&lt;60)))))</f>
        <v/>
      </c>
      <c r="I28" s="5">
        <f>IF($A28="","",IF(H28="-","-",IF($D28=0,0,H28/$D28)))</f>
        <v/>
      </c>
      <c r="J28" s="3">
        <f>IF($A28="","",IF($B28="","",IF(TODAY()&lt;$B28+90,"-",SUMPRODUCT(('Picked Students (raw)'!$B$2:$B$824=$A28)*('Picked Students (raw)'!$E$2:$E$824="Fresher")*('Picked Students (raw)'!$C$2:$C$824&lt;&gt;"")*(('Picked Students (raw)'!$C$2:$C$824-$B28)&lt;90)))))</f>
        <v/>
      </c>
      <c r="K28" s="5">
        <f>IF($A28="","",IF(J28="-","-",IF($D28=0,0,J28/$D28)))</f>
        <v/>
      </c>
      <c r="L28" s="3">
        <f>IF($A28="","",IF($B28="","",IF(TODAY()&lt;$B28+120,"-",SUMPRODUCT(('Picked Students (raw)'!$B$2:$B$824=$A28)*('Picked Students (raw)'!$E$2:$E$824="Fresher")*('Picked Students (raw)'!$C$2:$C$824&lt;&gt;"")*(('Picked Students (raw)'!$C$2:$C$824-$B28)&lt;120)))))</f>
        <v/>
      </c>
      <c r="M28" s="5">
        <f>IF($A28="","",IF(L28="-","-",IF($D28=0,0,L28/$D28)))</f>
        <v/>
      </c>
      <c r="N28" s="3">
        <f>IF($A28="","",IF($B28="","",IF(TODAY()&lt;$B28+150,"-",SUMPRODUCT(('Picked Students (raw)'!$B$2:$B$824=$A28)*('Picked Students (raw)'!$E$2:$E$824="Fresher")*('Picked Students (raw)'!$C$2:$C$824&lt;&gt;"")*(('Picked Students (raw)'!$C$2:$C$824-$B28)&lt;150)))))</f>
        <v/>
      </c>
      <c r="O28" s="5">
        <f>IF($A28="","",IF(N28="-","-",IF($D28=0,0,N28/$D28)))</f>
        <v/>
      </c>
      <c r="P28" s="3">
        <f>IF($A28="","",IF($B28="","",IF(TODAY()&lt;$B28+180,"-",SUMPRODUCT(('Picked Students (raw)'!$B$2:$B$824=$A28)*('Picked Students (raw)'!$E$2:$E$824="Fresher")*('Picked Students (raw)'!$C$2:$C$824&lt;&gt;"")*(('Picked Students (raw)'!$C$2:$C$824-$B28)&lt;180)))))</f>
        <v/>
      </c>
      <c r="Q28" s="5">
        <f>IF($A28="","",IF(P28="-","-",IF($D28=0,0,P28/$D28)))</f>
        <v/>
      </c>
      <c r="R28" s="3">
        <f>IF($A28="","",IF($B28="","",IF(TODAY()&lt;$B28+210,"-",SUMPRODUCT(('Picked Students (raw)'!$B$2:$B$824=$A28)*('Picked Students (raw)'!$E$2:$E$824="Fresher")*('Picked Students (raw)'!$C$2:$C$824&lt;&gt;"")*(('Picked Students (raw)'!$C$2:$C$824-$B28)&lt;210)))))</f>
        <v/>
      </c>
      <c r="S28" s="5">
        <f>IF($A28="","",IF(R28="-","-",IF($D28=0,0,R28/$D28)))</f>
        <v/>
      </c>
      <c r="T28" s="3">
        <f>IF($A28="","",IF($B28="","",IF(TODAY()&lt;$B28+240,"-",SUMPRODUCT(('Picked Students (raw)'!$B$2:$B$824=$A28)*('Picked Students (raw)'!$E$2:$E$824="Fresher")*('Picked Students (raw)'!$C$2:$C$824&lt;&gt;"")*(('Picked Students (raw)'!$C$2:$C$824-$B28)&lt;240)))))</f>
        <v/>
      </c>
      <c r="U28" s="5">
        <f>IF($A28="","",IF(T28="-","-",IF($D28=0,0,T28/$D28)))</f>
        <v/>
      </c>
      <c r="V28" s="3">
        <f>IF($A28="","",IF($B28="","",IF(TODAY()&lt;$B28+270,"-",SUMPRODUCT(('Picked Students (raw)'!$B$2:$B$824=$A28)*('Picked Students (raw)'!$E$2:$E$824="Fresher")*('Picked Students (raw)'!$C$2:$C$824&lt;&gt;"")*(('Picked Students (raw)'!$C$2:$C$824-$B28)&lt;270)))))</f>
        <v/>
      </c>
      <c r="W28" s="5">
        <f>IF($A28="","",IF(V28="-","-",IF($D28=0,0,V28/$D28)))</f>
        <v/>
      </c>
      <c r="X28" s="3">
        <f>IF($A28="","",IF($B28="","",IF(TODAY()&lt;$B28+300,"-",SUMPRODUCT(('Picked Students (raw)'!$B$2:$B$824=$A28)*('Picked Students (raw)'!$E$2:$E$824="Fresher")*('Picked Students (raw)'!$C$2:$C$824&lt;&gt;"")*(('Picked Students (raw)'!$C$2:$C$824-$B28)&lt;300)))))</f>
        <v/>
      </c>
      <c r="Y28" s="5">
        <f>IF($A28="","",IF(X28="-","-",IF($D28=0,0,X28/$D28)))</f>
        <v/>
      </c>
      <c r="Z28" s="3">
        <f>IF($A28="","",IF($B28="","",IF(TODAY()&lt;$B28+330,"-",SUMPRODUCT(('Picked Students (raw)'!$B$2:$B$824=$A28)*('Picked Students (raw)'!$E$2:$E$824="Fresher")*('Picked Students (raw)'!$C$2:$C$824&lt;&gt;"")*(('Picked Students (raw)'!$C$2:$C$824-$B28)&lt;330)))))</f>
        <v/>
      </c>
      <c r="AA28" s="5">
        <f>IF($A28="","",IF(Z28="-","-",IF($D28=0,0,Z28/$D28)))</f>
        <v/>
      </c>
      <c r="AB28" s="3">
        <f>IF($A28="","",IF($B28="","",IF(TODAY()&lt;$B28+360,"-",SUMPRODUCT(('Picked Students (raw)'!$B$2:$B$824=$A28)*('Picked Students (raw)'!$E$2:$E$824="Fresher")*('Picked Students (raw)'!$C$2:$C$824&lt;&gt;"")*(('Picked Students (raw)'!$C$2:$C$824-$B28)&lt;360)))))</f>
        <v/>
      </c>
      <c r="AC28" s="5">
        <f>IF($A28="","",IF(AB28="-","-",IF($D28=0,0,AB28/$D28)))</f>
        <v/>
      </c>
      <c r="AD28" s="3">
        <f>IF($A28="","",IF($B28="","",IF(TODAY()&lt;$B28+390,"-",SUMPRODUCT(('Picked Students (raw)'!$B$2:$B$824=$A28)*('Picked Students (raw)'!$E$2:$E$824="Fresher")*('Picked Students (raw)'!$C$2:$C$824&lt;&gt;"")*(('Picked Students (raw)'!$C$2:$C$824-$B28)&lt;390)))))</f>
        <v/>
      </c>
      <c r="AE28" s="5">
        <f>IF($A28="","",IF(AD28="-","-",IF($D28=0,0,AD28/$D28)))</f>
        <v/>
      </c>
      <c r="AF28" s="3">
        <f>IF($A28="","",IF($B28="","",IF(TODAY()&lt;$B28+420,"-",SUMPRODUCT(('Picked Students (raw)'!$B$2:$B$824=$A28)*('Picked Students (raw)'!$E$2:$E$824="Fresher")*('Picked Students (raw)'!$C$2:$C$824&lt;&gt;"")*(('Picked Students (raw)'!$C$2:$C$824-$B28)&lt;420)))))</f>
        <v/>
      </c>
      <c r="AG28" s="5">
        <f>IF($A28="","",IF(AF28="-","-",IF($D28=0,0,AF28/$D28)))</f>
        <v/>
      </c>
      <c r="AH28" s="3">
        <f>IF($A28="","",IF($B28="","",IF(TODAY()&lt;$B28+450,"-",SUMPRODUCT(('Picked Students (raw)'!$B$2:$B$824=$A28)*('Picked Students (raw)'!$E$2:$E$824="Fresher")*('Picked Students (raw)'!$C$2:$C$824&lt;&gt;"")*(('Picked Students (raw)'!$C$2:$C$824-$B28)&lt;450)))))</f>
        <v/>
      </c>
      <c r="AI28" s="5">
        <f>IF($A28="","",IF(AH28="-","-",IF($D28=0,0,AH28/$D28)))</f>
        <v/>
      </c>
      <c r="AJ28" s="3">
        <f>IF($A28="","",IF($B28="","",IF(TODAY()&lt;$B28+480,"-",SUMPRODUCT(('Picked Students (raw)'!$B$2:$B$824=$A28)*('Picked Students (raw)'!$E$2:$E$824="Fresher")*('Picked Students (raw)'!$C$2:$C$824&lt;&gt;"")*(('Picked Students (raw)'!$C$2:$C$824-$B28)&lt;480)))))</f>
        <v/>
      </c>
      <c r="AK28" s="5">
        <f>IF($A28="","",IF(AJ28="-","-",IF($D28=0,0,AJ28/$D28)))</f>
        <v/>
      </c>
      <c r="AL28" s="3">
        <f>IF($A28="","",IF($B28="","",IF(TODAY()&lt;$B28+510,"-",SUMPRODUCT(('Picked Students (raw)'!$B$2:$B$824=$A28)*('Picked Students (raw)'!$E$2:$E$824="Fresher")*('Picked Students (raw)'!$C$2:$C$824&lt;&gt;"")*(('Picked Students (raw)'!$C$2:$C$824-$B28)&lt;510)))))</f>
        <v/>
      </c>
      <c r="AM28" s="5">
        <f>IF($A28="","",IF(AL28="-","-",IF($D28=0,0,AL28/$D28)))</f>
        <v/>
      </c>
      <c r="AN28" s="3">
        <f>IF($A28="","",IF($B28="","",IF(TODAY()&lt;$B28+540,"-",SUMPRODUCT(('Picked Students (raw)'!$B$2:$B$824=$A28)*('Picked Students (raw)'!$E$2:$E$824="Fresher")*('Picked Students (raw)'!$C$2:$C$824&lt;&gt;"")*(('Picked Students (raw)'!$C$2:$C$824-$B28)&lt;540)))))</f>
        <v/>
      </c>
      <c r="AO28" s="5">
        <f>IF($A28="","",IF(AN28="-","-",IF($D28=0,0,AN28/$D28)))</f>
        <v/>
      </c>
      <c r="AP28" s="3">
        <f>IF($A28="","",IF(AN28="-","-",$E28-AN28))</f>
        <v/>
      </c>
    </row>
    <row r="29">
      <c r="A29" s="3" t="inlineStr">
        <is>
          <t>Professional Certificate Course In Data Science - April 2025</t>
        </is>
      </c>
      <c r="B29" s="4">
        <f>IF($A29="","",IFERROR(INDEX('Batch Enrollment (Metabase)'!$D$2:$D$47,MATCH($A29,'Batch Enrollment (Metabase)'!$A$2:$A$47,0)),""))</f>
        <v/>
      </c>
      <c r="C29" s="3">
        <f>IF($A29="","",IFERROR(INDEX('Batch Enrollment (Metabase)'!$E$2:$E$47,MATCH($A29,'Batch Enrollment (Metabase)'!$A$2:$A$47,0)),""))</f>
        <v/>
      </c>
      <c r="D29" s="3">
        <f>IF($A29="","",IFERROR(INDEX('Batch Enrollment (Metabase)'!$F$2:$F$47,MATCH($A29,'Batch Enrollment (Metabase)'!$A$2:$A$47,0)),""))</f>
        <v/>
      </c>
      <c r="E29" s="3">
        <f>IF($A29="","",COUNTIFS('Picked Students (raw)'!$B$2:$B$824,$A29,'Picked Students (raw)'!$E$2:$E$824,"Fresher"))</f>
        <v/>
      </c>
      <c r="F29" s="3">
        <f>IF($A29="","",IF($B29="","",IF(TODAY()&lt;$B29+30,"-",SUMPRODUCT(('Picked Students (raw)'!$B$2:$B$824=$A29)*('Picked Students (raw)'!$E$2:$E$824="Fresher")*('Picked Students (raw)'!$C$2:$C$824&lt;&gt;"")*(('Picked Students (raw)'!$C$2:$C$824-$B29)&lt;30)))))</f>
        <v/>
      </c>
      <c r="G29" s="5">
        <f>IF($A29="","",IF(F29="-","-",IF($D29=0,0,F29/$D29)))</f>
        <v/>
      </c>
      <c r="H29" s="3">
        <f>IF($A29="","",IF($B29="","",IF(TODAY()&lt;$B29+60,"-",SUMPRODUCT(('Picked Students (raw)'!$B$2:$B$824=$A29)*('Picked Students (raw)'!$E$2:$E$824="Fresher")*('Picked Students (raw)'!$C$2:$C$824&lt;&gt;"")*(('Picked Students (raw)'!$C$2:$C$824-$B29)&lt;60)))))</f>
        <v/>
      </c>
      <c r="I29" s="5">
        <f>IF($A29="","",IF(H29="-","-",IF($D29=0,0,H29/$D29)))</f>
        <v/>
      </c>
      <c r="J29" s="3">
        <f>IF($A29="","",IF($B29="","",IF(TODAY()&lt;$B29+90,"-",SUMPRODUCT(('Picked Students (raw)'!$B$2:$B$824=$A29)*('Picked Students (raw)'!$E$2:$E$824="Fresher")*('Picked Students (raw)'!$C$2:$C$824&lt;&gt;"")*(('Picked Students (raw)'!$C$2:$C$824-$B29)&lt;90)))))</f>
        <v/>
      </c>
      <c r="K29" s="5">
        <f>IF($A29="","",IF(J29="-","-",IF($D29=0,0,J29/$D29)))</f>
        <v/>
      </c>
      <c r="L29" s="3">
        <f>IF($A29="","",IF($B29="","",IF(TODAY()&lt;$B29+120,"-",SUMPRODUCT(('Picked Students (raw)'!$B$2:$B$824=$A29)*('Picked Students (raw)'!$E$2:$E$824="Fresher")*('Picked Students (raw)'!$C$2:$C$824&lt;&gt;"")*(('Picked Students (raw)'!$C$2:$C$824-$B29)&lt;120)))))</f>
        <v/>
      </c>
      <c r="M29" s="5">
        <f>IF($A29="","",IF(L29="-","-",IF($D29=0,0,L29/$D29)))</f>
        <v/>
      </c>
      <c r="N29" s="3">
        <f>IF($A29="","",IF($B29="","",IF(TODAY()&lt;$B29+150,"-",SUMPRODUCT(('Picked Students (raw)'!$B$2:$B$824=$A29)*('Picked Students (raw)'!$E$2:$E$824="Fresher")*('Picked Students (raw)'!$C$2:$C$824&lt;&gt;"")*(('Picked Students (raw)'!$C$2:$C$824-$B29)&lt;150)))))</f>
        <v/>
      </c>
      <c r="O29" s="5">
        <f>IF($A29="","",IF(N29="-","-",IF($D29=0,0,N29/$D29)))</f>
        <v/>
      </c>
      <c r="P29" s="3">
        <f>IF($A29="","",IF($B29="","",IF(TODAY()&lt;$B29+180,"-",SUMPRODUCT(('Picked Students (raw)'!$B$2:$B$824=$A29)*('Picked Students (raw)'!$E$2:$E$824="Fresher")*('Picked Students (raw)'!$C$2:$C$824&lt;&gt;"")*(('Picked Students (raw)'!$C$2:$C$824-$B29)&lt;180)))))</f>
        <v/>
      </c>
      <c r="Q29" s="5">
        <f>IF($A29="","",IF(P29="-","-",IF($D29=0,0,P29/$D29)))</f>
        <v/>
      </c>
      <c r="R29" s="3">
        <f>IF($A29="","",IF($B29="","",IF(TODAY()&lt;$B29+210,"-",SUMPRODUCT(('Picked Students (raw)'!$B$2:$B$824=$A29)*('Picked Students (raw)'!$E$2:$E$824="Fresher")*('Picked Students (raw)'!$C$2:$C$824&lt;&gt;"")*(('Picked Students (raw)'!$C$2:$C$824-$B29)&lt;210)))))</f>
        <v/>
      </c>
      <c r="S29" s="5">
        <f>IF($A29="","",IF(R29="-","-",IF($D29=0,0,R29/$D29)))</f>
        <v/>
      </c>
      <c r="T29" s="3">
        <f>IF($A29="","",IF($B29="","",IF(TODAY()&lt;$B29+240,"-",SUMPRODUCT(('Picked Students (raw)'!$B$2:$B$824=$A29)*('Picked Students (raw)'!$E$2:$E$824="Fresher")*('Picked Students (raw)'!$C$2:$C$824&lt;&gt;"")*(('Picked Students (raw)'!$C$2:$C$824-$B29)&lt;240)))))</f>
        <v/>
      </c>
      <c r="U29" s="5">
        <f>IF($A29="","",IF(T29="-","-",IF($D29=0,0,T29/$D29)))</f>
        <v/>
      </c>
      <c r="V29" s="3">
        <f>IF($A29="","",IF($B29="","",IF(TODAY()&lt;$B29+270,"-",SUMPRODUCT(('Picked Students (raw)'!$B$2:$B$824=$A29)*('Picked Students (raw)'!$E$2:$E$824="Fresher")*('Picked Students (raw)'!$C$2:$C$824&lt;&gt;"")*(('Picked Students (raw)'!$C$2:$C$824-$B29)&lt;270)))))</f>
        <v/>
      </c>
      <c r="W29" s="5">
        <f>IF($A29="","",IF(V29="-","-",IF($D29=0,0,V29/$D29)))</f>
        <v/>
      </c>
      <c r="X29" s="3">
        <f>IF($A29="","",IF($B29="","",IF(TODAY()&lt;$B29+300,"-",SUMPRODUCT(('Picked Students (raw)'!$B$2:$B$824=$A29)*('Picked Students (raw)'!$E$2:$E$824="Fresher")*('Picked Students (raw)'!$C$2:$C$824&lt;&gt;"")*(('Picked Students (raw)'!$C$2:$C$824-$B29)&lt;300)))))</f>
        <v/>
      </c>
      <c r="Y29" s="5">
        <f>IF($A29="","",IF(X29="-","-",IF($D29=0,0,X29/$D29)))</f>
        <v/>
      </c>
      <c r="Z29" s="3">
        <f>IF($A29="","",IF($B29="","",IF(TODAY()&lt;$B29+330,"-",SUMPRODUCT(('Picked Students (raw)'!$B$2:$B$824=$A29)*('Picked Students (raw)'!$E$2:$E$824="Fresher")*('Picked Students (raw)'!$C$2:$C$824&lt;&gt;"")*(('Picked Students (raw)'!$C$2:$C$824-$B29)&lt;330)))))</f>
        <v/>
      </c>
      <c r="AA29" s="5">
        <f>IF($A29="","",IF(Z29="-","-",IF($D29=0,0,Z29/$D29)))</f>
        <v/>
      </c>
      <c r="AB29" s="3">
        <f>IF($A29="","",IF($B29="","",IF(TODAY()&lt;$B29+360,"-",SUMPRODUCT(('Picked Students (raw)'!$B$2:$B$824=$A29)*('Picked Students (raw)'!$E$2:$E$824="Fresher")*('Picked Students (raw)'!$C$2:$C$824&lt;&gt;"")*(('Picked Students (raw)'!$C$2:$C$824-$B29)&lt;360)))))</f>
        <v/>
      </c>
      <c r="AC29" s="5">
        <f>IF($A29="","",IF(AB29="-","-",IF($D29=0,0,AB29/$D29)))</f>
        <v/>
      </c>
      <c r="AD29" s="3">
        <f>IF($A29="","",IF($B29="","",IF(TODAY()&lt;$B29+390,"-",SUMPRODUCT(('Picked Students (raw)'!$B$2:$B$824=$A29)*('Picked Students (raw)'!$E$2:$E$824="Fresher")*('Picked Students (raw)'!$C$2:$C$824&lt;&gt;"")*(('Picked Students (raw)'!$C$2:$C$824-$B29)&lt;390)))))</f>
        <v/>
      </c>
      <c r="AE29" s="5">
        <f>IF($A29="","",IF(AD29="-","-",IF($D29=0,0,AD29/$D29)))</f>
        <v/>
      </c>
      <c r="AF29" s="3">
        <f>IF($A29="","",IF($B29="","",IF(TODAY()&lt;$B29+420,"-",SUMPRODUCT(('Picked Students (raw)'!$B$2:$B$824=$A29)*('Picked Students (raw)'!$E$2:$E$824="Fresher")*('Picked Students (raw)'!$C$2:$C$824&lt;&gt;"")*(('Picked Students (raw)'!$C$2:$C$824-$B29)&lt;420)))))</f>
        <v/>
      </c>
      <c r="AG29" s="5">
        <f>IF($A29="","",IF(AF29="-","-",IF($D29=0,0,AF29/$D29)))</f>
        <v/>
      </c>
      <c r="AH29" s="3">
        <f>IF($A29="","",IF($B29="","",IF(TODAY()&lt;$B29+450,"-",SUMPRODUCT(('Picked Students (raw)'!$B$2:$B$824=$A29)*('Picked Students (raw)'!$E$2:$E$824="Fresher")*('Picked Students (raw)'!$C$2:$C$824&lt;&gt;"")*(('Picked Students (raw)'!$C$2:$C$824-$B29)&lt;450)))))</f>
        <v/>
      </c>
      <c r="AI29" s="5">
        <f>IF($A29="","",IF(AH29="-","-",IF($D29=0,0,AH29/$D29)))</f>
        <v/>
      </c>
      <c r="AJ29" s="3">
        <f>IF($A29="","",IF($B29="","",IF(TODAY()&lt;$B29+480,"-",SUMPRODUCT(('Picked Students (raw)'!$B$2:$B$824=$A29)*('Picked Students (raw)'!$E$2:$E$824="Fresher")*('Picked Students (raw)'!$C$2:$C$824&lt;&gt;"")*(('Picked Students (raw)'!$C$2:$C$824-$B29)&lt;480)))))</f>
        <v/>
      </c>
      <c r="AK29" s="5">
        <f>IF($A29="","",IF(AJ29="-","-",IF($D29=0,0,AJ29/$D29)))</f>
        <v/>
      </c>
      <c r="AL29" s="3">
        <f>IF($A29="","",IF($B29="","",IF(TODAY()&lt;$B29+510,"-",SUMPRODUCT(('Picked Students (raw)'!$B$2:$B$824=$A29)*('Picked Students (raw)'!$E$2:$E$824="Fresher")*('Picked Students (raw)'!$C$2:$C$824&lt;&gt;"")*(('Picked Students (raw)'!$C$2:$C$824-$B29)&lt;510)))))</f>
        <v/>
      </c>
      <c r="AM29" s="5">
        <f>IF($A29="","",IF(AL29="-","-",IF($D29=0,0,AL29/$D29)))</f>
        <v/>
      </c>
      <c r="AN29" s="3">
        <f>IF($A29="","",IF($B29="","",IF(TODAY()&lt;$B29+540,"-",SUMPRODUCT(('Picked Students (raw)'!$B$2:$B$824=$A29)*('Picked Students (raw)'!$E$2:$E$824="Fresher")*('Picked Students (raw)'!$C$2:$C$824&lt;&gt;"")*(('Picked Students (raw)'!$C$2:$C$824-$B29)&lt;540)))))</f>
        <v/>
      </c>
      <c r="AO29" s="5">
        <f>IF($A29="","",IF(AN29="-","-",IF($D29=0,0,AN29/$D29)))</f>
        <v/>
      </c>
      <c r="AP29" s="3">
        <f>IF($A29="","",IF(AN29="-","-",$E29-AN29))</f>
        <v/>
      </c>
    </row>
    <row r="30">
      <c r="A30" s="3" t="inlineStr">
        <is>
          <t>Professional Certificate Course In Data Science - May 2025</t>
        </is>
      </c>
      <c r="B30" s="4">
        <f>IF($A30="","",IFERROR(INDEX('Batch Enrollment (Metabase)'!$D$2:$D$47,MATCH($A30,'Batch Enrollment (Metabase)'!$A$2:$A$47,0)),""))</f>
        <v/>
      </c>
      <c r="C30" s="3">
        <f>IF($A30="","",IFERROR(INDEX('Batch Enrollment (Metabase)'!$E$2:$E$47,MATCH($A30,'Batch Enrollment (Metabase)'!$A$2:$A$47,0)),""))</f>
        <v/>
      </c>
      <c r="D30" s="3">
        <f>IF($A30="","",IFERROR(INDEX('Batch Enrollment (Metabase)'!$F$2:$F$47,MATCH($A30,'Batch Enrollment (Metabase)'!$A$2:$A$47,0)),""))</f>
        <v/>
      </c>
      <c r="E30" s="3">
        <f>IF($A30="","",COUNTIFS('Picked Students (raw)'!$B$2:$B$824,$A30,'Picked Students (raw)'!$E$2:$E$824,"Fresher"))</f>
        <v/>
      </c>
      <c r="F30" s="3">
        <f>IF($A30="","",IF($B30="","",IF(TODAY()&lt;$B30+30,"-",SUMPRODUCT(('Picked Students (raw)'!$B$2:$B$824=$A30)*('Picked Students (raw)'!$E$2:$E$824="Fresher")*('Picked Students (raw)'!$C$2:$C$824&lt;&gt;"")*(('Picked Students (raw)'!$C$2:$C$824-$B30)&lt;30)))))</f>
        <v/>
      </c>
      <c r="G30" s="5">
        <f>IF($A30="","",IF(F30="-","-",IF($D30=0,0,F30/$D30)))</f>
        <v/>
      </c>
      <c r="H30" s="3">
        <f>IF($A30="","",IF($B30="","",IF(TODAY()&lt;$B30+60,"-",SUMPRODUCT(('Picked Students (raw)'!$B$2:$B$824=$A30)*('Picked Students (raw)'!$E$2:$E$824="Fresher")*('Picked Students (raw)'!$C$2:$C$824&lt;&gt;"")*(('Picked Students (raw)'!$C$2:$C$824-$B30)&lt;60)))))</f>
        <v/>
      </c>
      <c r="I30" s="5">
        <f>IF($A30="","",IF(H30="-","-",IF($D30=0,0,H30/$D30)))</f>
        <v/>
      </c>
      <c r="J30" s="3">
        <f>IF($A30="","",IF($B30="","",IF(TODAY()&lt;$B30+90,"-",SUMPRODUCT(('Picked Students (raw)'!$B$2:$B$824=$A30)*('Picked Students (raw)'!$E$2:$E$824="Fresher")*('Picked Students (raw)'!$C$2:$C$824&lt;&gt;"")*(('Picked Students (raw)'!$C$2:$C$824-$B30)&lt;90)))))</f>
        <v/>
      </c>
      <c r="K30" s="5">
        <f>IF($A30="","",IF(J30="-","-",IF($D30=0,0,J30/$D30)))</f>
        <v/>
      </c>
      <c r="L30" s="3">
        <f>IF($A30="","",IF($B30="","",IF(TODAY()&lt;$B30+120,"-",SUMPRODUCT(('Picked Students (raw)'!$B$2:$B$824=$A30)*('Picked Students (raw)'!$E$2:$E$824="Fresher")*('Picked Students (raw)'!$C$2:$C$824&lt;&gt;"")*(('Picked Students (raw)'!$C$2:$C$824-$B30)&lt;120)))))</f>
        <v/>
      </c>
      <c r="M30" s="5">
        <f>IF($A30="","",IF(L30="-","-",IF($D30=0,0,L30/$D30)))</f>
        <v/>
      </c>
      <c r="N30" s="3">
        <f>IF($A30="","",IF($B30="","",IF(TODAY()&lt;$B30+150,"-",SUMPRODUCT(('Picked Students (raw)'!$B$2:$B$824=$A30)*('Picked Students (raw)'!$E$2:$E$824="Fresher")*('Picked Students (raw)'!$C$2:$C$824&lt;&gt;"")*(('Picked Students (raw)'!$C$2:$C$824-$B30)&lt;150)))))</f>
        <v/>
      </c>
      <c r="O30" s="5">
        <f>IF($A30="","",IF(N30="-","-",IF($D30=0,0,N30/$D30)))</f>
        <v/>
      </c>
      <c r="P30" s="3">
        <f>IF($A30="","",IF($B30="","",IF(TODAY()&lt;$B30+180,"-",SUMPRODUCT(('Picked Students (raw)'!$B$2:$B$824=$A30)*('Picked Students (raw)'!$E$2:$E$824="Fresher")*('Picked Students (raw)'!$C$2:$C$824&lt;&gt;"")*(('Picked Students (raw)'!$C$2:$C$824-$B30)&lt;180)))))</f>
        <v/>
      </c>
      <c r="Q30" s="5">
        <f>IF($A30="","",IF(P30="-","-",IF($D30=0,0,P30/$D30)))</f>
        <v/>
      </c>
      <c r="R30" s="3">
        <f>IF($A30="","",IF($B30="","",IF(TODAY()&lt;$B30+210,"-",SUMPRODUCT(('Picked Students (raw)'!$B$2:$B$824=$A30)*('Picked Students (raw)'!$E$2:$E$824="Fresher")*('Picked Students (raw)'!$C$2:$C$824&lt;&gt;"")*(('Picked Students (raw)'!$C$2:$C$824-$B30)&lt;210)))))</f>
        <v/>
      </c>
      <c r="S30" s="5">
        <f>IF($A30="","",IF(R30="-","-",IF($D30=0,0,R30/$D30)))</f>
        <v/>
      </c>
      <c r="T30" s="3">
        <f>IF($A30="","",IF($B30="","",IF(TODAY()&lt;$B30+240,"-",SUMPRODUCT(('Picked Students (raw)'!$B$2:$B$824=$A30)*('Picked Students (raw)'!$E$2:$E$824="Fresher")*('Picked Students (raw)'!$C$2:$C$824&lt;&gt;"")*(('Picked Students (raw)'!$C$2:$C$824-$B30)&lt;240)))))</f>
        <v/>
      </c>
      <c r="U30" s="5">
        <f>IF($A30="","",IF(T30="-","-",IF($D30=0,0,T30/$D30)))</f>
        <v/>
      </c>
      <c r="V30" s="3">
        <f>IF($A30="","",IF($B30="","",IF(TODAY()&lt;$B30+270,"-",SUMPRODUCT(('Picked Students (raw)'!$B$2:$B$824=$A30)*('Picked Students (raw)'!$E$2:$E$824="Fresher")*('Picked Students (raw)'!$C$2:$C$824&lt;&gt;"")*(('Picked Students (raw)'!$C$2:$C$824-$B30)&lt;270)))))</f>
        <v/>
      </c>
      <c r="W30" s="5">
        <f>IF($A30="","",IF(V30="-","-",IF($D30=0,0,V30/$D30)))</f>
        <v/>
      </c>
      <c r="X30" s="3">
        <f>IF($A30="","",IF($B30="","",IF(TODAY()&lt;$B30+300,"-",SUMPRODUCT(('Picked Students (raw)'!$B$2:$B$824=$A30)*('Picked Students (raw)'!$E$2:$E$824="Fresher")*('Picked Students (raw)'!$C$2:$C$824&lt;&gt;"")*(('Picked Students (raw)'!$C$2:$C$824-$B30)&lt;300)))))</f>
        <v/>
      </c>
      <c r="Y30" s="5">
        <f>IF($A30="","",IF(X30="-","-",IF($D30=0,0,X30/$D30)))</f>
        <v/>
      </c>
      <c r="Z30" s="3">
        <f>IF($A30="","",IF($B30="","",IF(TODAY()&lt;$B30+330,"-",SUMPRODUCT(('Picked Students (raw)'!$B$2:$B$824=$A30)*('Picked Students (raw)'!$E$2:$E$824="Fresher")*('Picked Students (raw)'!$C$2:$C$824&lt;&gt;"")*(('Picked Students (raw)'!$C$2:$C$824-$B30)&lt;330)))))</f>
        <v/>
      </c>
      <c r="AA30" s="5">
        <f>IF($A30="","",IF(Z30="-","-",IF($D30=0,0,Z30/$D30)))</f>
        <v/>
      </c>
      <c r="AB30" s="3">
        <f>IF($A30="","",IF($B30="","",IF(TODAY()&lt;$B30+360,"-",SUMPRODUCT(('Picked Students (raw)'!$B$2:$B$824=$A30)*('Picked Students (raw)'!$E$2:$E$824="Fresher")*('Picked Students (raw)'!$C$2:$C$824&lt;&gt;"")*(('Picked Students (raw)'!$C$2:$C$824-$B30)&lt;360)))))</f>
        <v/>
      </c>
      <c r="AC30" s="5">
        <f>IF($A30="","",IF(AB30="-","-",IF($D30=0,0,AB30/$D30)))</f>
        <v/>
      </c>
      <c r="AD30" s="3">
        <f>IF($A30="","",IF($B30="","",IF(TODAY()&lt;$B30+390,"-",SUMPRODUCT(('Picked Students (raw)'!$B$2:$B$824=$A30)*('Picked Students (raw)'!$E$2:$E$824="Fresher")*('Picked Students (raw)'!$C$2:$C$824&lt;&gt;"")*(('Picked Students (raw)'!$C$2:$C$824-$B30)&lt;390)))))</f>
        <v/>
      </c>
      <c r="AE30" s="5">
        <f>IF($A30="","",IF(AD30="-","-",IF($D30=0,0,AD30/$D30)))</f>
        <v/>
      </c>
      <c r="AF30" s="3">
        <f>IF($A30="","",IF($B30="","",IF(TODAY()&lt;$B30+420,"-",SUMPRODUCT(('Picked Students (raw)'!$B$2:$B$824=$A30)*('Picked Students (raw)'!$E$2:$E$824="Fresher")*('Picked Students (raw)'!$C$2:$C$824&lt;&gt;"")*(('Picked Students (raw)'!$C$2:$C$824-$B30)&lt;420)))))</f>
        <v/>
      </c>
      <c r="AG30" s="5">
        <f>IF($A30="","",IF(AF30="-","-",IF($D30=0,0,AF30/$D30)))</f>
        <v/>
      </c>
      <c r="AH30" s="3">
        <f>IF($A30="","",IF($B30="","",IF(TODAY()&lt;$B30+450,"-",SUMPRODUCT(('Picked Students (raw)'!$B$2:$B$824=$A30)*('Picked Students (raw)'!$E$2:$E$824="Fresher")*('Picked Students (raw)'!$C$2:$C$824&lt;&gt;"")*(('Picked Students (raw)'!$C$2:$C$824-$B30)&lt;450)))))</f>
        <v/>
      </c>
      <c r="AI30" s="5">
        <f>IF($A30="","",IF(AH30="-","-",IF($D30=0,0,AH30/$D30)))</f>
        <v/>
      </c>
      <c r="AJ30" s="3">
        <f>IF($A30="","",IF($B30="","",IF(TODAY()&lt;$B30+480,"-",SUMPRODUCT(('Picked Students (raw)'!$B$2:$B$824=$A30)*('Picked Students (raw)'!$E$2:$E$824="Fresher")*('Picked Students (raw)'!$C$2:$C$824&lt;&gt;"")*(('Picked Students (raw)'!$C$2:$C$824-$B30)&lt;480)))))</f>
        <v/>
      </c>
      <c r="AK30" s="5">
        <f>IF($A30="","",IF(AJ30="-","-",IF($D30=0,0,AJ30/$D30)))</f>
        <v/>
      </c>
      <c r="AL30" s="3">
        <f>IF($A30="","",IF($B30="","",IF(TODAY()&lt;$B30+510,"-",SUMPRODUCT(('Picked Students (raw)'!$B$2:$B$824=$A30)*('Picked Students (raw)'!$E$2:$E$824="Fresher")*('Picked Students (raw)'!$C$2:$C$824&lt;&gt;"")*(('Picked Students (raw)'!$C$2:$C$824-$B30)&lt;510)))))</f>
        <v/>
      </c>
      <c r="AM30" s="5">
        <f>IF($A30="","",IF(AL30="-","-",IF($D30=0,0,AL30/$D30)))</f>
        <v/>
      </c>
      <c r="AN30" s="3">
        <f>IF($A30="","",IF($B30="","",IF(TODAY()&lt;$B30+540,"-",SUMPRODUCT(('Picked Students (raw)'!$B$2:$B$824=$A30)*('Picked Students (raw)'!$E$2:$E$824="Fresher")*('Picked Students (raw)'!$C$2:$C$824&lt;&gt;"")*(('Picked Students (raw)'!$C$2:$C$824-$B30)&lt;540)))))</f>
        <v/>
      </c>
      <c r="AO30" s="5">
        <f>IF($A30="","",IF(AN30="-","-",IF($D30=0,0,AN30/$D30)))</f>
        <v/>
      </c>
      <c r="AP30" s="3">
        <f>IF($A30="","",IF(AN30="-","-",$E30-AN30))</f>
        <v/>
      </c>
    </row>
    <row r="31">
      <c r="A31" s="3" t="inlineStr">
        <is>
          <t>Professional Certificate Course In Data Science &amp; AI - June 2025</t>
        </is>
      </c>
      <c r="B31" s="4">
        <f>IF($A31="","",IFERROR(INDEX('Batch Enrollment (Metabase)'!$D$2:$D$47,MATCH($A31,'Batch Enrollment (Metabase)'!$A$2:$A$47,0)),""))</f>
        <v/>
      </c>
      <c r="C31" s="3">
        <f>IF($A31="","",IFERROR(INDEX('Batch Enrollment (Metabase)'!$E$2:$E$47,MATCH($A31,'Batch Enrollment (Metabase)'!$A$2:$A$47,0)),""))</f>
        <v/>
      </c>
      <c r="D31" s="3">
        <f>IF($A31="","",IFERROR(INDEX('Batch Enrollment (Metabase)'!$F$2:$F$47,MATCH($A31,'Batch Enrollment (Metabase)'!$A$2:$A$47,0)),""))</f>
        <v/>
      </c>
      <c r="E31" s="3">
        <f>IF($A31="","",COUNTIFS('Picked Students (raw)'!$B$2:$B$824,$A31,'Picked Students (raw)'!$E$2:$E$824,"Fresher"))</f>
        <v/>
      </c>
      <c r="F31" s="3">
        <f>IF($A31="","",IF($B31="","",IF(TODAY()&lt;$B31+30,"-",SUMPRODUCT(('Picked Students (raw)'!$B$2:$B$824=$A31)*('Picked Students (raw)'!$E$2:$E$824="Fresher")*('Picked Students (raw)'!$C$2:$C$824&lt;&gt;"")*(('Picked Students (raw)'!$C$2:$C$824-$B31)&lt;30)))))</f>
        <v/>
      </c>
      <c r="G31" s="5">
        <f>IF($A31="","",IF(F31="-","-",IF($D31=0,0,F31/$D31)))</f>
        <v/>
      </c>
      <c r="H31" s="3">
        <f>IF($A31="","",IF($B31="","",IF(TODAY()&lt;$B31+60,"-",SUMPRODUCT(('Picked Students (raw)'!$B$2:$B$824=$A31)*('Picked Students (raw)'!$E$2:$E$824="Fresher")*('Picked Students (raw)'!$C$2:$C$824&lt;&gt;"")*(('Picked Students (raw)'!$C$2:$C$824-$B31)&lt;60)))))</f>
        <v/>
      </c>
      <c r="I31" s="5">
        <f>IF($A31="","",IF(H31="-","-",IF($D31=0,0,H31/$D31)))</f>
        <v/>
      </c>
      <c r="J31" s="3">
        <f>IF($A31="","",IF($B31="","",IF(TODAY()&lt;$B31+90,"-",SUMPRODUCT(('Picked Students (raw)'!$B$2:$B$824=$A31)*('Picked Students (raw)'!$E$2:$E$824="Fresher")*('Picked Students (raw)'!$C$2:$C$824&lt;&gt;"")*(('Picked Students (raw)'!$C$2:$C$824-$B31)&lt;90)))))</f>
        <v/>
      </c>
      <c r="K31" s="5">
        <f>IF($A31="","",IF(J31="-","-",IF($D31=0,0,J31/$D31)))</f>
        <v/>
      </c>
      <c r="L31" s="3">
        <f>IF($A31="","",IF($B31="","",IF(TODAY()&lt;$B31+120,"-",SUMPRODUCT(('Picked Students (raw)'!$B$2:$B$824=$A31)*('Picked Students (raw)'!$E$2:$E$824="Fresher")*('Picked Students (raw)'!$C$2:$C$824&lt;&gt;"")*(('Picked Students (raw)'!$C$2:$C$824-$B31)&lt;120)))))</f>
        <v/>
      </c>
      <c r="M31" s="5">
        <f>IF($A31="","",IF(L31="-","-",IF($D31=0,0,L31/$D31)))</f>
        <v/>
      </c>
      <c r="N31" s="3">
        <f>IF($A31="","",IF($B31="","",IF(TODAY()&lt;$B31+150,"-",SUMPRODUCT(('Picked Students (raw)'!$B$2:$B$824=$A31)*('Picked Students (raw)'!$E$2:$E$824="Fresher")*('Picked Students (raw)'!$C$2:$C$824&lt;&gt;"")*(('Picked Students (raw)'!$C$2:$C$824-$B31)&lt;150)))))</f>
        <v/>
      </c>
      <c r="O31" s="5">
        <f>IF($A31="","",IF(N31="-","-",IF($D31=0,0,N31/$D31)))</f>
        <v/>
      </c>
      <c r="P31" s="3">
        <f>IF($A31="","",IF($B31="","",IF(TODAY()&lt;$B31+180,"-",SUMPRODUCT(('Picked Students (raw)'!$B$2:$B$824=$A31)*('Picked Students (raw)'!$E$2:$E$824="Fresher")*('Picked Students (raw)'!$C$2:$C$824&lt;&gt;"")*(('Picked Students (raw)'!$C$2:$C$824-$B31)&lt;180)))))</f>
        <v/>
      </c>
      <c r="Q31" s="5">
        <f>IF($A31="","",IF(P31="-","-",IF($D31=0,0,P31/$D31)))</f>
        <v/>
      </c>
      <c r="R31" s="3">
        <f>IF($A31="","",IF($B31="","",IF(TODAY()&lt;$B31+210,"-",SUMPRODUCT(('Picked Students (raw)'!$B$2:$B$824=$A31)*('Picked Students (raw)'!$E$2:$E$824="Fresher")*('Picked Students (raw)'!$C$2:$C$824&lt;&gt;"")*(('Picked Students (raw)'!$C$2:$C$824-$B31)&lt;210)))))</f>
        <v/>
      </c>
      <c r="S31" s="5">
        <f>IF($A31="","",IF(R31="-","-",IF($D31=0,0,R31/$D31)))</f>
        <v/>
      </c>
      <c r="T31" s="3">
        <f>IF($A31="","",IF($B31="","",IF(TODAY()&lt;$B31+240,"-",SUMPRODUCT(('Picked Students (raw)'!$B$2:$B$824=$A31)*('Picked Students (raw)'!$E$2:$E$824="Fresher")*('Picked Students (raw)'!$C$2:$C$824&lt;&gt;"")*(('Picked Students (raw)'!$C$2:$C$824-$B31)&lt;240)))))</f>
        <v/>
      </c>
      <c r="U31" s="5">
        <f>IF($A31="","",IF(T31="-","-",IF($D31=0,0,T31/$D31)))</f>
        <v/>
      </c>
      <c r="V31" s="3">
        <f>IF($A31="","",IF($B31="","",IF(TODAY()&lt;$B31+270,"-",SUMPRODUCT(('Picked Students (raw)'!$B$2:$B$824=$A31)*('Picked Students (raw)'!$E$2:$E$824="Fresher")*('Picked Students (raw)'!$C$2:$C$824&lt;&gt;"")*(('Picked Students (raw)'!$C$2:$C$824-$B31)&lt;270)))))</f>
        <v/>
      </c>
      <c r="W31" s="5">
        <f>IF($A31="","",IF(V31="-","-",IF($D31=0,0,V31/$D31)))</f>
        <v/>
      </c>
      <c r="X31" s="3">
        <f>IF($A31="","",IF($B31="","",IF(TODAY()&lt;$B31+300,"-",SUMPRODUCT(('Picked Students (raw)'!$B$2:$B$824=$A31)*('Picked Students (raw)'!$E$2:$E$824="Fresher")*('Picked Students (raw)'!$C$2:$C$824&lt;&gt;"")*(('Picked Students (raw)'!$C$2:$C$824-$B31)&lt;300)))))</f>
        <v/>
      </c>
      <c r="Y31" s="5">
        <f>IF($A31="","",IF(X31="-","-",IF($D31=0,0,X31/$D31)))</f>
        <v/>
      </c>
      <c r="Z31" s="3">
        <f>IF($A31="","",IF($B31="","",IF(TODAY()&lt;$B31+330,"-",SUMPRODUCT(('Picked Students (raw)'!$B$2:$B$824=$A31)*('Picked Students (raw)'!$E$2:$E$824="Fresher")*('Picked Students (raw)'!$C$2:$C$824&lt;&gt;"")*(('Picked Students (raw)'!$C$2:$C$824-$B31)&lt;330)))))</f>
        <v/>
      </c>
      <c r="AA31" s="5">
        <f>IF($A31="","",IF(Z31="-","-",IF($D31=0,0,Z31/$D31)))</f>
        <v/>
      </c>
      <c r="AB31" s="3">
        <f>IF($A31="","",IF($B31="","",IF(TODAY()&lt;$B31+360,"-",SUMPRODUCT(('Picked Students (raw)'!$B$2:$B$824=$A31)*('Picked Students (raw)'!$E$2:$E$824="Fresher")*('Picked Students (raw)'!$C$2:$C$824&lt;&gt;"")*(('Picked Students (raw)'!$C$2:$C$824-$B31)&lt;360)))))</f>
        <v/>
      </c>
      <c r="AC31" s="5">
        <f>IF($A31="","",IF(AB31="-","-",IF($D31=0,0,AB31/$D31)))</f>
        <v/>
      </c>
      <c r="AD31" s="3">
        <f>IF($A31="","",IF($B31="","",IF(TODAY()&lt;$B31+390,"-",SUMPRODUCT(('Picked Students (raw)'!$B$2:$B$824=$A31)*('Picked Students (raw)'!$E$2:$E$824="Fresher")*('Picked Students (raw)'!$C$2:$C$824&lt;&gt;"")*(('Picked Students (raw)'!$C$2:$C$824-$B31)&lt;390)))))</f>
        <v/>
      </c>
      <c r="AE31" s="5">
        <f>IF($A31="","",IF(AD31="-","-",IF($D31=0,0,AD31/$D31)))</f>
        <v/>
      </c>
      <c r="AF31" s="3">
        <f>IF($A31="","",IF($B31="","",IF(TODAY()&lt;$B31+420,"-",SUMPRODUCT(('Picked Students (raw)'!$B$2:$B$824=$A31)*('Picked Students (raw)'!$E$2:$E$824="Fresher")*('Picked Students (raw)'!$C$2:$C$824&lt;&gt;"")*(('Picked Students (raw)'!$C$2:$C$824-$B31)&lt;420)))))</f>
        <v/>
      </c>
      <c r="AG31" s="5">
        <f>IF($A31="","",IF(AF31="-","-",IF($D31=0,0,AF31/$D31)))</f>
        <v/>
      </c>
      <c r="AH31" s="3">
        <f>IF($A31="","",IF($B31="","",IF(TODAY()&lt;$B31+450,"-",SUMPRODUCT(('Picked Students (raw)'!$B$2:$B$824=$A31)*('Picked Students (raw)'!$E$2:$E$824="Fresher")*('Picked Students (raw)'!$C$2:$C$824&lt;&gt;"")*(('Picked Students (raw)'!$C$2:$C$824-$B31)&lt;450)))))</f>
        <v/>
      </c>
      <c r="AI31" s="5">
        <f>IF($A31="","",IF(AH31="-","-",IF($D31=0,0,AH31/$D31)))</f>
        <v/>
      </c>
      <c r="AJ31" s="3">
        <f>IF($A31="","",IF($B31="","",IF(TODAY()&lt;$B31+480,"-",SUMPRODUCT(('Picked Students (raw)'!$B$2:$B$824=$A31)*('Picked Students (raw)'!$E$2:$E$824="Fresher")*('Picked Students (raw)'!$C$2:$C$824&lt;&gt;"")*(('Picked Students (raw)'!$C$2:$C$824-$B31)&lt;480)))))</f>
        <v/>
      </c>
      <c r="AK31" s="5">
        <f>IF($A31="","",IF(AJ31="-","-",IF($D31=0,0,AJ31/$D31)))</f>
        <v/>
      </c>
      <c r="AL31" s="3">
        <f>IF($A31="","",IF($B31="","",IF(TODAY()&lt;$B31+510,"-",SUMPRODUCT(('Picked Students (raw)'!$B$2:$B$824=$A31)*('Picked Students (raw)'!$E$2:$E$824="Fresher")*('Picked Students (raw)'!$C$2:$C$824&lt;&gt;"")*(('Picked Students (raw)'!$C$2:$C$824-$B31)&lt;510)))))</f>
        <v/>
      </c>
      <c r="AM31" s="5">
        <f>IF($A31="","",IF(AL31="-","-",IF($D31=0,0,AL31/$D31)))</f>
        <v/>
      </c>
      <c r="AN31" s="3">
        <f>IF($A31="","",IF($B31="","",IF(TODAY()&lt;$B31+540,"-",SUMPRODUCT(('Picked Students (raw)'!$B$2:$B$824=$A31)*('Picked Students (raw)'!$E$2:$E$824="Fresher")*('Picked Students (raw)'!$C$2:$C$824&lt;&gt;"")*(('Picked Students (raw)'!$C$2:$C$824-$B31)&lt;540)))))</f>
        <v/>
      </c>
      <c r="AO31" s="5">
        <f>IF($A31="","",IF(AN31="-","-",IF($D31=0,0,AN31/$D31)))</f>
        <v/>
      </c>
      <c r="AP31" s="3">
        <f>IF($A31="","",IF(AN31="-","-",$E31-AN31))</f>
        <v/>
      </c>
    </row>
    <row r="32">
      <c r="A32" s="3" t="inlineStr">
        <is>
          <t>Professional Certificate Course In Data Science - July 2025</t>
        </is>
      </c>
      <c r="B32" s="4">
        <f>IF($A32="","",IFERROR(INDEX('Batch Enrollment (Metabase)'!$D$2:$D$47,MATCH($A32,'Batch Enrollment (Metabase)'!$A$2:$A$47,0)),""))</f>
        <v/>
      </c>
      <c r="C32" s="3">
        <f>IF($A32="","",IFERROR(INDEX('Batch Enrollment (Metabase)'!$E$2:$E$47,MATCH($A32,'Batch Enrollment (Metabase)'!$A$2:$A$47,0)),""))</f>
        <v/>
      </c>
      <c r="D32" s="3">
        <f>IF($A32="","",IFERROR(INDEX('Batch Enrollment (Metabase)'!$F$2:$F$47,MATCH($A32,'Batch Enrollment (Metabase)'!$A$2:$A$47,0)),""))</f>
        <v/>
      </c>
      <c r="E32" s="3">
        <f>IF($A32="","",COUNTIFS('Picked Students (raw)'!$B$2:$B$824,$A32,'Picked Students (raw)'!$E$2:$E$824,"Fresher"))</f>
        <v/>
      </c>
      <c r="F32" s="3">
        <f>IF($A32="","",IF($B32="","",IF(TODAY()&lt;$B32+30,"-",SUMPRODUCT(('Picked Students (raw)'!$B$2:$B$824=$A32)*('Picked Students (raw)'!$E$2:$E$824="Fresher")*('Picked Students (raw)'!$C$2:$C$824&lt;&gt;"")*(('Picked Students (raw)'!$C$2:$C$824-$B32)&lt;30)))))</f>
        <v/>
      </c>
      <c r="G32" s="5">
        <f>IF($A32="","",IF(F32="-","-",IF($D32=0,0,F32/$D32)))</f>
        <v/>
      </c>
      <c r="H32" s="3">
        <f>IF($A32="","",IF($B32="","",IF(TODAY()&lt;$B32+60,"-",SUMPRODUCT(('Picked Students (raw)'!$B$2:$B$824=$A32)*('Picked Students (raw)'!$E$2:$E$824="Fresher")*('Picked Students (raw)'!$C$2:$C$824&lt;&gt;"")*(('Picked Students (raw)'!$C$2:$C$824-$B32)&lt;60)))))</f>
        <v/>
      </c>
      <c r="I32" s="5">
        <f>IF($A32="","",IF(H32="-","-",IF($D32=0,0,H32/$D32)))</f>
        <v/>
      </c>
      <c r="J32" s="3">
        <f>IF($A32="","",IF($B32="","",IF(TODAY()&lt;$B32+90,"-",SUMPRODUCT(('Picked Students (raw)'!$B$2:$B$824=$A32)*('Picked Students (raw)'!$E$2:$E$824="Fresher")*('Picked Students (raw)'!$C$2:$C$824&lt;&gt;"")*(('Picked Students (raw)'!$C$2:$C$824-$B32)&lt;90)))))</f>
        <v/>
      </c>
      <c r="K32" s="5">
        <f>IF($A32="","",IF(J32="-","-",IF($D32=0,0,J32/$D32)))</f>
        <v/>
      </c>
      <c r="L32" s="3">
        <f>IF($A32="","",IF($B32="","",IF(TODAY()&lt;$B32+120,"-",SUMPRODUCT(('Picked Students (raw)'!$B$2:$B$824=$A32)*('Picked Students (raw)'!$E$2:$E$824="Fresher")*('Picked Students (raw)'!$C$2:$C$824&lt;&gt;"")*(('Picked Students (raw)'!$C$2:$C$824-$B32)&lt;120)))))</f>
        <v/>
      </c>
      <c r="M32" s="5">
        <f>IF($A32="","",IF(L32="-","-",IF($D32=0,0,L32/$D32)))</f>
        <v/>
      </c>
      <c r="N32" s="3">
        <f>IF($A32="","",IF($B32="","",IF(TODAY()&lt;$B32+150,"-",SUMPRODUCT(('Picked Students (raw)'!$B$2:$B$824=$A32)*('Picked Students (raw)'!$E$2:$E$824="Fresher")*('Picked Students (raw)'!$C$2:$C$824&lt;&gt;"")*(('Picked Students (raw)'!$C$2:$C$824-$B32)&lt;150)))))</f>
        <v/>
      </c>
      <c r="O32" s="5">
        <f>IF($A32="","",IF(N32="-","-",IF($D32=0,0,N32/$D32)))</f>
        <v/>
      </c>
      <c r="P32" s="3">
        <f>IF($A32="","",IF($B32="","",IF(TODAY()&lt;$B32+180,"-",SUMPRODUCT(('Picked Students (raw)'!$B$2:$B$824=$A32)*('Picked Students (raw)'!$E$2:$E$824="Fresher")*('Picked Students (raw)'!$C$2:$C$824&lt;&gt;"")*(('Picked Students (raw)'!$C$2:$C$824-$B32)&lt;180)))))</f>
        <v/>
      </c>
      <c r="Q32" s="5">
        <f>IF($A32="","",IF(P32="-","-",IF($D32=0,0,P32/$D32)))</f>
        <v/>
      </c>
      <c r="R32" s="3">
        <f>IF($A32="","",IF($B32="","",IF(TODAY()&lt;$B32+210,"-",SUMPRODUCT(('Picked Students (raw)'!$B$2:$B$824=$A32)*('Picked Students (raw)'!$E$2:$E$824="Fresher")*('Picked Students (raw)'!$C$2:$C$824&lt;&gt;"")*(('Picked Students (raw)'!$C$2:$C$824-$B32)&lt;210)))))</f>
        <v/>
      </c>
      <c r="S32" s="5">
        <f>IF($A32="","",IF(R32="-","-",IF($D32=0,0,R32/$D32)))</f>
        <v/>
      </c>
      <c r="T32" s="3">
        <f>IF($A32="","",IF($B32="","",IF(TODAY()&lt;$B32+240,"-",SUMPRODUCT(('Picked Students (raw)'!$B$2:$B$824=$A32)*('Picked Students (raw)'!$E$2:$E$824="Fresher")*('Picked Students (raw)'!$C$2:$C$824&lt;&gt;"")*(('Picked Students (raw)'!$C$2:$C$824-$B32)&lt;240)))))</f>
        <v/>
      </c>
      <c r="U32" s="5">
        <f>IF($A32="","",IF(T32="-","-",IF($D32=0,0,T32/$D32)))</f>
        <v/>
      </c>
      <c r="V32" s="3">
        <f>IF($A32="","",IF($B32="","",IF(TODAY()&lt;$B32+270,"-",SUMPRODUCT(('Picked Students (raw)'!$B$2:$B$824=$A32)*('Picked Students (raw)'!$E$2:$E$824="Fresher")*('Picked Students (raw)'!$C$2:$C$824&lt;&gt;"")*(('Picked Students (raw)'!$C$2:$C$824-$B32)&lt;270)))))</f>
        <v/>
      </c>
      <c r="W32" s="5">
        <f>IF($A32="","",IF(V32="-","-",IF($D32=0,0,V32/$D32)))</f>
        <v/>
      </c>
      <c r="X32" s="3">
        <f>IF($A32="","",IF($B32="","",IF(TODAY()&lt;$B32+300,"-",SUMPRODUCT(('Picked Students (raw)'!$B$2:$B$824=$A32)*('Picked Students (raw)'!$E$2:$E$824="Fresher")*('Picked Students (raw)'!$C$2:$C$824&lt;&gt;"")*(('Picked Students (raw)'!$C$2:$C$824-$B32)&lt;300)))))</f>
        <v/>
      </c>
      <c r="Y32" s="5">
        <f>IF($A32="","",IF(X32="-","-",IF($D32=0,0,X32/$D32)))</f>
        <v/>
      </c>
      <c r="Z32" s="3">
        <f>IF($A32="","",IF($B32="","",IF(TODAY()&lt;$B32+330,"-",SUMPRODUCT(('Picked Students (raw)'!$B$2:$B$824=$A32)*('Picked Students (raw)'!$E$2:$E$824="Fresher")*('Picked Students (raw)'!$C$2:$C$824&lt;&gt;"")*(('Picked Students (raw)'!$C$2:$C$824-$B32)&lt;330)))))</f>
        <v/>
      </c>
      <c r="AA32" s="5">
        <f>IF($A32="","",IF(Z32="-","-",IF($D32=0,0,Z32/$D32)))</f>
        <v/>
      </c>
      <c r="AB32" s="3">
        <f>IF($A32="","",IF($B32="","",IF(TODAY()&lt;$B32+360,"-",SUMPRODUCT(('Picked Students (raw)'!$B$2:$B$824=$A32)*('Picked Students (raw)'!$E$2:$E$824="Fresher")*('Picked Students (raw)'!$C$2:$C$824&lt;&gt;"")*(('Picked Students (raw)'!$C$2:$C$824-$B32)&lt;360)))))</f>
        <v/>
      </c>
      <c r="AC32" s="5">
        <f>IF($A32="","",IF(AB32="-","-",IF($D32=0,0,AB32/$D32)))</f>
        <v/>
      </c>
      <c r="AD32" s="3">
        <f>IF($A32="","",IF($B32="","",IF(TODAY()&lt;$B32+390,"-",SUMPRODUCT(('Picked Students (raw)'!$B$2:$B$824=$A32)*('Picked Students (raw)'!$E$2:$E$824="Fresher")*('Picked Students (raw)'!$C$2:$C$824&lt;&gt;"")*(('Picked Students (raw)'!$C$2:$C$824-$B32)&lt;390)))))</f>
        <v/>
      </c>
      <c r="AE32" s="5">
        <f>IF($A32="","",IF(AD32="-","-",IF($D32=0,0,AD32/$D32)))</f>
        <v/>
      </c>
      <c r="AF32" s="3">
        <f>IF($A32="","",IF($B32="","",IF(TODAY()&lt;$B32+420,"-",SUMPRODUCT(('Picked Students (raw)'!$B$2:$B$824=$A32)*('Picked Students (raw)'!$E$2:$E$824="Fresher")*('Picked Students (raw)'!$C$2:$C$824&lt;&gt;"")*(('Picked Students (raw)'!$C$2:$C$824-$B32)&lt;420)))))</f>
        <v/>
      </c>
      <c r="AG32" s="5">
        <f>IF($A32="","",IF(AF32="-","-",IF($D32=0,0,AF32/$D32)))</f>
        <v/>
      </c>
      <c r="AH32" s="3">
        <f>IF($A32="","",IF($B32="","",IF(TODAY()&lt;$B32+450,"-",SUMPRODUCT(('Picked Students (raw)'!$B$2:$B$824=$A32)*('Picked Students (raw)'!$E$2:$E$824="Fresher")*('Picked Students (raw)'!$C$2:$C$824&lt;&gt;"")*(('Picked Students (raw)'!$C$2:$C$824-$B32)&lt;450)))))</f>
        <v/>
      </c>
      <c r="AI32" s="5">
        <f>IF($A32="","",IF(AH32="-","-",IF($D32=0,0,AH32/$D32)))</f>
        <v/>
      </c>
      <c r="AJ32" s="3">
        <f>IF($A32="","",IF($B32="","",IF(TODAY()&lt;$B32+480,"-",SUMPRODUCT(('Picked Students (raw)'!$B$2:$B$824=$A32)*('Picked Students (raw)'!$E$2:$E$824="Fresher")*('Picked Students (raw)'!$C$2:$C$824&lt;&gt;"")*(('Picked Students (raw)'!$C$2:$C$824-$B32)&lt;480)))))</f>
        <v/>
      </c>
      <c r="AK32" s="5">
        <f>IF($A32="","",IF(AJ32="-","-",IF($D32=0,0,AJ32/$D32)))</f>
        <v/>
      </c>
      <c r="AL32" s="3">
        <f>IF($A32="","",IF($B32="","",IF(TODAY()&lt;$B32+510,"-",SUMPRODUCT(('Picked Students (raw)'!$B$2:$B$824=$A32)*('Picked Students (raw)'!$E$2:$E$824="Fresher")*('Picked Students (raw)'!$C$2:$C$824&lt;&gt;"")*(('Picked Students (raw)'!$C$2:$C$824-$B32)&lt;510)))))</f>
        <v/>
      </c>
      <c r="AM32" s="5">
        <f>IF($A32="","",IF(AL32="-","-",IF($D32=0,0,AL32/$D32)))</f>
        <v/>
      </c>
      <c r="AN32" s="3">
        <f>IF($A32="","",IF($B32="","",IF(TODAY()&lt;$B32+540,"-",SUMPRODUCT(('Picked Students (raw)'!$B$2:$B$824=$A32)*('Picked Students (raw)'!$E$2:$E$824="Fresher")*('Picked Students (raw)'!$C$2:$C$824&lt;&gt;"")*(('Picked Students (raw)'!$C$2:$C$824-$B32)&lt;540)))))</f>
        <v/>
      </c>
      <c r="AO32" s="5">
        <f>IF($A32="","",IF(AN32="-","-",IF($D32=0,0,AN32/$D32)))</f>
        <v/>
      </c>
      <c r="AP32" s="3">
        <f>IF($A32="","",IF(AN32="-","-",$E32-AN32))</f>
        <v/>
      </c>
    </row>
    <row r="33">
      <c r="A33" s="3" t="inlineStr">
        <is>
          <t>Professional Certificate Course In Data Science August 2025</t>
        </is>
      </c>
      <c r="B33" s="4">
        <f>IF($A33="","",IFERROR(INDEX('Batch Enrollment (Metabase)'!$D$2:$D$47,MATCH($A33,'Batch Enrollment (Metabase)'!$A$2:$A$47,0)),""))</f>
        <v/>
      </c>
      <c r="C33" s="3">
        <f>IF($A33="","",IFERROR(INDEX('Batch Enrollment (Metabase)'!$E$2:$E$47,MATCH($A33,'Batch Enrollment (Metabase)'!$A$2:$A$47,0)),""))</f>
        <v/>
      </c>
      <c r="D33" s="3">
        <f>IF($A33="","",IFERROR(INDEX('Batch Enrollment (Metabase)'!$F$2:$F$47,MATCH($A33,'Batch Enrollment (Metabase)'!$A$2:$A$47,0)),""))</f>
        <v/>
      </c>
      <c r="E33" s="3">
        <f>IF($A33="","",COUNTIFS('Picked Students (raw)'!$B$2:$B$824,$A33,'Picked Students (raw)'!$E$2:$E$824,"Fresher"))</f>
        <v/>
      </c>
      <c r="F33" s="3">
        <f>IF($A33="","",IF($B33="","",IF(TODAY()&lt;$B33+30,"-",SUMPRODUCT(('Picked Students (raw)'!$B$2:$B$824=$A33)*('Picked Students (raw)'!$E$2:$E$824="Fresher")*('Picked Students (raw)'!$C$2:$C$824&lt;&gt;"")*(('Picked Students (raw)'!$C$2:$C$824-$B33)&lt;30)))))</f>
        <v/>
      </c>
      <c r="G33" s="5">
        <f>IF($A33="","",IF(F33="-","-",IF($D33=0,0,F33/$D33)))</f>
        <v/>
      </c>
      <c r="H33" s="3">
        <f>IF($A33="","",IF($B33="","",IF(TODAY()&lt;$B33+60,"-",SUMPRODUCT(('Picked Students (raw)'!$B$2:$B$824=$A33)*('Picked Students (raw)'!$E$2:$E$824="Fresher")*('Picked Students (raw)'!$C$2:$C$824&lt;&gt;"")*(('Picked Students (raw)'!$C$2:$C$824-$B33)&lt;60)))))</f>
        <v/>
      </c>
      <c r="I33" s="5">
        <f>IF($A33="","",IF(H33="-","-",IF($D33=0,0,H33/$D33)))</f>
        <v/>
      </c>
      <c r="J33" s="3">
        <f>IF($A33="","",IF($B33="","",IF(TODAY()&lt;$B33+90,"-",SUMPRODUCT(('Picked Students (raw)'!$B$2:$B$824=$A33)*('Picked Students (raw)'!$E$2:$E$824="Fresher")*('Picked Students (raw)'!$C$2:$C$824&lt;&gt;"")*(('Picked Students (raw)'!$C$2:$C$824-$B33)&lt;90)))))</f>
        <v/>
      </c>
      <c r="K33" s="5">
        <f>IF($A33="","",IF(J33="-","-",IF($D33=0,0,J33/$D33)))</f>
        <v/>
      </c>
      <c r="L33" s="3">
        <f>IF($A33="","",IF($B33="","",IF(TODAY()&lt;$B33+120,"-",SUMPRODUCT(('Picked Students (raw)'!$B$2:$B$824=$A33)*('Picked Students (raw)'!$E$2:$E$824="Fresher")*('Picked Students (raw)'!$C$2:$C$824&lt;&gt;"")*(('Picked Students (raw)'!$C$2:$C$824-$B33)&lt;120)))))</f>
        <v/>
      </c>
      <c r="M33" s="5">
        <f>IF($A33="","",IF(L33="-","-",IF($D33=0,0,L33/$D33)))</f>
        <v/>
      </c>
      <c r="N33" s="3">
        <f>IF($A33="","",IF($B33="","",IF(TODAY()&lt;$B33+150,"-",SUMPRODUCT(('Picked Students (raw)'!$B$2:$B$824=$A33)*('Picked Students (raw)'!$E$2:$E$824="Fresher")*('Picked Students (raw)'!$C$2:$C$824&lt;&gt;"")*(('Picked Students (raw)'!$C$2:$C$824-$B33)&lt;150)))))</f>
        <v/>
      </c>
      <c r="O33" s="5">
        <f>IF($A33="","",IF(N33="-","-",IF($D33=0,0,N33/$D33)))</f>
        <v/>
      </c>
      <c r="P33" s="3">
        <f>IF($A33="","",IF($B33="","",IF(TODAY()&lt;$B33+180,"-",SUMPRODUCT(('Picked Students (raw)'!$B$2:$B$824=$A33)*('Picked Students (raw)'!$E$2:$E$824="Fresher")*('Picked Students (raw)'!$C$2:$C$824&lt;&gt;"")*(('Picked Students (raw)'!$C$2:$C$824-$B33)&lt;180)))))</f>
        <v/>
      </c>
      <c r="Q33" s="5">
        <f>IF($A33="","",IF(P33="-","-",IF($D33=0,0,P33/$D33)))</f>
        <v/>
      </c>
      <c r="R33" s="3">
        <f>IF($A33="","",IF($B33="","",IF(TODAY()&lt;$B33+210,"-",SUMPRODUCT(('Picked Students (raw)'!$B$2:$B$824=$A33)*('Picked Students (raw)'!$E$2:$E$824="Fresher")*('Picked Students (raw)'!$C$2:$C$824&lt;&gt;"")*(('Picked Students (raw)'!$C$2:$C$824-$B33)&lt;210)))))</f>
        <v/>
      </c>
      <c r="S33" s="5">
        <f>IF($A33="","",IF(R33="-","-",IF($D33=0,0,R33/$D33)))</f>
        <v/>
      </c>
      <c r="T33" s="3">
        <f>IF($A33="","",IF($B33="","",IF(TODAY()&lt;$B33+240,"-",SUMPRODUCT(('Picked Students (raw)'!$B$2:$B$824=$A33)*('Picked Students (raw)'!$E$2:$E$824="Fresher")*('Picked Students (raw)'!$C$2:$C$824&lt;&gt;"")*(('Picked Students (raw)'!$C$2:$C$824-$B33)&lt;240)))))</f>
        <v/>
      </c>
      <c r="U33" s="5">
        <f>IF($A33="","",IF(T33="-","-",IF($D33=0,0,T33/$D33)))</f>
        <v/>
      </c>
      <c r="V33" s="3">
        <f>IF($A33="","",IF($B33="","",IF(TODAY()&lt;$B33+270,"-",SUMPRODUCT(('Picked Students (raw)'!$B$2:$B$824=$A33)*('Picked Students (raw)'!$E$2:$E$824="Fresher")*('Picked Students (raw)'!$C$2:$C$824&lt;&gt;"")*(('Picked Students (raw)'!$C$2:$C$824-$B33)&lt;270)))))</f>
        <v/>
      </c>
      <c r="W33" s="5">
        <f>IF($A33="","",IF(V33="-","-",IF($D33=0,0,V33/$D33)))</f>
        <v/>
      </c>
      <c r="X33" s="3">
        <f>IF($A33="","",IF($B33="","",IF(TODAY()&lt;$B33+300,"-",SUMPRODUCT(('Picked Students (raw)'!$B$2:$B$824=$A33)*('Picked Students (raw)'!$E$2:$E$824="Fresher")*('Picked Students (raw)'!$C$2:$C$824&lt;&gt;"")*(('Picked Students (raw)'!$C$2:$C$824-$B33)&lt;300)))))</f>
        <v/>
      </c>
      <c r="Y33" s="5">
        <f>IF($A33="","",IF(X33="-","-",IF($D33=0,0,X33/$D33)))</f>
        <v/>
      </c>
      <c r="Z33" s="3">
        <f>IF($A33="","",IF($B33="","",IF(TODAY()&lt;$B33+330,"-",SUMPRODUCT(('Picked Students (raw)'!$B$2:$B$824=$A33)*('Picked Students (raw)'!$E$2:$E$824="Fresher")*('Picked Students (raw)'!$C$2:$C$824&lt;&gt;"")*(('Picked Students (raw)'!$C$2:$C$824-$B33)&lt;330)))))</f>
        <v/>
      </c>
      <c r="AA33" s="5">
        <f>IF($A33="","",IF(Z33="-","-",IF($D33=0,0,Z33/$D33)))</f>
        <v/>
      </c>
      <c r="AB33" s="3">
        <f>IF($A33="","",IF($B33="","",IF(TODAY()&lt;$B33+360,"-",SUMPRODUCT(('Picked Students (raw)'!$B$2:$B$824=$A33)*('Picked Students (raw)'!$E$2:$E$824="Fresher")*('Picked Students (raw)'!$C$2:$C$824&lt;&gt;"")*(('Picked Students (raw)'!$C$2:$C$824-$B33)&lt;360)))))</f>
        <v/>
      </c>
      <c r="AC33" s="5">
        <f>IF($A33="","",IF(AB33="-","-",IF($D33=0,0,AB33/$D33)))</f>
        <v/>
      </c>
      <c r="AD33" s="3">
        <f>IF($A33="","",IF($B33="","",IF(TODAY()&lt;$B33+390,"-",SUMPRODUCT(('Picked Students (raw)'!$B$2:$B$824=$A33)*('Picked Students (raw)'!$E$2:$E$824="Fresher")*('Picked Students (raw)'!$C$2:$C$824&lt;&gt;"")*(('Picked Students (raw)'!$C$2:$C$824-$B33)&lt;390)))))</f>
        <v/>
      </c>
      <c r="AE33" s="5">
        <f>IF($A33="","",IF(AD33="-","-",IF($D33=0,0,AD33/$D33)))</f>
        <v/>
      </c>
      <c r="AF33" s="3">
        <f>IF($A33="","",IF($B33="","",IF(TODAY()&lt;$B33+420,"-",SUMPRODUCT(('Picked Students (raw)'!$B$2:$B$824=$A33)*('Picked Students (raw)'!$E$2:$E$824="Fresher")*('Picked Students (raw)'!$C$2:$C$824&lt;&gt;"")*(('Picked Students (raw)'!$C$2:$C$824-$B33)&lt;420)))))</f>
        <v/>
      </c>
      <c r="AG33" s="5">
        <f>IF($A33="","",IF(AF33="-","-",IF($D33=0,0,AF33/$D33)))</f>
        <v/>
      </c>
      <c r="AH33" s="3">
        <f>IF($A33="","",IF($B33="","",IF(TODAY()&lt;$B33+450,"-",SUMPRODUCT(('Picked Students (raw)'!$B$2:$B$824=$A33)*('Picked Students (raw)'!$E$2:$E$824="Fresher")*('Picked Students (raw)'!$C$2:$C$824&lt;&gt;"")*(('Picked Students (raw)'!$C$2:$C$824-$B33)&lt;450)))))</f>
        <v/>
      </c>
      <c r="AI33" s="5">
        <f>IF($A33="","",IF(AH33="-","-",IF($D33=0,0,AH33/$D33)))</f>
        <v/>
      </c>
      <c r="AJ33" s="3">
        <f>IF($A33="","",IF($B33="","",IF(TODAY()&lt;$B33+480,"-",SUMPRODUCT(('Picked Students (raw)'!$B$2:$B$824=$A33)*('Picked Students (raw)'!$E$2:$E$824="Fresher")*('Picked Students (raw)'!$C$2:$C$824&lt;&gt;"")*(('Picked Students (raw)'!$C$2:$C$824-$B33)&lt;480)))))</f>
        <v/>
      </c>
      <c r="AK33" s="5">
        <f>IF($A33="","",IF(AJ33="-","-",IF($D33=0,0,AJ33/$D33)))</f>
        <v/>
      </c>
      <c r="AL33" s="3">
        <f>IF($A33="","",IF($B33="","",IF(TODAY()&lt;$B33+510,"-",SUMPRODUCT(('Picked Students (raw)'!$B$2:$B$824=$A33)*('Picked Students (raw)'!$E$2:$E$824="Fresher")*('Picked Students (raw)'!$C$2:$C$824&lt;&gt;"")*(('Picked Students (raw)'!$C$2:$C$824-$B33)&lt;510)))))</f>
        <v/>
      </c>
      <c r="AM33" s="5">
        <f>IF($A33="","",IF(AL33="-","-",IF($D33=0,0,AL33/$D33)))</f>
        <v/>
      </c>
      <c r="AN33" s="3">
        <f>IF($A33="","",IF($B33="","",IF(TODAY()&lt;$B33+540,"-",SUMPRODUCT(('Picked Students (raw)'!$B$2:$B$824=$A33)*('Picked Students (raw)'!$E$2:$E$824="Fresher")*('Picked Students (raw)'!$C$2:$C$824&lt;&gt;"")*(('Picked Students (raw)'!$C$2:$C$824-$B33)&lt;540)))))</f>
        <v/>
      </c>
      <c r="AO33" s="5">
        <f>IF($A33="","",IF(AN33="-","-",IF($D33=0,0,AN33/$D33)))</f>
        <v/>
      </c>
      <c r="AP33" s="3">
        <f>IF($A33="","",IF(AN33="-","-",$E33-AN33))</f>
        <v/>
      </c>
    </row>
    <row r="34">
      <c r="A34" s="3" t="inlineStr">
        <is>
          <t>Professional Certificate Course In Data Science September 2025</t>
        </is>
      </c>
      <c r="B34" s="4">
        <f>IF($A34="","",IFERROR(INDEX('Batch Enrollment (Metabase)'!$D$2:$D$47,MATCH($A34,'Batch Enrollment (Metabase)'!$A$2:$A$47,0)),""))</f>
        <v/>
      </c>
      <c r="C34" s="3">
        <f>IF($A34="","",IFERROR(INDEX('Batch Enrollment (Metabase)'!$E$2:$E$47,MATCH($A34,'Batch Enrollment (Metabase)'!$A$2:$A$47,0)),""))</f>
        <v/>
      </c>
      <c r="D34" s="3">
        <f>IF($A34="","",IFERROR(INDEX('Batch Enrollment (Metabase)'!$F$2:$F$47,MATCH($A34,'Batch Enrollment (Metabase)'!$A$2:$A$47,0)),""))</f>
        <v/>
      </c>
      <c r="E34" s="3">
        <f>IF($A34="","",COUNTIFS('Picked Students (raw)'!$B$2:$B$824,$A34,'Picked Students (raw)'!$E$2:$E$824,"Fresher"))</f>
        <v/>
      </c>
      <c r="F34" s="3">
        <f>IF($A34="","",IF($B34="","",IF(TODAY()&lt;$B34+30,"-",SUMPRODUCT(('Picked Students (raw)'!$B$2:$B$824=$A34)*('Picked Students (raw)'!$E$2:$E$824="Fresher")*('Picked Students (raw)'!$C$2:$C$824&lt;&gt;"")*(('Picked Students (raw)'!$C$2:$C$824-$B34)&lt;30)))))</f>
        <v/>
      </c>
      <c r="G34" s="5">
        <f>IF($A34="","",IF(F34="-","-",IF($D34=0,0,F34/$D34)))</f>
        <v/>
      </c>
      <c r="H34" s="3">
        <f>IF($A34="","",IF($B34="","",IF(TODAY()&lt;$B34+60,"-",SUMPRODUCT(('Picked Students (raw)'!$B$2:$B$824=$A34)*('Picked Students (raw)'!$E$2:$E$824="Fresher")*('Picked Students (raw)'!$C$2:$C$824&lt;&gt;"")*(('Picked Students (raw)'!$C$2:$C$824-$B34)&lt;60)))))</f>
        <v/>
      </c>
      <c r="I34" s="5">
        <f>IF($A34="","",IF(H34="-","-",IF($D34=0,0,H34/$D34)))</f>
        <v/>
      </c>
      <c r="J34" s="3">
        <f>IF($A34="","",IF($B34="","",IF(TODAY()&lt;$B34+90,"-",SUMPRODUCT(('Picked Students (raw)'!$B$2:$B$824=$A34)*('Picked Students (raw)'!$E$2:$E$824="Fresher")*('Picked Students (raw)'!$C$2:$C$824&lt;&gt;"")*(('Picked Students (raw)'!$C$2:$C$824-$B34)&lt;90)))))</f>
        <v/>
      </c>
      <c r="K34" s="5">
        <f>IF($A34="","",IF(J34="-","-",IF($D34=0,0,J34/$D34)))</f>
        <v/>
      </c>
      <c r="L34" s="3">
        <f>IF($A34="","",IF($B34="","",IF(TODAY()&lt;$B34+120,"-",SUMPRODUCT(('Picked Students (raw)'!$B$2:$B$824=$A34)*('Picked Students (raw)'!$E$2:$E$824="Fresher")*('Picked Students (raw)'!$C$2:$C$824&lt;&gt;"")*(('Picked Students (raw)'!$C$2:$C$824-$B34)&lt;120)))))</f>
        <v/>
      </c>
      <c r="M34" s="5">
        <f>IF($A34="","",IF(L34="-","-",IF($D34=0,0,L34/$D34)))</f>
        <v/>
      </c>
      <c r="N34" s="3">
        <f>IF($A34="","",IF($B34="","",IF(TODAY()&lt;$B34+150,"-",SUMPRODUCT(('Picked Students (raw)'!$B$2:$B$824=$A34)*('Picked Students (raw)'!$E$2:$E$824="Fresher")*('Picked Students (raw)'!$C$2:$C$824&lt;&gt;"")*(('Picked Students (raw)'!$C$2:$C$824-$B34)&lt;150)))))</f>
        <v/>
      </c>
      <c r="O34" s="5">
        <f>IF($A34="","",IF(N34="-","-",IF($D34=0,0,N34/$D34)))</f>
        <v/>
      </c>
      <c r="P34" s="3">
        <f>IF($A34="","",IF($B34="","",IF(TODAY()&lt;$B34+180,"-",SUMPRODUCT(('Picked Students (raw)'!$B$2:$B$824=$A34)*('Picked Students (raw)'!$E$2:$E$824="Fresher")*('Picked Students (raw)'!$C$2:$C$824&lt;&gt;"")*(('Picked Students (raw)'!$C$2:$C$824-$B34)&lt;180)))))</f>
        <v/>
      </c>
      <c r="Q34" s="5">
        <f>IF($A34="","",IF(P34="-","-",IF($D34=0,0,P34/$D34)))</f>
        <v/>
      </c>
      <c r="R34" s="3">
        <f>IF($A34="","",IF($B34="","",IF(TODAY()&lt;$B34+210,"-",SUMPRODUCT(('Picked Students (raw)'!$B$2:$B$824=$A34)*('Picked Students (raw)'!$E$2:$E$824="Fresher")*('Picked Students (raw)'!$C$2:$C$824&lt;&gt;"")*(('Picked Students (raw)'!$C$2:$C$824-$B34)&lt;210)))))</f>
        <v/>
      </c>
      <c r="S34" s="5">
        <f>IF($A34="","",IF(R34="-","-",IF($D34=0,0,R34/$D34)))</f>
        <v/>
      </c>
      <c r="T34" s="3">
        <f>IF($A34="","",IF($B34="","",IF(TODAY()&lt;$B34+240,"-",SUMPRODUCT(('Picked Students (raw)'!$B$2:$B$824=$A34)*('Picked Students (raw)'!$E$2:$E$824="Fresher")*('Picked Students (raw)'!$C$2:$C$824&lt;&gt;"")*(('Picked Students (raw)'!$C$2:$C$824-$B34)&lt;240)))))</f>
        <v/>
      </c>
      <c r="U34" s="5">
        <f>IF($A34="","",IF(T34="-","-",IF($D34=0,0,T34/$D34)))</f>
        <v/>
      </c>
      <c r="V34" s="3">
        <f>IF($A34="","",IF($B34="","",IF(TODAY()&lt;$B34+270,"-",SUMPRODUCT(('Picked Students (raw)'!$B$2:$B$824=$A34)*('Picked Students (raw)'!$E$2:$E$824="Fresher")*('Picked Students (raw)'!$C$2:$C$824&lt;&gt;"")*(('Picked Students (raw)'!$C$2:$C$824-$B34)&lt;270)))))</f>
        <v/>
      </c>
      <c r="W34" s="5">
        <f>IF($A34="","",IF(V34="-","-",IF($D34=0,0,V34/$D34)))</f>
        <v/>
      </c>
      <c r="X34" s="3">
        <f>IF($A34="","",IF($B34="","",IF(TODAY()&lt;$B34+300,"-",SUMPRODUCT(('Picked Students (raw)'!$B$2:$B$824=$A34)*('Picked Students (raw)'!$E$2:$E$824="Fresher")*('Picked Students (raw)'!$C$2:$C$824&lt;&gt;"")*(('Picked Students (raw)'!$C$2:$C$824-$B34)&lt;300)))))</f>
        <v/>
      </c>
      <c r="Y34" s="5">
        <f>IF($A34="","",IF(X34="-","-",IF($D34=0,0,X34/$D34)))</f>
        <v/>
      </c>
      <c r="Z34" s="3">
        <f>IF($A34="","",IF($B34="","",IF(TODAY()&lt;$B34+330,"-",SUMPRODUCT(('Picked Students (raw)'!$B$2:$B$824=$A34)*('Picked Students (raw)'!$E$2:$E$824="Fresher")*('Picked Students (raw)'!$C$2:$C$824&lt;&gt;"")*(('Picked Students (raw)'!$C$2:$C$824-$B34)&lt;330)))))</f>
        <v/>
      </c>
      <c r="AA34" s="5">
        <f>IF($A34="","",IF(Z34="-","-",IF($D34=0,0,Z34/$D34)))</f>
        <v/>
      </c>
      <c r="AB34" s="3">
        <f>IF($A34="","",IF($B34="","",IF(TODAY()&lt;$B34+360,"-",SUMPRODUCT(('Picked Students (raw)'!$B$2:$B$824=$A34)*('Picked Students (raw)'!$E$2:$E$824="Fresher")*('Picked Students (raw)'!$C$2:$C$824&lt;&gt;"")*(('Picked Students (raw)'!$C$2:$C$824-$B34)&lt;360)))))</f>
        <v/>
      </c>
      <c r="AC34" s="5">
        <f>IF($A34="","",IF(AB34="-","-",IF($D34=0,0,AB34/$D34)))</f>
        <v/>
      </c>
      <c r="AD34" s="3">
        <f>IF($A34="","",IF($B34="","",IF(TODAY()&lt;$B34+390,"-",SUMPRODUCT(('Picked Students (raw)'!$B$2:$B$824=$A34)*('Picked Students (raw)'!$E$2:$E$824="Fresher")*('Picked Students (raw)'!$C$2:$C$824&lt;&gt;"")*(('Picked Students (raw)'!$C$2:$C$824-$B34)&lt;390)))))</f>
        <v/>
      </c>
      <c r="AE34" s="5">
        <f>IF($A34="","",IF(AD34="-","-",IF($D34=0,0,AD34/$D34)))</f>
        <v/>
      </c>
      <c r="AF34" s="3">
        <f>IF($A34="","",IF($B34="","",IF(TODAY()&lt;$B34+420,"-",SUMPRODUCT(('Picked Students (raw)'!$B$2:$B$824=$A34)*('Picked Students (raw)'!$E$2:$E$824="Fresher")*('Picked Students (raw)'!$C$2:$C$824&lt;&gt;"")*(('Picked Students (raw)'!$C$2:$C$824-$B34)&lt;420)))))</f>
        <v/>
      </c>
      <c r="AG34" s="5">
        <f>IF($A34="","",IF(AF34="-","-",IF($D34=0,0,AF34/$D34)))</f>
        <v/>
      </c>
      <c r="AH34" s="3">
        <f>IF($A34="","",IF($B34="","",IF(TODAY()&lt;$B34+450,"-",SUMPRODUCT(('Picked Students (raw)'!$B$2:$B$824=$A34)*('Picked Students (raw)'!$E$2:$E$824="Fresher")*('Picked Students (raw)'!$C$2:$C$824&lt;&gt;"")*(('Picked Students (raw)'!$C$2:$C$824-$B34)&lt;450)))))</f>
        <v/>
      </c>
      <c r="AI34" s="5">
        <f>IF($A34="","",IF(AH34="-","-",IF($D34=0,0,AH34/$D34)))</f>
        <v/>
      </c>
      <c r="AJ34" s="3">
        <f>IF($A34="","",IF($B34="","",IF(TODAY()&lt;$B34+480,"-",SUMPRODUCT(('Picked Students (raw)'!$B$2:$B$824=$A34)*('Picked Students (raw)'!$E$2:$E$824="Fresher")*('Picked Students (raw)'!$C$2:$C$824&lt;&gt;"")*(('Picked Students (raw)'!$C$2:$C$824-$B34)&lt;480)))))</f>
        <v/>
      </c>
      <c r="AK34" s="5">
        <f>IF($A34="","",IF(AJ34="-","-",IF($D34=0,0,AJ34/$D34)))</f>
        <v/>
      </c>
      <c r="AL34" s="3">
        <f>IF($A34="","",IF($B34="","",IF(TODAY()&lt;$B34+510,"-",SUMPRODUCT(('Picked Students (raw)'!$B$2:$B$824=$A34)*('Picked Students (raw)'!$E$2:$E$824="Fresher")*('Picked Students (raw)'!$C$2:$C$824&lt;&gt;"")*(('Picked Students (raw)'!$C$2:$C$824-$B34)&lt;510)))))</f>
        <v/>
      </c>
      <c r="AM34" s="5">
        <f>IF($A34="","",IF(AL34="-","-",IF($D34=0,0,AL34/$D34)))</f>
        <v/>
      </c>
      <c r="AN34" s="3">
        <f>IF($A34="","",IF($B34="","",IF(TODAY()&lt;$B34+540,"-",SUMPRODUCT(('Picked Students (raw)'!$B$2:$B$824=$A34)*('Picked Students (raw)'!$E$2:$E$824="Fresher")*('Picked Students (raw)'!$C$2:$C$824&lt;&gt;"")*(('Picked Students (raw)'!$C$2:$C$824-$B34)&lt;540)))))</f>
        <v/>
      </c>
      <c r="AO34" s="5">
        <f>IF($A34="","",IF(AN34="-","-",IF($D34=0,0,AN34/$D34)))</f>
        <v/>
      </c>
      <c r="AP34" s="3">
        <f>IF($A34="","",IF(AN34="-","-",$E34-AN34))</f>
        <v/>
      </c>
    </row>
    <row r="35">
      <c r="A35" s="3" t="inlineStr">
        <is>
          <t>Professional Certificate Course In Data Science October 2025</t>
        </is>
      </c>
      <c r="B35" s="4">
        <f>IF($A35="","",IFERROR(INDEX('Batch Enrollment (Metabase)'!$D$2:$D$47,MATCH($A35,'Batch Enrollment (Metabase)'!$A$2:$A$47,0)),""))</f>
        <v/>
      </c>
      <c r="C35" s="3">
        <f>IF($A35="","",IFERROR(INDEX('Batch Enrollment (Metabase)'!$E$2:$E$47,MATCH($A35,'Batch Enrollment (Metabase)'!$A$2:$A$47,0)),""))</f>
        <v/>
      </c>
      <c r="D35" s="3">
        <f>IF($A35="","",IFERROR(INDEX('Batch Enrollment (Metabase)'!$F$2:$F$47,MATCH($A35,'Batch Enrollment (Metabase)'!$A$2:$A$47,0)),""))</f>
        <v/>
      </c>
      <c r="E35" s="3">
        <f>IF($A35="","",COUNTIFS('Picked Students (raw)'!$B$2:$B$824,$A35,'Picked Students (raw)'!$E$2:$E$824,"Fresher"))</f>
        <v/>
      </c>
      <c r="F35" s="3">
        <f>IF($A35="","",IF($B35="","",IF(TODAY()&lt;$B35+30,"-",SUMPRODUCT(('Picked Students (raw)'!$B$2:$B$824=$A35)*('Picked Students (raw)'!$E$2:$E$824="Fresher")*('Picked Students (raw)'!$C$2:$C$824&lt;&gt;"")*(('Picked Students (raw)'!$C$2:$C$824-$B35)&lt;30)))))</f>
        <v/>
      </c>
      <c r="G35" s="5">
        <f>IF($A35="","",IF(F35="-","-",IF($D35=0,0,F35/$D35)))</f>
        <v/>
      </c>
      <c r="H35" s="3">
        <f>IF($A35="","",IF($B35="","",IF(TODAY()&lt;$B35+60,"-",SUMPRODUCT(('Picked Students (raw)'!$B$2:$B$824=$A35)*('Picked Students (raw)'!$E$2:$E$824="Fresher")*('Picked Students (raw)'!$C$2:$C$824&lt;&gt;"")*(('Picked Students (raw)'!$C$2:$C$824-$B35)&lt;60)))))</f>
        <v/>
      </c>
      <c r="I35" s="5">
        <f>IF($A35="","",IF(H35="-","-",IF($D35=0,0,H35/$D35)))</f>
        <v/>
      </c>
      <c r="J35" s="3">
        <f>IF($A35="","",IF($B35="","",IF(TODAY()&lt;$B35+90,"-",SUMPRODUCT(('Picked Students (raw)'!$B$2:$B$824=$A35)*('Picked Students (raw)'!$E$2:$E$824="Fresher")*('Picked Students (raw)'!$C$2:$C$824&lt;&gt;"")*(('Picked Students (raw)'!$C$2:$C$824-$B35)&lt;90)))))</f>
        <v/>
      </c>
      <c r="K35" s="5">
        <f>IF($A35="","",IF(J35="-","-",IF($D35=0,0,J35/$D35)))</f>
        <v/>
      </c>
      <c r="L35" s="3">
        <f>IF($A35="","",IF($B35="","",IF(TODAY()&lt;$B35+120,"-",SUMPRODUCT(('Picked Students (raw)'!$B$2:$B$824=$A35)*('Picked Students (raw)'!$E$2:$E$824="Fresher")*('Picked Students (raw)'!$C$2:$C$824&lt;&gt;"")*(('Picked Students (raw)'!$C$2:$C$824-$B35)&lt;120)))))</f>
        <v/>
      </c>
      <c r="M35" s="5">
        <f>IF($A35="","",IF(L35="-","-",IF($D35=0,0,L35/$D35)))</f>
        <v/>
      </c>
      <c r="N35" s="3">
        <f>IF($A35="","",IF($B35="","",IF(TODAY()&lt;$B35+150,"-",SUMPRODUCT(('Picked Students (raw)'!$B$2:$B$824=$A35)*('Picked Students (raw)'!$E$2:$E$824="Fresher")*('Picked Students (raw)'!$C$2:$C$824&lt;&gt;"")*(('Picked Students (raw)'!$C$2:$C$824-$B35)&lt;150)))))</f>
        <v/>
      </c>
      <c r="O35" s="5">
        <f>IF($A35="","",IF(N35="-","-",IF($D35=0,0,N35/$D35)))</f>
        <v/>
      </c>
      <c r="P35" s="3">
        <f>IF($A35="","",IF($B35="","",IF(TODAY()&lt;$B35+180,"-",SUMPRODUCT(('Picked Students (raw)'!$B$2:$B$824=$A35)*('Picked Students (raw)'!$E$2:$E$824="Fresher")*('Picked Students (raw)'!$C$2:$C$824&lt;&gt;"")*(('Picked Students (raw)'!$C$2:$C$824-$B35)&lt;180)))))</f>
        <v/>
      </c>
      <c r="Q35" s="5">
        <f>IF($A35="","",IF(P35="-","-",IF($D35=0,0,P35/$D35)))</f>
        <v/>
      </c>
      <c r="R35" s="3">
        <f>IF($A35="","",IF($B35="","",IF(TODAY()&lt;$B35+210,"-",SUMPRODUCT(('Picked Students (raw)'!$B$2:$B$824=$A35)*('Picked Students (raw)'!$E$2:$E$824="Fresher")*('Picked Students (raw)'!$C$2:$C$824&lt;&gt;"")*(('Picked Students (raw)'!$C$2:$C$824-$B35)&lt;210)))))</f>
        <v/>
      </c>
      <c r="S35" s="5">
        <f>IF($A35="","",IF(R35="-","-",IF($D35=0,0,R35/$D35)))</f>
        <v/>
      </c>
      <c r="T35" s="3">
        <f>IF($A35="","",IF($B35="","",IF(TODAY()&lt;$B35+240,"-",SUMPRODUCT(('Picked Students (raw)'!$B$2:$B$824=$A35)*('Picked Students (raw)'!$E$2:$E$824="Fresher")*('Picked Students (raw)'!$C$2:$C$824&lt;&gt;"")*(('Picked Students (raw)'!$C$2:$C$824-$B35)&lt;240)))))</f>
        <v/>
      </c>
      <c r="U35" s="5">
        <f>IF($A35="","",IF(T35="-","-",IF($D35=0,0,T35/$D35)))</f>
        <v/>
      </c>
      <c r="V35" s="3">
        <f>IF($A35="","",IF($B35="","",IF(TODAY()&lt;$B35+270,"-",SUMPRODUCT(('Picked Students (raw)'!$B$2:$B$824=$A35)*('Picked Students (raw)'!$E$2:$E$824="Fresher")*('Picked Students (raw)'!$C$2:$C$824&lt;&gt;"")*(('Picked Students (raw)'!$C$2:$C$824-$B35)&lt;270)))))</f>
        <v/>
      </c>
      <c r="W35" s="5">
        <f>IF($A35="","",IF(V35="-","-",IF($D35=0,0,V35/$D35)))</f>
        <v/>
      </c>
      <c r="X35" s="3">
        <f>IF($A35="","",IF($B35="","",IF(TODAY()&lt;$B35+300,"-",SUMPRODUCT(('Picked Students (raw)'!$B$2:$B$824=$A35)*('Picked Students (raw)'!$E$2:$E$824="Fresher")*('Picked Students (raw)'!$C$2:$C$824&lt;&gt;"")*(('Picked Students (raw)'!$C$2:$C$824-$B35)&lt;300)))))</f>
        <v/>
      </c>
      <c r="Y35" s="5">
        <f>IF($A35="","",IF(X35="-","-",IF($D35=0,0,X35/$D35)))</f>
        <v/>
      </c>
      <c r="Z35" s="3">
        <f>IF($A35="","",IF($B35="","",IF(TODAY()&lt;$B35+330,"-",SUMPRODUCT(('Picked Students (raw)'!$B$2:$B$824=$A35)*('Picked Students (raw)'!$E$2:$E$824="Fresher")*('Picked Students (raw)'!$C$2:$C$824&lt;&gt;"")*(('Picked Students (raw)'!$C$2:$C$824-$B35)&lt;330)))))</f>
        <v/>
      </c>
      <c r="AA35" s="5">
        <f>IF($A35="","",IF(Z35="-","-",IF($D35=0,0,Z35/$D35)))</f>
        <v/>
      </c>
      <c r="AB35" s="3">
        <f>IF($A35="","",IF($B35="","",IF(TODAY()&lt;$B35+360,"-",SUMPRODUCT(('Picked Students (raw)'!$B$2:$B$824=$A35)*('Picked Students (raw)'!$E$2:$E$824="Fresher")*('Picked Students (raw)'!$C$2:$C$824&lt;&gt;"")*(('Picked Students (raw)'!$C$2:$C$824-$B35)&lt;360)))))</f>
        <v/>
      </c>
      <c r="AC35" s="5">
        <f>IF($A35="","",IF(AB35="-","-",IF($D35=0,0,AB35/$D35)))</f>
        <v/>
      </c>
      <c r="AD35" s="3">
        <f>IF($A35="","",IF($B35="","",IF(TODAY()&lt;$B35+390,"-",SUMPRODUCT(('Picked Students (raw)'!$B$2:$B$824=$A35)*('Picked Students (raw)'!$E$2:$E$824="Fresher")*('Picked Students (raw)'!$C$2:$C$824&lt;&gt;"")*(('Picked Students (raw)'!$C$2:$C$824-$B35)&lt;390)))))</f>
        <v/>
      </c>
      <c r="AE35" s="5">
        <f>IF($A35="","",IF(AD35="-","-",IF($D35=0,0,AD35/$D35)))</f>
        <v/>
      </c>
      <c r="AF35" s="3">
        <f>IF($A35="","",IF($B35="","",IF(TODAY()&lt;$B35+420,"-",SUMPRODUCT(('Picked Students (raw)'!$B$2:$B$824=$A35)*('Picked Students (raw)'!$E$2:$E$824="Fresher")*('Picked Students (raw)'!$C$2:$C$824&lt;&gt;"")*(('Picked Students (raw)'!$C$2:$C$824-$B35)&lt;420)))))</f>
        <v/>
      </c>
      <c r="AG35" s="5">
        <f>IF($A35="","",IF(AF35="-","-",IF($D35=0,0,AF35/$D35)))</f>
        <v/>
      </c>
      <c r="AH35" s="3">
        <f>IF($A35="","",IF($B35="","",IF(TODAY()&lt;$B35+450,"-",SUMPRODUCT(('Picked Students (raw)'!$B$2:$B$824=$A35)*('Picked Students (raw)'!$E$2:$E$824="Fresher")*('Picked Students (raw)'!$C$2:$C$824&lt;&gt;"")*(('Picked Students (raw)'!$C$2:$C$824-$B35)&lt;450)))))</f>
        <v/>
      </c>
      <c r="AI35" s="5">
        <f>IF($A35="","",IF(AH35="-","-",IF($D35=0,0,AH35/$D35)))</f>
        <v/>
      </c>
      <c r="AJ35" s="3">
        <f>IF($A35="","",IF($B35="","",IF(TODAY()&lt;$B35+480,"-",SUMPRODUCT(('Picked Students (raw)'!$B$2:$B$824=$A35)*('Picked Students (raw)'!$E$2:$E$824="Fresher")*('Picked Students (raw)'!$C$2:$C$824&lt;&gt;"")*(('Picked Students (raw)'!$C$2:$C$824-$B35)&lt;480)))))</f>
        <v/>
      </c>
      <c r="AK35" s="5">
        <f>IF($A35="","",IF(AJ35="-","-",IF($D35=0,0,AJ35/$D35)))</f>
        <v/>
      </c>
      <c r="AL35" s="3">
        <f>IF($A35="","",IF($B35="","",IF(TODAY()&lt;$B35+510,"-",SUMPRODUCT(('Picked Students (raw)'!$B$2:$B$824=$A35)*('Picked Students (raw)'!$E$2:$E$824="Fresher")*('Picked Students (raw)'!$C$2:$C$824&lt;&gt;"")*(('Picked Students (raw)'!$C$2:$C$824-$B35)&lt;510)))))</f>
        <v/>
      </c>
      <c r="AM35" s="5">
        <f>IF($A35="","",IF(AL35="-","-",IF($D35=0,0,AL35/$D35)))</f>
        <v/>
      </c>
      <c r="AN35" s="3">
        <f>IF($A35="","",IF($B35="","",IF(TODAY()&lt;$B35+540,"-",SUMPRODUCT(('Picked Students (raw)'!$B$2:$B$824=$A35)*('Picked Students (raw)'!$E$2:$E$824="Fresher")*('Picked Students (raw)'!$C$2:$C$824&lt;&gt;"")*(('Picked Students (raw)'!$C$2:$C$824-$B35)&lt;540)))))</f>
        <v/>
      </c>
      <c r="AO35" s="5">
        <f>IF($A35="","",IF(AN35="-","-",IF($D35=0,0,AN35/$D35)))</f>
        <v/>
      </c>
      <c r="AP35" s="3">
        <f>IF($A35="","",IF(AN35="-","-",$E35-AN35))</f>
        <v/>
      </c>
    </row>
    <row r="36">
      <c r="A36" s="3" t="inlineStr">
        <is>
          <t>Professional Certificate Course In Data Science November 2025</t>
        </is>
      </c>
      <c r="B36" s="4">
        <f>IF($A36="","",IFERROR(INDEX('Batch Enrollment (Metabase)'!$D$2:$D$47,MATCH($A36,'Batch Enrollment (Metabase)'!$A$2:$A$47,0)),""))</f>
        <v/>
      </c>
      <c r="C36" s="3">
        <f>IF($A36="","",IFERROR(INDEX('Batch Enrollment (Metabase)'!$E$2:$E$47,MATCH($A36,'Batch Enrollment (Metabase)'!$A$2:$A$47,0)),""))</f>
        <v/>
      </c>
      <c r="D36" s="3">
        <f>IF($A36="","",IFERROR(INDEX('Batch Enrollment (Metabase)'!$F$2:$F$47,MATCH($A36,'Batch Enrollment (Metabase)'!$A$2:$A$47,0)),""))</f>
        <v/>
      </c>
      <c r="E36" s="3">
        <f>IF($A36="","",COUNTIFS('Picked Students (raw)'!$B$2:$B$824,$A36,'Picked Students (raw)'!$E$2:$E$824,"Fresher"))</f>
        <v/>
      </c>
      <c r="F36" s="3">
        <f>IF($A36="","",IF($B36="","",IF(TODAY()&lt;$B36+30,"-",SUMPRODUCT(('Picked Students (raw)'!$B$2:$B$824=$A36)*('Picked Students (raw)'!$E$2:$E$824="Fresher")*('Picked Students (raw)'!$C$2:$C$824&lt;&gt;"")*(('Picked Students (raw)'!$C$2:$C$824-$B36)&lt;30)))))</f>
        <v/>
      </c>
      <c r="G36" s="5">
        <f>IF($A36="","",IF(F36="-","-",IF($D36=0,0,F36/$D36)))</f>
        <v/>
      </c>
      <c r="H36" s="3">
        <f>IF($A36="","",IF($B36="","",IF(TODAY()&lt;$B36+60,"-",SUMPRODUCT(('Picked Students (raw)'!$B$2:$B$824=$A36)*('Picked Students (raw)'!$E$2:$E$824="Fresher")*('Picked Students (raw)'!$C$2:$C$824&lt;&gt;"")*(('Picked Students (raw)'!$C$2:$C$824-$B36)&lt;60)))))</f>
        <v/>
      </c>
      <c r="I36" s="5">
        <f>IF($A36="","",IF(H36="-","-",IF($D36=0,0,H36/$D36)))</f>
        <v/>
      </c>
      <c r="J36" s="3">
        <f>IF($A36="","",IF($B36="","",IF(TODAY()&lt;$B36+90,"-",SUMPRODUCT(('Picked Students (raw)'!$B$2:$B$824=$A36)*('Picked Students (raw)'!$E$2:$E$824="Fresher")*('Picked Students (raw)'!$C$2:$C$824&lt;&gt;"")*(('Picked Students (raw)'!$C$2:$C$824-$B36)&lt;90)))))</f>
        <v/>
      </c>
      <c r="K36" s="5">
        <f>IF($A36="","",IF(J36="-","-",IF($D36=0,0,J36/$D36)))</f>
        <v/>
      </c>
      <c r="L36" s="3">
        <f>IF($A36="","",IF($B36="","",IF(TODAY()&lt;$B36+120,"-",SUMPRODUCT(('Picked Students (raw)'!$B$2:$B$824=$A36)*('Picked Students (raw)'!$E$2:$E$824="Fresher")*('Picked Students (raw)'!$C$2:$C$824&lt;&gt;"")*(('Picked Students (raw)'!$C$2:$C$824-$B36)&lt;120)))))</f>
        <v/>
      </c>
      <c r="M36" s="5">
        <f>IF($A36="","",IF(L36="-","-",IF($D36=0,0,L36/$D36)))</f>
        <v/>
      </c>
      <c r="N36" s="3">
        <f>IF($A36="","",IF($B36="","",IF(TODAY()&lt;$B36+150,"-",SUMPRODUCT(('Picked Students (raw)'!$B$2:$B$824=$A36)*('Picked Students (raw)'!$E$2:$E$824="Fresher")*('Picked Students (raw)'!$C$2:$C$824&lt;&gt;"")*(('Picked Students (raw)'!$C$2:$C$824-$B36)&lt;150)))))</f>
        <v/>
      </c>
      <c r="O36" s="5">
        <f>IF($A36="","",IF(N36="-","-",IF($D36=0,0,N36/$D36)))</f>
        <v/>
      </c>
      <c r="P36" s="3">
        <f>IF($A36="","",IF($B36="","",IF(TODAY()&lt;$B36+180,"-",SUMPRODUCT(('Picked Students (raw)'!$B$2:$B$824=$A36)*('Picked Students (raw)'!$E$2:$E$824="Fresher")*('Picked Students (raw)'!$C$2:$C$824&lt;&gt;"")*(('Picked Students (raw)'!$C$2:$C$824-$B36)&lt;180)))))</f>
        <v/>
      </c>
      <c r="Q36" s="5">
        <f>IF($A36="","",IF(P36="-","-",IF($D36=0,0,P36/$D36)))</f>
        <v/>
      </c>
      <c r="R36" s="3">
        <f>IF($A36="","",IF($B36="","",IF(TODAY()&lt;$B36+210,"-",SUMPRODUCT(('Picked Students (raw)'!$B$2:$B$824=$A36)*('Picked Students (raw)'!$E$2:$E$824="Fresher")*('Picked Students (raw)'!$C$2:$C$824&lt;&gt;"")*(('Picked Students (raw)'!$C$2:$C$824-$B36)&lt;210)))))</f>
        <v/>
      </c>
      <c r="S36" s="5">
        <f>IF($A36="","",IF(R36="-","-",IF($D36=0,0,R36/$D36)))</f>
        <v/>
      </c>
      <c r="T36" s="3">
        <f>IF($A36="","",IF($B36="","",IF(TODAY()&lt;$B36+240,"-",SUMPRODUCT(('Picked Students (raw)'!$B$2:$B$824=$A36)*('Picked Students (raw)'!$E$2:$E$824="Fresher")*('Picked Students (raw)'!$C$2:$C$824&lt;&gt;"")*(('Picked Students (raw)'!$C$2:$C$824-$B36)&lt;240)))))</f>
        <v/>
      </c>
      <c r="U36" s="5">
        <f>IF($A36="","",IF(T36="-","-",IF($D36=0,0,T36/$D36)))</f>
        <v/>
      </c>
      <c r="V36" s="3">
        <f>IF($A36="","",IF($B36="","",IF(TODAY()&lt;$B36+270,"-",SUMPRODUCT(('Picked Students (raw)'!$B$2:$B$824=$A36)*('Picked Students (raw)'!$E$2:$E$824="Fresher")*('Picked Students (raw)'!$C$2:$C$824&lt;&gt;"")*(('Picked Students (raw)'!$C$2:$C$824-$B36)&lt;270)))))</f>
        <v/>
      </c>
      <c r="W36" s="5">
        <f>IF($A36="","",IF(V36="-","-",IF($D36=0,0,V36/$D36)))</f>
        <v/>
      </c>
      <c r="X36" s="3">
        <f>IF($A36="","",IF($B36="","",IF(TODAY()&lt;$B36+300,"-",SUMPRODUCT(('Picked Students (raw)'!$B$2:$B$824=$A36)*('Picked Students (raw)'!$E$2:$E$824="Fresher")*('Picked Students (raw)'!$C$2:$C$824&lt;&gt;"")*(('Picked Students (raw)'!$C$2:$C$824-$B36)&lt;300)))))</f>
        <v/>
      </c>
      <c r="Y36" s="5">
        <f>IF($A36="","",IF(X36="-","-",IF($D36=0,0,X36/$D36)))</f>
        <v/>
      </c>
      <c r="Z36" s="3">
        <f>IF($A36="","",IF($B36="","",IF(TODAY()&lt;$B36+330,"-",SUMPRODUCT(('Picked Students (raw)'!$B$2:$B$824=$A36)*('Picked Students (raw)'!$E$2:$E$824="Fresher")*('Picked Students (raw)'!$C$2:$C$824&lt;&gt;"")*(('Picked Students (raw)'!$C$2:$C$824-$B36)&lt;330)))))</f>
        <v/>
      </c>
      <c r="AA36" s="5">
        <f>IF($A36="","",IF(Z36="-","-",IF($D36=0,0,Z36/$D36)))</f>
        <v/>
      </c>
      <c r="AB36" s="3">
        <f>IF($A36="","",IF($B36="","",IF(TODAY()&lt;$B36+360,"-",SUMPRODUCT(('Picked Students (raw)'!$B$2:$B$824=$A36)*('Picked Students (raw)'!$E$2:$E$824="Fresher")*('Picked Students (raw)'!$C$2:$C$824&lt;&gt;"")*(('Picked Students (raw)'!$C$2:$C$824-$B36)&lt;360)))))</f>
        <v/>
      </c>
      <c r="AC36" s="5">
        <f>IF($A36="","",IF(AB36="-","-",IF($D36=0,0,AB36/$D36)))</f>
        <v/>
      </c>
      <c r="AD36" s="3">
        <f>IF($A36="","",IF($B36="","",IF(TODAY()&lt;$B36+390,"-",SUMPRODUCT(('Picked Students (raw)'!$B$2:$B$824=$A36)*('Picked Students (raw)'!$E$2:$E$824="Fresher")*('Picked Students (raw)'!$C$2:$C$824&lt;&gt;"")*(('Picked Students (raw)'!$C$2:$C$824-$B36)&lt;390)))))</f>
        <v/>
      </c>
      <c r="AE36" s="5">
        <f>IF($A36="","",IF(AD36="-","-",IF($D36=0,0,AD36/$D36)))</f>
        <v/>
      </c>
      <c r="AF36" s="3">
        <f>IF($A36="","",IF($B36="","",IF(TODAY()&lt;$B36+420,"-",SUMPRODUCT(('Picked Students (raw)'!$B$2:$B$824=$A36)*('Picked Students (raw)'!$E$2:$E$824="Fresher")*('Picked Students (raw)'!$C$2:$C$824&lt;&gt;"")*(('Picked Students (raw)'!$C$2:$C$824-$B36)&lt;420)))))</f>
        <v/>
      </c>
      <c r="AG36" s="5">
        <f>IF($A36="","",IF(AF36="-","-",IF($D36=0,0,AF36/$D36)))</f>
        <v/>
      </c>
      <c r="AH36" s="3">
        <f>IF($A36="","",IF($B36="","",IF(TODAY()&lt;$B36+450,"-",SUMPRODUCT(('Picked Students (raw)'!$B$2:$B$824=$A36)*('Picked Students (raw)'!$E$2:$E$824="Fresher")*('Picked Students (raw)'!$C$2:$C$824&lt;&gt;"")*(('Picked Students (raw)'!$C$2:$C$824-$B36)&lt;450)))))</f>
        <v/>
      </c>
      <c r="AI36" s="5">
        <f>IF($A36="","",IF(AH36="-","-",IF($D36=0,0,AH36/$D36)))</f>
        <v/>
      </c>
      <c r="AJ36" s="3">
        <f>IF($A36="","",IF($B36="","",IF(TODAY()&lt;$B36+480,"-",SUMPRODUCT(('Picked Students (raw)'!$B$2:$B$824=$A36)*('Picked Students (raw)'!$E$2:$E$824="Fresher")*('Picked Students (raw)'!$C$2:$C$824&lt;&gt;"")*(('Picked Students (raw)'!$C$2:$C$824-$B36)&lt;480)))))</f>
        <v/>
      </c>
      <c r="AK36" s="5">
        <f>IF($A36="","",IF(AJ36="-","-",IF($D36=0,0,AJ36/$D36)))</f>
        <v/>
      </c>
      <c r="AL36" s="3">
        <f>IF($A36="","",IF($B36="","",IF(TODAY()&lt;$B36+510,"-",SUMPRODUCT(('Picked Students (raw)'!$B$2:$B$824=$A36)*('Picked Students (raw)'!$E$2:$E$824="Fresher")*('Picked Students (raw)'!$C$2:$C$824&lt;&gt;"")*(('Picked Students (raw)'!$C$2:$C$824-$B36)&lt;510)))))</f>
        <v/>
      </c>
      <c r="AM36" s="5">
        <f>IF($A36="","",IF(AL36="-","-",IF($D36=0,0,AL36/$D36)))</f>
        <v/>
      </c>
      <c r="AN36" s="3">
        <f>IF($A36="","",IF($B36="","",IF(TODAY()&lt;$B36+540,"-",SUMPRODUCT(('Picked Students (raw)'!$B$2:$B$824=$A36)*('Picked Students (raw)'!$E$2:$E$824="Fresher")*('Picked Students (raw)'!$C$2:$C$824&lt;&gt;"")*(('Picked Students (raw)'!$C$2:$C$824-$B36)&lt;540)))))</f>
        <v/>
      </c>
      <c r="AO36" s="5">
        <f>IF($A36="","",IF(AN36="-","-",IF($D36=0,0,AN36/$D36)))</f>
        <v/>
      </c>
      <c r="AP36" s="3">
        <f>IF($A36="","",IF(AN36="-","-",$E36-AN36))</f>
        <v/>
      </c>
    </row>
    <row r="37">
      <c r="A37" s="3" t="inlineStr">
        <is>
          <t>Professional Certificate Course In Data Science December 2025</t>
        </is>
      </c>
      <c r="B37" s="4">
        <f>IF($A37="","",IFERROR(INDEX('Batch Enrollment (Metabase)'!$D$2:$D$47,MATCH($A37,'Batch Enrollment (Metabase)'!$A$2:$A$47,0)),""))</f>
        <v/>
      </c>
      <c r="C37" s="3">
        <f>IF($A37="","",IFERROR(INDEX('Batch Enrollment (Metabase)'!$E$2:$E$47,MATCH($A37,'Batch Enrollment (Metabase)'!$A$2:$A$47,0)),""))</f>
        <v/>
      </c>
      <c r="D37" s="3">
        <f>IF($A37="","",IFERROR(INDEX('Batch Enrollment (Metabase)'!$F$2:$F$47,MATCH($A37,'Batch Enrollment (Metabase)'!$A$2:$A$47,0)),""))</f>
        <v/>
      </c>
      <c r="E37" s="3">
        <f>IF($A37="","",COUNTIFS('Picked Students (raw)'!$B$2:$B$824,$A37,'Picked Students (raw)'!$E$2:$E$824,"Fresher"))</f>
        <v/>
      </c>
      <c r="F37" s="3">
        <f>IF($A37="","",IF($B37="","",IF(TODAY()&lt;$B37+30,"-",SUMPRODUCT(('Picked Students (raw)'!$B$2:$B$824=$A37)*('Picked Students (raw)'!$E$2:$E$824="Fresher")*('Picked Students (raw)'!$C$2:$C$824&lt;&gt;"")*(('Picked Students (raw)'!$C$2:$C$824-$B37)&lt;30)))))</f>
        <v/>
      </c>
      <c r="G37" s="5">
        <f>IF($A37="","",IF(F37="-","-",IF($D37=0,0,F37/$D37)))</f>
        <v/>
      </c>
      <c r="H37" s="3">
        <f>IF($A37="","",IF($B37="","",IF(TODAY()&lt;$B37+60,"-",SUMPRODUCT(('Picked Students (raw)'!$B$2:$B$824=$A37)*('Picked Students (raw)'!$E$2:$E$824="Fresher")*('Picked Students (raw)'!$C$2:$C$824&lt;&gt;"")*(('Picked Students (raw)'!$C$2:$C$824-$B37)&lt;60)))))</f>
        <v/>
      </c>
      <c r="I37" s="5">
        <f>IF($A37="","",IF(H37="-","-",IF($D37=0,0,H37/$D37)))</f>
        <v/>
      </c>
      <c r="J37" s="3">
        <f>IF($A37="","",IF($B37="","",IF(TODAY()&lt;$B37+90,"-",SUMPRODUCT(('Picked Students (raw)'!$B$2:$B$824=$A37)*('Picked Students (raw)'!$E$2:$E$824="Fresher")*('Picked Students (raw)'!$C$2:$C$824&lt;&gt;"")*(('Picked Students (raw)'!$C$2:$C$824-$B37)&lt;90)))))</f>
        <v/>
      </c>
      <c r="K37" s="5">
        <f>IF($A37="","",IF(J37="-","-",IF($D37=0,0,J37/$D37)))</f>
        <v/>
      </c>
      <c r="L37" s="3">
        <f>IF($A37="","",IF($B37="","",IF(TODAY()&lt;$B37+120,"-",SUMPRODUCT(('Picked Students (raw)'!$B$2:$B$824=$A37)*('Picked Students (raw)'!$E$2:$E$824="Fresher")*('Picked Students (raw)'!$C$2:$C$824&lt;&gt;"")*(('Picked Students (raw)'!$C$2:$C$824-$B37)&lt;120)))))</f>
        <v/>
      </c>
      <c r="M37" s="5">
        <f>IF($A37="","",IF(L37="-","-",IF($D37=0,0,L37/$D37)))</f>
        <v/>
      </c>
      <c r="N37" s="3">
        <f>IF($A37="","",IF($B37="","",IF(TODAY()&lt;$B37+150,"-",SUMPRODUCT(('Picked Students (raw)'!$B$2:$B$824=$A37)*('Picked Students (raw)'!$E$2:$E$824="Fresher")*('Picked Students (raw)'!$C$2:$C$824&lt;&gt;"")*(('Picked Students (raw)'!$C$2:$C$824-$B37)&lt;150)))))</f>
        <v/>
      </c>
      <c r="O37" s="5">
        <f>IF($A37="","",IF(N37="-","-",IF($D37=0,0,N37/$D37)))</f>
        <v/>
      </c>
      <c r="P37" s="3">
        <f>IF($A37="","",IF($B37="","",IF(TODAY()&lt;$B37+180,"-",SUMPRODUCT(('Picked Students (raw)'!$B$2:$B$824=$A37)*('Picked Students (raw)'!$E$2:$E$824="Fresher")*('Picked Students (raw)'!$C$2:$C$824&lt;&gt;"")*(('Picked Students (raw)'!$C$2:$C$824-$B37)&lt;180)))))</f>
        <v/>
      </c>
      <c r="Q37" s="5">
        <f>IF($A37="","",IF(P37="-","-",IF($D37=0,0,P37/$D37)))</f>
        <v/>
      </c>
      <c r="R37" s="3">
        <f>IF($A37="","",IF($B37="","",IF(TODAY()&lt;$B37+210,"-",SUMPRODUCT(('Picked Students (raw)'!$B$2:$B$824=$A37)*('Picked Students (raw)'!$E$2:$E$824="Fresher")*('Picked Students (raw)'!$C$2:$C$824&lt;&gt;"")*(('Picked Students (raw)'!$C$2:$C$824-$B37)&lt;210)))))</f>
        <v/>
      </c>
      <c r="S37" s="5">
        <f>IF($A37="","",IF(R37="-","-",IF($D37=0,0,R37/$D37)))</f>
        <v/>
      </c>
      <c r="T37" s="3">
        <f>IF($A37="","",IF($B37="","",IF(TODAY()&lt;$B37+240,"-",SUMPRODUCT(('Picked Students (raw)'!$B$2:$B$824=$A37)*('Picked Students (raw)'!$E$2:$E$824="Fresher")*('Picked Students (raw)'!$C$2:$C$824&lt;&gt;"")*(('Picked Students (raw)'!$C$2:$C$824-$B37)&lt;240)))))</f>
        <v/>
      </c>
      <c r="U37" s="5">
        <f>IF($A37="","",IF(T37="-","-",IF($D37=0,0,T37/$D37)))</f>
        <v/>
      </c>
      <c r="V37" s="3">
        <f>IF($A37="","",IF($B37="","",IF(TODAY()&lt;$B37+270,"-",SUMPRODUCT(('Picked Students (raw)'!$B$2:$B$824=$A37)*('Picked Students (raw)'!$E$2:$E$824="Fresher")*('Picked Students (raw)'!$C$2:$C$824&lt;&gt;"")*(('Picked Students (raw)'!$C$2:$C$824-$B37)&lt;270)))))</f>
        <v/>
      </c>
      <c r="W37" s="5">
        <f>IF($A37="","",IF(V37="-","-",IF($D37=0,0,V37/$D37)))</f>
        <v/>
      </c>
      <c r="X37" s="3">
        <f>IF($A37="","",IF($B37="","",IF(TODAY()&lt;$B37+300,"-",SUMPRODUCT(('Picked Students (raw)'!$B$2:$B$824=$A37)*('Picked Students (raw)'!$E$2:$E$824="Fresher")*('Picked Students (raw)'!$C$2:$C$824&lt;&gt;"")*(('Picked Students (raw)'!$C$2:$C$824-$B37)&lt;300)))))</f>
        <v/>
      </c>
      <c r="Y37" s="5">
        <f>IF($A37="","",IF(X37="-","-",IF($D37=0,0,X37/$D37)))</f>
        <v/>
      </c>
      <c r="Z37" s="3">
        <f>IF($A37="","",IF($B37="","",IF(TODAY()&lt;$B37+330,"-",SUMPRODUCT(('Picked Students (raw)'!$B$2:$B$824=$A37)*('Picked Students (raw)'!$E$2:$E$824="Fresher")*('Picked Students (raw)'!$C$2:$C$824&lt;&gt;"")*(('Picked Students (raw)'!$C$2:$C$824-$B37)&lt;330)))))</f>
        <v/>
      </c>
      <c r="AA37" s="5">
        <f>IF($A37="","",IF(Z37="-","-",IF($D37=0,0,Z37/$D37)))</f>
        <v/>
      </c>
      <c r="AB37" s="3">
        <f>IF($A37="","",IF($B37="","",IF(TODAY()&lt;$B37+360,"-",SUMPRODUCT(('Picked Students (raw)'!$B$2:$B$824=$A37)*('Picked Students (raw)'!$E$2:$E$824="Fresher")*('Picked Students (raw)'!$C$2:$C$824&lt;&gt;"")*(('Picked Students (raw)'!$C$2:$C$824-$B37)&lt;360)))))</f>
        <v/>
      </c>
      <c r="AC37" s="5">
        <f>IF($A37="","",IF(AB37="-","-",IF($D37=0,0,AB37/$D37)))</f>
        <v/>
      </c>
      <c r="AD37" s="3">
        <f>IF($A37="","",IF($B37="","",IF(TODAY()&lt;$B37+390,"-",SUMPRODUCT(('Picked Students (raw)'!$B$2:$B$824=$A37)*('Picked Students (raw)'!$E$2:$E$824="Fresher")*('Picked Students (raw)'!$C$2:$C$824&lt;&gt;"")*(('Picked Students (raw)'!$C$2:$C$824-$B37)&lt;390)))))</f>
        <v/>
      </c>
      <c r="AE37" s="5">
        <f>IF($A37="","",IF(AD37="-","-",IF($D37=0,0,AD37/$D37)))</f>
        <v/>
      </c>
      <c r="AF37" s="3">
        <f>IF($A37="","",IF($B37="","",IF(TODAY()&lt;$B37+420,"-",SUMPRODUCT(('Picked Students (raw)'!$B$2:$B$824=$A37)*('Picked Students (raw)'!$E$2:$E$824="Fresher")*('Picked Students (raw)'!$C$2:$C$824&lt;&gt;"")*(('Picked Students (raw)'!$C$2:$C$824-$B37)&lt;420)))))</f>
        <v/>
      </c>
      <c r="AG37" s="5">
        <f>IF($A37="","",IF(AF37="-","-",IF($D37=0,0,AF37/$D37)))</f>
        <v/>
      </c>
      <c r="AH37" s="3">
        <f>IF($A37="","",IF($B37="","",IF(TODAY()&lt;$B37+450,"-",SUMPRODUCT(('Picked Students (raw)'!$B$2:$B$824=$A37)*('Picked Students (raw)'!$E$2:$E$824="Fresher")*('Picked Students (raw)'!$C$2:$C$824&lt;&gt;"")*(('Picked Students (raw)'!$C$2:$C$824-$B37)&lt;450)))))</f>
        <v/>
      </c>
      <c r="AI37" s="5">
        <f>IF($A37="","",IF(AH37="-","-",IF($D37=0,0,AH37/$D37)))</f>
        <v/>
      </c>
      <c r="AJ37" s="3">
        <f>IF($A37="","",IF($B37="","",IF(TODAY()&lt;$B37+480,"-",SUMPRODUCT(('Picked Students (raw)'!$B$2:$B$824=$A37)*('Picked Students (raw)'!$E$2:$E$824="Fresher")*('Picked Students (raw)'!$C$2:$C$824&lt;&gt;"")*(('Picked Students (raw)'!$C$2:$C$824-$B37)&lt;480)))))</f>
        <v/>
      </c>
      <c r="AK37" s="5">
        <f>IF($A37="","",IF(AJ37="-","-",IF($D37=0,0,AJ37/$D37)))</f>
        <v/>
      </c>
      <c r="AL37" s="3">
        <f>IF($A37="","",IF($B37="","",IF(TODAY()&lt;$B37+510,"-",SUMPRODUCT(('Picked Students (raw)'!$B$2:$B$824=$A37)*('Picked Students (raw)'!$E$2:$E$824="Fresher")*('Picked Students (raw)'!$C$2:$C$824&lt;&gt;"")*(('Picked Students (raw)'!$C$2:$C$824-$B37)&lt;510)))))</f>
        <v/>
      </c>
      <c r="AM37" s="5">
        <f>IF($A37="","",IF(AL37="-","-",IF($D37=0,0,AL37/$D37)))</f>
        <v/>
      </c>
      <c r="AN37" s="3">
        <f>IF($A37="","",IF($B37="","",IF(TODAY()&lt;$B37+540,"-",SUMPRODUCT(('Picked Students (raw)'!$B$2:$B$824=$A37)*('Picked Students (raw)'!$E$2:$E$824="Fresher")*('Picked Students (raw)'!$C$2:$C$824&lt;&gt;"")*(('Picked Students (raw)'!$C$2:$C$824-$B37)&lt;540)))))</f>
        <v/>
      </c>
      <c r="AO37" s="5">
        <f>IF($A37="","",IF(AN37="-","-",IF($D37=0,0,AN37/$D37)))</f>
        <v/>
      </c>
      <c r="AP37" s="3">
        <f>IF($A37="","",IF(AN37="-","-",$E37-AN37))</f>
        <v/>
      </c>
    </row>
    <row r="38">
      <c r="A38" s="3" t="inlineStr">
        <is>
          <t>Professional Certificate Course In Data Science January 2026</t>
        </is>
      </c>
      <c r="B38" s="4">
        <f>IF($A38="","",IFERROR(INDEX('Batch Enrollment (Metabase)'!$D$2:$D$47,MATCH($A38,'Batch Enrollment (Metabase)'!$A$2:$A$47,0)),""))</f>
        <v/>
      </c>
      <c r="C38" s="3">
        <f>IF($A38="","",IFERROR(INDEX('Batch Enrollment (Metabase)'!$E$2:$E$47,MATCH($A38,'Batch Enrollment (Metabase)'!$A$2:$A$47,0)),""))</f>
        <v/>
      </c>
      <c r="D38" s="3">
        <f>IF($A38="","",IFERROR(INDEX('Batch Enrollment (Metabase)'!$F$2:$F$47,MATCH($A38,'Batch Enrollment (Metabase)'!$A$2:$A$47,0)),""))</f>
        <v/>
      </c>
      <c r="E38" s="3">
        <f>IF($A38="","",COUNTIFS('Picked Students (raw)'!$B$2:$B$824,$A38,'Picked Students (raw)'!$E$2:$E$824,"Fresher"))</f>
        <v/>
      </c>
      <c r="F38" s="3">
        <f>IF($A38="","",IF($B38="","",IF(TODAY()&lt;$B38+30,"-",SUMPRODUCT(('Picked Students (raw)'!$B$2:$B$824=$A38)*('Picked Students (raw)'!$E$2:$E$824="Fresher")*('Picked Students (raw)'!$C$2:$C$824&lt;&gt;"")*(('Picked Students (raw)'!$C$2:$C$824-$B38)&lt;30)))))</f>
        <v/>
      </c>
      <c r="G38" s="5">
        <f>IF($A38="","",IF(F38="-","-",IF($D38=0,0,F38/$D38)))</f>
        <v/>
      </c>
      <c r="H38" s="3">
        <f>IF($A38="","",IF($B38="","",IF(TODAY()&lt;$B38+60,"-",SUMPRODUCT(('Picked Students (raw)'!$B$2:$B$824=$A38)*('Picked Students (raw)'!$E$2:$E$824="Fresher")*('Picked Students (raw)'!$C$2:$C$824&lt;&gt;"")*(('Picked Students (raw)'!$C$2:$C$824-$B38)&lt;60)))))</f>
        <v/>
      </c>
      <c r="I38" s="5">
        <f>IF($A38="","",IF(H38="-","-",IF($D38=0,0,H38/$D38)))</f>
        <v/>
      </c>
      <c r="J38" s="3">
        <f>IF($A38="","",IF($B38="","",IF(TODAY()&lt;$B38+90,"-",SUMPRODUCT(('Picked Students (raw)'!$B$2:$B$824=$A38)*('Picked Students (raw)'!$E$2:$E$824="Fresher")*('Picked Students (raw)'!$C$2:$C$824&lt;&gt;"")*(('Picked Students (raw)'!$C$2:$C$824-$B38)&lt;90)))))</f>
        <v/>
      </c>
      <c r="K38" s="5">
        <f>IF($A38="","",IF(J38="-","-",IF($D38=0,0,J38/$D38)))</f>
        <v/>
      </c>
      <c r="L38" s="3">
        <f>IF($A38="","",IF($B38="","",IF(TODAY()&lt;$B38+120,"-",SUMPRODUCT(('Picked Students (raw)'!$B$2:$B$824=$A38)*('Picked Students (raw)'!$E$2:$E$824="Fresher")*('Picked Students (raw)'!$C$2:$C$824&lt;&gt;"")*(('Picked Students (raw)'!$C$2:$C$824-$B38)&lt;120)))))</f>
        <v/>
      </c>
      <c r="M38" s="5">
        <f>IF($A38="","",IF(L38="-","-",IF($D38=0,0,L38/$D38)))</f>
        <v/>
      </c>
      <c r="N38" s="3">
        <f>IF($A38="","",IF($B38="","",IF(TODAY()&lt;$B38+150,"-",SUMPRODUCT(('Picked Students (raw)'!$B$2:$B$824=$A38)*('Picked Students (raw)'!$E$2:$E$824="Fresher")*('Picked Students (raw)'!$C$2:$C$824&lt;&gt;"")*(('Picked Students (raw)'!$C$2:$C$824-$B38)&lt;150)))))</f>
        <v/>
      </c>
      <c r="O38" s="5">
        <f>IF($A38="","",IF(N38="-","-",IF($D38=0,0,N38/$D38)))</f>
        <v/>
      </c>
      <c r="P38" s="3">
        <f>IF($A38="","",IF($B38="","",IF(TODAY()&lt;$B38+180,"-",SUMPRODUCT(('Picked Students (raw)'!$B$2:$B$824=$A38)*('Picked Students (raw)'!$E$2:$E$824="Fresher")*('Picked Students (raw)'!$C$2:$C$824&lt;&gt;"")*(('Picked Students (raw)'!$C$2:$C$824-$B38)&lt;180)))))</f>
        <v/>
      </c>
      <c r="Q38" s="5">
        <f>IF($A38="","",IF(P38="-","-",IF($D38=0,0,P38/$D38)))</f>
        <v/>
      </c>
      <c r="R38" s="3">
        <f>IF($A38="","",IF($B38="","",IF(TODAY()&lt;$B38+210,"-",SUMPRODUCT(('Picked Students (raw)'!$B$2:$B$824=$A38)*('Picked Students (raw)'!$E$2:$E$824="Fresher")*('Picked Students (raw)'!$C$2:$C$824&lt;&gt;"")*(('Picked Students (raw)'!$C$2:$C$824-$B38)&lt;210)))))</f>
        <v/>
      </c>
      <c r="S38" s="5">
        <f>IF($A38="","",IF(R38="-","-",IF($D38=0,0,R38/$D38)))</f>
        <v/>
      </c>
      <c r="T38" s="3">
        <f>IF($A38="","",IF($B38="","",IF(TODAY()&lt;$B38+240,"-",SUMPRODUCT(('Picked Students (raw)'!$B$2:$B$824=$A38)*('Picked Students (raw)'!$E$2:$E$824="Fresher")*('Picked Students (raw)'!$C$2:$C$824&lt;&gt;"")*(('Picked Students (raw)'!$C$2:$C$824-$B38)&lt;240)))))</f>
        <v/>
      </c>
      <c r="U38" s="5">
        <f>IF($A38="","",IF(T38="-","-",IF($D38=0,0,T38/$D38)))</f>
        <v/>
      </c>
      <c r="V38" s="3">
        <f>IF($A38="","",IF($B38="","",IF(TODAY()&lt;$B38+270,"-",SUMPRODUCT(('Picked Students (raw)'!$B$2:$B$824=$A38)*('Picked Students (raw)'!$E$2:$E$824="Fresher")*('Picked Students (raw)'!$C$2:$C$824&lt;&gt;"")*(('Picked Students (raw)'!$C$2:$C$824-$B38)&lt;270)))))</f>
        <v/>
      </c>
      <c r="W38" s="5">
        <f>IF($A38="","",IF(V38="-","-",IF($D38=0,0,V38/$D38)))</f>
        <v/>
      </c>
      <c r="X38" s="3">
        <f>IF($A38="","",IF($B38="","",IF(TODAY()&lt;$B38+300,"-",SUMPRODUCT(('Picked Students (raw)'!$B$2:$B$824=$A38)*('Picked Students (raw)'!$E$2:$E$824="Fresher")*('Picked Students (raw)'!$C$2:$C$824&lt;&gt;"")*(('Picked Students (raw)'!$C$2:$C$824-$B38)&lt;300)))))</f>
        <v/>
      </c>
      <c r="Y38" s="5">
        <f>IF($A38="","",IF(X38="-","-",IF($D38=0,0,X38/$D38)))</f>
        <v/>
      </c>
      <c r="Z38" s="3">
        <f>IF($A38="","",IF($B38="","",IF(TODAY()&lt;$B38+330,"-",SUMPRODUCT(('Picked Students (raw)'!$B$2:$B$824=$A38)*('Picked Students (raw)'!$E$2:$E$824="Fresher")*('Picked Students (raw)'!$C$2:$C$824&lt;&gt;"")*(('Picked Students (raw)'!$C$2:$C$824-$B38)&lt;330)))))</f>
        <v/>
      </c>
      <c r="AA38" s="5">
        <f>IF($A38="","",IF(Z38="-","-",IF($D38=0,0,Z38/$D38)))</f>
        <v/>
      </c>
      <c r="AB38" s="3">
        <f>IF($A38="","",IF($B38="","",IF(TODAY()&lt;$B38+360,"-",SUMPRODUCT(('Picked Students (raw)'!$B$2:$B$824=$A38)*('Picked Students (raw)'!$E$2:$E$824="Fresher")*('Picked Students (raw)'!$C$2:$C$824&lt;&gt;"")*(('Picked Students (raw)'!$C$2:$C$824-$B38)&lt;360)))))</f>
        <v/>
      </c>
      <c r="AC38" s="5">
        <f>IF($A38="","",IF(AB38="-","-",IF($D38=0,0,AB38/$D38)))</f>
        <v/>
      </c>
      <c r="AD38" s="3">
        <f>IF($A38="","",IF($B38="","",IF(TODAY()&lt;$B38+390,"-",SUMPRODUCT(('Picked Students (raw)'!$B$2:$B$824=$A38)*('Picked Students (raw)'!$E$2:$E$824="Fresher")*('Picked Students (raw)'!$C$2:$C$824&lt;&gt;"")*(('Picked Students (raw)'!$C$2:$C$824-$B38)&lt;390)))))</f>
        <v/>
      </c>
      <c r="AE38" s="5">
        <f>IF($A38="","",IF(AD38="-","-",IF($D38=0,0,AD38/$D38)))</f>
        <v/>
      </c>
      <c r="AF38" s="3">
        <f>IF($A38="","",IF($B38="","",IF(TODAY()&lt;$B38+420,"-",SUMPRODUCT(('Picked Students (raw)'!$B$2:$B$824=$A38)*('Picked Students (raw)'!$E$2:$E$824="Fresher")*('Picked Students (raw)'!$C$2:$C$824&lt;&gt;"")*(('Picked Students (raw)'!$C$2:$C$824-$B38)&lt;420)))))</f>
        <v/>
      </c>
      <c r="AG38" s="5">
        <f>IF($A38="","",IF(AF38="-","-",IF($D38=0,0,AF38/$D38)))</f>
        <v/>
      </c>
      <c r="AH38" s="3">
        <f>IF($A38="","",IF($B38="","",IF(TODAY()&lt;$B38+450,"-",SUMPRODUCT(('Picked Students (raw)'!$B$2:$B$824=$A38)*('Picked Students (raw)'!$E$2:$E$824="Fresher")*('Picked Students (raw)'!$C$2:$C$824&lt;&gt;"")*(('Picked Students (raw)'!$C$2:$C$824-$B38)&lt;450)))))</f>
        <v/>
      </c>
      <c r="AI38" s="5">
        <f>IF($A38="","",IF(AH38="-","-",IF($D38=0,0,AH38/$D38)))</f>
        <v/>
      </c>
      <c r="AJ38" s="3">
        <f>IF($A38="","",IF($B38="","",IF(TODAY()&lt;$B38+480,"-",SUMPRODUCT(('Picked Students (raw)'!$B$2:$B$824=$A38)*('Picked Students (raw)'!$E$2:$E$824="Fresher")*('Picked Students (raw)'!$C$2:$C$824&lt;&gt;"")*(('Picked Students (raw)'!$C$2:$C$824-$B38)&lt;480)))))</f>
        <v/>
      </c>
      <c r="AK38" s="5">
        <f>IF($A38="","",IF(AJ38="-","-",IF($D38=0,0,AJ38/$D38)))</f>
        <v/>
      </c>
      <c r="AL38" s="3">
        <f>IF($A38="","",IF($B38="","",IF(TODAY()&lt;$B38+510,"-",SUMPRODUCT(('Picked Students (raw)'!$B$2:$B$824=$A38)*('Picked Students (raw)'!$E$2:$E$824="Fresher")*('Picked Students (raw)'!$C$2:$C$824&lt;&gt;"")*(('Picked Students (raw)'!$C$2:$C$824-$B38)&lt;510)))))</f>
        <v/>
      </c>
      <c r="AM38" s="5">
        <f>IF($A38="","",IF(AL38="-","-",IF($D38=0,0,AL38/$D38)))</f>
        <v/>
      </c>
      <c r="AN38" s="3">
        <f>IF($A38="","",IF($B38="","",IF(TODAY()&lt;$B38+540,"-",SUMPRODUCT(('Picked Students (raw)'!$B$2:$B$824=$A38)*('Picked Students (raw)'!$E$2:$E$824="Fresher")*('Picked Students (raw)'!$C$2:$C$824&lt;&gt;"")*(('Picked Students (raw)'!$C$2:$C$824-$B38)&lt;540)))))</f>
        <v/>
      </c>
      <c r="AO38" s="5">
        <f>IF($A38="","",IF(AN38="-","-",IF($D38=0,0,AN38/$D38)))</f>
        <v/>
      </c>
      <c r="AP38" s="3">
        <f>IF($A38="","",IF(AN38="-","-",$E38-AN38))</f>
        <v/>
      </c>
    </row>
    <row r="39">
      <c r="A39" s="3" t="inlineStr">
        <is>
          <t>Professional Certificate Course In Data Science February 2026</t>
        </is>
      </c>
      <c r="B39" s="4">
        <f>IF($A39="","",IFERROR(INDEX('Batch Enrollment (Metabase)'!$D$2:$D$47,MATCH($A39,'Batch Enrollment (Metabase)'!$A$2:$A$47,0)),""))</f>
        <v/>
      </c>
      <c r="C39" s="3">
        <f>IF($A39="","",IFERROR(INDEX('Batch Enrollment (Metabase)'!$E$2:$E$47,MATCH($A39,'Batch Enrollment (Metabase)'!$A$2:$A$47,0)),""))</f>
        <v/>
      </c>
      <c r="D39" s="3">
        <f>IF($A39="","",IFERROR(INDEX('Batch Enrollment (Metabase)'!$F$2:$F$47,MATCH($A39,'Batch Enrollment (Metabase)'!$A$2:$A$47,0)),""))</f>
        <v/>
      </c>
      <c r="E39" s="3">
        <f>IF($A39="","",COUNTIFS('Picked Students (raw)'!$B$2:$B$824,$A39,'Picked Students (raw)'!$E$2:$E$824,"Fresher"))</f>
        <v/>
      </c>
      <c r="F39" s="3">
        <f>IF($A39="","",IF($B39="","",IF(TODAY()&lt;$B39+30,"-",SUMPRODUCT(('Picked Students (raw)'!$B$2:$B$824=$A39)*('Picked Students (raw)'!$E$2:$E$824="Fresher")*('Picked Students (raw)'!$C$2:$C$824&lt;&gt;"")*(('Picked Students (raw)'!$C$2:$C$824-$B39)&lt;30)))))</f>
        <v/>
      </c>
      <c r="G39" s="5">
        <f>IF($A39="","",IF(F39="-","-",IF($D39=0,0,F39/$D39)))</f>
        <v/>
      </c>
      <c r="H39" s="3">
        <f>IF($A39="","",IF($B39="","",IF(TODAY()&lt;$B39+60,"-",SUMPRODUCT(('Picked Students (raw)'!$B$2:$B$824=$A39)*('Picked Students (raw)'!$E$2:$E$824="Fresher")*('Picked Students (raw)'!$C$2:$C$824&lt;&gt;"")*(('Picked Students (raw)'!$C$2:$C$824-$B39)&lt;60)))))</f>
        <v/>
      </c>
      <c r="I39" s="5">
        <f>IF($A39="","",IF(H39="-","-",IF($D39=0,0,H39/$D39)))</f>
        <v/>
      </c>
      <c r="J39" s="3">
        <f>IF($A39="","",IF($B39="","",IF(TODAY()&lt;$B39+90,"-",SUMPRODUCT(('Picked Students (raw)'!$B$2:$B$824=$A39)*('Picked Students (raw)'!$E$2:$E$824="Fresher")*('Picked Students (raw)'!$C$2:$C$824&lt;&gt;"")*(('Picked Students (raw)'!$C$2:$C$824-$B39)&lt;90)))))</f>
        <v/>
      </c>
      <c r="K39" s="5">
        <f>IF($A39="","",IF(J39="-","-",IF($D39=0,0,J39/$D39)))</f>
        <v/>
      </c>
      <c r="L39" s="3">
        <f>IF($A39="","",IF($B39="","",IF(TODAY()&lt;$B39+120,"-",SUMPRODUCT(('Picked Students (raw)'!$B$2:$B$824=$A39)*('Picked Students (raw)'!$E$2:$E$824="Fresher")*('Picked Students (raw)'!$C$2:$C$824&lt;&gt;"")*(('Picked Students (raw)'!$C$2:$C$824-$B39)&lt;120)))))</f>
        <v/>
      </c>
      <c r="M39" s="5">
        <f>IF($A39="","",IF(L39="-","-",IF($D39=0,0,L39/$D39)))</f>
        <v/>
      </c>
      <c r="N39" s="3">
        <f>IF($A39="","",IF($B39="","",IF(TODAY()&lt;$B39+150,"-",SUMPRODUCT(('Picked Students (raw)'!$B$2:$B$824=$A39)*('Picked Students (raw)'!$E$2:$E$824="Fresher")*('Picked Students (raw)'!$C$2:$C$824&lt;&gt;"")*(('Picked Students (raw)'!$C$2:$C$824-$B39)&lt;150)))))</f>
        <v/>
      </c>
      <c r="O39" s="5">
        <f>IF($A39="","",IF(N39="-","-",IF($D39=0,0,N39/$D39)))</f>
        <v/>
      </c>
      <c r="P39" s="3">
        <f>IF($A39="","",IF($B39="","",IF(TODAY()&lt;$B39+180,"-",SUMPRODUCT(('Picked Students (raw)'!$B$2:$B$824=$A39)*('Picked Students (raw)'!$E$2:$E$824="Fresher")*('Picked Students (raw)'!$C$2:$C$824&lt;&gt;"")*(('Picked Students (raw)'!$C$2:$C$824-$B39)&lt;180)))))</f>
        <v/>
      </c>
      <c r="Q39" s="5">
        <f>IF($A39="","",IF(P39="-","-",IF($D39=0,0,P39/$D39)))</f>
        <v/>
      </c>
      <c r="R39" s="3">
        <f>IF($A39="","",IF($B39="","",IF(TODAY()&lt;$B39+210,"-",SUMPRODUCT(('Picked Students (raw)'!$B$2:$B$824=$A39)*('Picked Students (raw)'!$E$2:$E$824="Fresher")*('Picked Students (raw)'!$C$2:$C$824&lt;&gt;"")*(('Picked Students (raw)'!$C$2:$C$824-$B39)&lt;210)))))</f>
        <v/>
      </c>
      <c r="S39" s="5">
        <f>IF($A39="","",IF(R39="-","-",IF($D39=0,0,R39/$D39)))</f>
        <v/>
      </c>
      <c r="T39" s="3">
        <f>IF($A39="","",IF($B39="","",IF(TODAY()&lt;$B39+240,"-",SUMPRODUCT(('Picked Students (raw)'!$B$2:$B$824=$A39)*('Picked Students (raw)'!$E$2:$E$824="Fresher")*('Picked Students (raw)'!$C$2:$C$824&lt;&gt;"")*(('Picked Students (raw)'!$C$2:$C$824-$B39)&lt;240)))))</f>
        <v/>
      </c>
      <c r="U39" s="5">
        <f>IF($A39="","",IF(T39="-","-",IF($D39=0,0,T39/$D39)))</f>
        <v/>
      </c>
      <c r="V39" s="3">
        <f>IF($A39="","",IF($B39="","",IF(TODAY()&lt;$B39+270,"-",SUMPRODUCT(('Picked Students (raw)'!$B$2:$B$824=$A39)*('Picked Students (raw)'!$E$2:$E$824="Fresher")*('Picked Students (raw)'!$C$2:$C$824&lt;&gt;"")*(('Picked Students (raw)'!$C$2:$C$824-$B39)&lt;270)))))</f>
        <v/>
      </c>
      <c r="W39" s="5">
        <f>IF($A39="","",IF(V39="-","-",IF($D39=0,0,V39/$D39)))</f>
        <v/>
      </c>
      <c r="X39" s="3">
        <f>IF($A39="","",IF($B39="","",IF(TODAY()&lt;$B39+300,"-",SUMPRODUCT(('Picked Students (raw)'!$B$2:$B$824=$A39)*('Picked Students (raw)'!$E$2:$E$824="Fresher")*('Picked Students (raw)'!$C$2:$C$824&lt;&gt;"")*(('Picked Students (raw)'!$C$2:$C$824-$B39)&lt;300)))))</f>
        <v/>
      </c>
      <c r="Y39" s="5">
        <f>IF($A39="","",IF(X39="-","-",IF($D39=0,0,X39/$D39)))</f>
        <v/>
      </c>
      <c r="Z39" s="3">
        <f>IF($A39="","",IF($B39="","",IF(TODAY()&lt;$B39+330,"-",SUMPRODUCT(('Picked Students (raw)'!$B$2:$B$824=$A39)*('Picked Students (raw)'!$E$2:$E$824="Fresher")*('Picked Students (raw)'!$C$2:$C$824&lt;&gt;"")*(('Picked Students (raw)'!$C$2:$C$824-$B39)&lt;330)))))</f>
        <v/>
      </c>
      <c r="AA39" s="5">
        <f>IF($A39="","",IF(Z39="-","-",IF($D39=0,0,Z39/$D39)))</f>
        <v/>
      </c>
      <c r="AB39" s="3">
        <f>IF($A39="","",IF($B39="","",IF(TODAY()&lt;$B39+360,"-",SUMPRODUCT(('Picked Students (raw)'!$B$2:$B$824=$A39)*('Picked Students (raw)'!$E$2:$E$824="Fresher")*('Picked Students (raw)'!$C$2:$C$824&lt;&gt;"")*(('Picked Students (raw)'!$C$2:$C$824-$B39)&lt;360)))))</f>
        <v/>
      </c>
      <c r="AC39" s="5">
        <f>IF($A39="","",IF(AB39="-","-",IF($D39=0,0,AB39/$D39)))</f>
        <v/>
      </c>
      <c r="AD39" s="3">
        <f>IF($A39="","",IF($B39="","",IF(TODAY()&lt;$B39+390,"-",SUMPRODUCT(('Picked Students (raw)'!$B$2:$B$824=$A39)*('Picked Students (raw)'!$E$2:$E$824="Fresher")*('Picked Students (raw)'!$C$2:$C$824&lt;&gt;"")*(('Picked Students (raw)'!$C$2:$C$824-$B39)&lt;390)))))</f>
        <v/>
      </c>
      <c r="AE39" s="5">
        <f>IF($A39="","",IF(AD39="-","-",IF($D39=0,0,AD39/$D39)))</f>
        <v/>
      </c>
      <c r="AF39" s="3">
        <f>IF($A39="","",IF($B39="","",IF(TODAY()&lt;$B39+420,"-",SUMPRODUCT(('Picked Students (raw)'!$B$2:$B$824=$A39)*('Picked Students (raw)'!$E$2:$E$824="Fresher")*('Picked Students (raw)'!$C$2:$C$824&lt;&gt;"")*(('Picked Students (raw)'!$C$2:$C$824-$B39)&lt;420)))))</f>
        <v/>
      </c>
      <c r="AG39" s="5">
        <f>IF($A39="","",IF(AF39="-","-",IF($D39=0,0,AF39/$D39)))</f>
        <v/>
      </c>
      <c r="AH39" s="3">
        <f>IF($A39="","",IF($B39="","",IF(TODAY()&lt;$B39+450,"-",SUMPRODUCT(('Picked Students (raw)'!$B$2:$B$824=$A39)*('Picked Students (raw)'!$E$2:$E$824="Fresher")*('Picked Students (raw)'!$C$2:$C$824&lt;&gt;"")*(('Picked Students (raw)'!$C$2:$C$824-$B39)&lt;450)))))</f>
        <v/>
      </c>
      <c r="AI39" s="5">
        <f>IF($A39="","",IF(AH39="-","-",IF($D39=0,0,AH39/$D39)))</f>
        <v/>
      </c>
      <c r="AJ39" s="3">
        <f>IF($A39="","",IF($B39="","",IF(TODAY()&lt;$B39+480,"-",SUMPRODUCT(('Picked Students (raw)'!$B$2:$B$824=$A39)*('Picked Students (raw)'!$E$2:$E$824="Fresher")*('Picked Students (raw)'!$C$2:$C$824&lt;&gt;"")*(('Picked Students (raw)'!$C$2:$C$824-$B39)&lt;480)))))</f>
        <v/>
      </c>
      <c r="AK39" s="5">
        <f>IF($A39="","",IF(AJ39="-","-",IF($D39=0,0,AJ39/$D39)))</f>
        <v/>
      </c>
      <c r="AL39" s="3">
        <f>IF($A39="","",IF($B39="","",IF(TODAY()&lt;$B39+510,"-",SUMPRODUCT(('Picked Students (raw)'!$B$2:$B$824=$A39)*('Picked Students (raw)'!$E$2:$E$824="Fresher")*('Picked Students (raw)'!$C$2:$C$824&lt;&gt;"")*(('Picked Students (raw)'!$C$2:$C$824-$B39)&lt;510)))))</f>
        <v/>
      </c>
      <c r="AM39" s="5">
        <f>IF($A39="","",IF(AL39="-","-",IF($D39=0,0,AL39/$D39)))</f>
        <v/>
      </c>
      <c r="AN39" s="3">
        <f>IF($A39="","",IF($B39="","",IF(TODAY()&lt;$B39+540,"-",SUMPRODUCT(('Picked Students (raw)'!$B$2:$B$824=$A39)*('Picked Students (raw)'!$E$2:$E$824="Fresher")*('Picked Students (raw)'!$C$2:$C$824&lt;&gt;"")*(('Picked Students (raw)'!$C$2:$C$824-$B39)&lt;540)))))</f>
        <v/>
      </c>
      <c r="AO39" s="5">
        <f>IF($A39="","",IF(AN39="-","-",IF($D39=0,0,AN39/$D39)))</f>
        <v/>
      </c>
      <c r="AP39" s="3">
        <f>IF($A39="","",IF(AN39="-","-",$E39-AN39))</f>
        <v/>
      </c>
    </row>
    <row r="40">
      <c r="A40" s="3" t="inlineStr">
        <is>
          <t>Professional Certificate Course In Data Science March 2026</t>
        </is>
      </c>
      <c r="B40" s="4">
        <f>IF($A40="","",IFERROR(INDEX('Batch Enrollment (Metabase)'!$D$2:$D$47,MATCH($A40,'Batch Enrollment (Metabase)'!$A$2:$A$47,0)),""))</f>
        <v/>
      </c>
      <c r="C40" s="3">
        <f>IF($A40="","",IFERROR(INDEX('Batch Enrollment (Metabase)'!$E$2:$E$47,MATCH($A40,'Batch Enrollment (Metabase)'!$A$2:$A$47,0)),""))</f>
        <v/>
      </c>
      <c r="D40" s="3">
        <f>IF($A40="","",IFERROR(INDEX('Batch Enrollment (Metabase)'!$F$2:$F$47,MATCH($A40,'Batch Enrollment (Metabase)'!$A$2:$A$47,0)),""))</f>
        <v/>
      </c>
      <c r="E40" s="3">
        <f>IF($A40="","",COUNTIFS('Picked Students (raw)'!$B$2:$B$824,$A40,'Picked Students (raw)'!$E$2:$E$824,"Fresher"))</f>
        <v/>
      </c>
      <c r="F40" s="3">
        <f>IF($A40="","",IF($B40="","",IF(TODAY()&lt;$B40+30,"-",SUMPRODUCT(('Picked Students (raw)'!$B$2:$B$824=$A40)*('Picked Students (raw)'!$E$2:$E$824="Fresher")*('Picked Students (raw)'!$C$2:$C$824&lt;&gt;"")*(('Picked Students (raw)'!$C$2:$C$824-$B40)&lt;30)))))</f>
        <v/>
      </c>
      <c r="G40" s="5">
        <f>IF($A40="","",IF(F40="-","-",IF($D40=0,0,F40/$D40)))</f>
        <v/>
      </c>
      <c r="H40" s="3">
        <f>IF($A40="","",IF($B40="","",IF(TODAY()&lt;$B40+60,"-",SUMPRODUCT(('Picked Students (raw)'!$B$2:$B$824=$A40)*('Picked Students (raw)'!$E$2:$E$824="Fresher")*('Picked Students (raw)'!$C$2:$C$824&lt;&gt;"")*(('Picked Students (raw)'!$C$2:$C$824-$B40)&lt;60)))))</f>
        <v/>
      </c>
      <c r="I40" s="5">
        <f>IF($A40="","",IF(H40="-","-",IF($D40=0,0,H40/$D40)))</f>
        <v/>
      </c>
      <c r="J40" s="3">
        <f>IF($A40="","",IF($B40="","",IF(TODAY()&lt;$B40+90,"-",SUMPRODUCT(('Picked Students (raw)'!$B$2:$B$824=$A40)*('Picked Students (raw)'!$E$2:$E$824="Fresher")*('Picked Students (raw)'!$C$2:$C$824&lt;&gt;"")*(('Picked Students (raw)'!$C$2:$C$824-$B40)&lt;90)))))</f>
        <v/>
      </c>
      <c r="K40" s="5">
        <f>IF($A40="","",IF(J40="-","-",IF($D40=0,0,J40/$D40)))</f>
        <v/>
      </c>
      <c r="L40" s="3">
        <f>IF($A40="","",IF($B40="","",IF(TODAY()&lt;$B40+120,"-",SUMPRODUCT(('Picked Students (raw)'!$B$2:$B$824=$A40)*('Picked Students (raw)'!$E$2:$E$824="Fresher")*('Picked Students (raw)'!$C$2:$C$824&lt;&gt;"")*(('Picked Students (raw)'!$C$2:$C$824-$B40)&lt;120)))))</f>
        <v/>
      </c>
      <c r="M40" s="5">
        <f>IF($A40="","",IF(L40="-","-",IF($D40=0,0,L40/$D40)))</f>
        <v/>
      </c>
      <c r="N40" s="3">
        <f>IF($A40="","",IF($B40="","",IF(TODAY()&lt;$B40+150,"-",SUMPRODUCT(('Picked Students (raw)'!$B$2:$B$824=$A40)*('Picked Students (raw)'!$E$2:$E$824="Fresher")*('Picked Students (raw)'!$C$2:$C$824&lt;&gt;"")*(('Picked Students (raw)'!$C$2:$C$824-$B40)&lt;150)))))</f>
        <v/>
      </c>
      <c r="O40" s="5">
        <f>IF($A40="","",IF(N40="-","-",IF($D40=0,0,N40/$D40)))</f>
        <v/>
      </c>
      <c r="P40" s="3">
        <f>IF($A40="","",IF($B40="","",IF(TODAY()&lt;$B40+180,"-",SUMPRODUCT(('Picked Students (raw)'!$B$2:$B$824=$A40)*('Picked Students (raw)'!$E$2:$E$824="Fresher")*('Picked Students (raw)'!$C$2:$C$824&lt;&gt;"")*(('Picked Students (raw)'!$C$2:$C$824-$B40)&lt;180)))))</f>
        <v/>
      </c>
      <c r="Q40" s="5">
        <f>IF($A40="","",IF(P40="-","-",IF($D40=0,0,P40/$D40)))</f>
        <v/>
      </c>
      <c r="R40" s="3">
        <f>IF($A40="","",IF($B40="","",IF(TODAY()&lt;$B40+210,"-",SUMPRODUCT(('Picked Students (raw)'!$B$2:$B$824=$A40)*('Picked Students (raw)'!$E$2:$E$824="Fresher")*('Picked Students (raw)'!$C$2:$C$824&lt;&gt;"")*(('Picked Students (raw)'!$C$2:$C$824-$B40)&lt;210)))))</f>
        <v/>
      </c>
      <c r="S40" s="5">
        <f>IF($A40="","",IF(R40="-","-",IF($D40=0,0,R40/$D40)))</f>
        <v/>
      </c>
      <c r="T40" s="3">
        <f>IF($A40="","",IF($B40="","",IF(TODAY()&lt;$B40+240,"-",SUMPRODUCT(('Picked Students (raw)'!$B$2:$B$824=$A40)*('Picked Students (raw)'!$E$2:$E$824="Fresher")*('Picked Students (raw)'!$C$2:$C$824&lt;&gt;"")*(('Picked Students (raw)'!$C$2:$C$824-$B40)&lt;240)))))</f>
        <v/>
      </c>
      <c r="U40" s="5">
        <f>IF($A40="","",IF(T40="-","-",IF($D40=0,0,T40/$D40)))</f>
        <v/>
      </c>
      <c r="V40" s="3">
        <f>IF($A40="","",IF($B40="","",IF(TODAY()&lt;$B40+270,"-",SUMPRODUCT(('Picked Students (raw)'!$B$2:$B$824=$A40)*('Picked Students (raw)'!$E$2:$E$824="Fresher")*('Picked Students (raw)'!$C$2:$C$824&lt;&gt;"")*(('Picked Students (raw)'!$C$2:$C$824-$B40)&lt;270)))))</f>
        <v/>
      </c>
      <c r="W40" s="5">
        <f>IF($A40="","",IF(V40="-","-",IF($D40=0,0,V40/$D40)))</f>
        <v/>
      </c>
      <c r="X40" s="3">
        <f>IF($A40="","",IF($B40="","",IF(TODAY()&lt;$B40+300,"-",SUMPRODUCT(('Picked Students (raw)'!$B$2:$B$824=$A40)*('Picked Students (raw)'!$E$2:$E$824="Fresher")*('Picked Students (raw)'!$C$2:$C$824&lt;&gt;"")*(('Picked Students (raw)'!$C$2:$C$824-$B40)&lt;300)))))</f>
        <v/>
      </c>
      <c r="Y40" s="5">
        <f>IF($A40="","",IF(X40="-","-",IF($D40=0,0,X40/$D40)))</f>
        <v/>
      </c>
      <c r="Z40" s="3">
        <f>IF($A40="","",IF($B40="","",IF(TODAY()&lt;$B40+330,"-",SUMPRODUCT(('Picked Students (raw)'!$B$2:$B$824=$A40)*('Picked Students (raw)'!$E$2:$E$824="Fresher")*('Picked Students (raw)'!$C$2:$C$824&lt;&gt;"")*(('Picked Students (raw)'!$C$2:$C$824-$B40)&lt;330)))))</f>
        <v/>
      </c>
      <c r="AA40" s="5">
        <f>IF($A40="","",IF(Z40="-","-",IF($D40=0,0,Z40/$D40)))</f>
        <v/>
      </c>
      <c r="AB40" s="3">
        <f>IF($A40="","",IF($B40="","",IF(TODAY()&lt;$B40+360,"-",SUMPRODUCT(('Picked Students (raw)'!$B$2:$B$824=$A40)*('Picked Students (raw)'!$E$2:$E$824="Fresher")*('Picked Students (raw)'!$C$2:$C$824&lt;&gt;"")*(('Picked Students (raw)'!$C$2:$C$824-$B40)&lt;360)))))</f>
        <v/>
      </c>
      <c r="AC40" s="5">
        <f>IF($A40="","",IF(AB40="-","-",IF($D40=0,0,AB40/$D40)))</f>
        <v/>
      </c>
      <c r="AD40" s="3">
        <f>IF($A40="","",IF($B40="","",IF(TODAY()&lt;$B40+390,"-",SUMPRODUCT(('Picked Students (raw)'!$B$2:$B$824=$A40)*('Picked Students (raw)'!$E$2:$E$824="Fresher")*('Picked Students (raw)'!$C$2:$C$824&lt;&gt;"")*(('Picked Students (raw)'!$C$2:$C$824-$B40)&lt;390)))))</f>
        <v/>
      </c>
      <c r="AE40" s="5">
        <f>IF($A40="","",IF(AD40="-","-",IF($D40=0,0,AD40/$D40)))</f>
        <v/>
      </c>
      <c r="AF40" s="3">
        <f>IF($A40="","",IF($B40="","",IF(TODAY()&lt;$B40+420,"-",SUMPRODUCT(('Picked Students (raw)'!$B$2:$B$824=$A40)*('Picked Students (raw)'!$E$2:$E$824="Fresher")*('Picked Students (raw)'!$C$2:$C$824&lt;&gt;"")*(('Picked Students (raw)'!$C$2:$C$824-$B40)&lt;420)))))</f>
        <v/>
      </c>
      <c r="AG40" s="5">
        <f>IF($A40="","",IF(AF40="-","-",IF($D40=0,0,AF40/$D40)))</f>
        <v/>
      </c>
      <c r="AH40" s="3">
        <f>IF($A40="","",IF($B40="","",IF(TODAY()&lt;$B40+450,"-",SUMPRODUCT(('Picked Students (raw)'!$B$2:$B$824=$A40)*('Picked Students (raw)'!$E$2:$E$824="Fresher")*('Picked Students (raw)'!$C$2:$C$824&lt;&gt;"")*(('Picked Students (raw)'!$C$2:$C$824-$B40)&lt;450)))))</f>
        <v/>
      </c>
      <c r="AI40" s="5">
        <f>IF($A40="","",IF(AH40="-","-",IF($D40=0,0,AH40/$D40)))</f>
        <v/>
      </c>
      <c r="AJ40" s="3">
        <f>IF($A40="","",IF($B40="","",IF(TODAY()&lt;$B40+480,"-",SUMPRODUCT(('Picked Students (raw)'!$B$2:$B$824=$A40)*('Picked Students (raw)'!$E$2:$E$824="Fresher")*('Picked Students (raw)'!$C$2:$C$824&lt;&gt;"")*(('Picked Students (raw)'!$C$2:$C$824-$B40)&lt;480)))))</f>
        <v/>
      </c>
      <c r="AK40" s="5">
        <f>IF($A40="","",IF(AJ40="-","-",IF($D40=0,0,AJ40/$D40)))</f>
        <v/>
      </c>
      <c r="AL40" s="3">
        <f>IF($A40="","",IF($B40="","",IF(TODAY()&lt;$B40+510,"-",SUMPRODUCT(('Picked Students (raw)'!$B$2:$B$824=$A40)*('Picked Students (raw)'!$E$2:$E$824="Fresher")*('Picked Students (raw)'!$C$2:$C$824&lt;&gt;"")*(('Picked Students (raw)'!$C$2:$C$824-$B40)&lt;510)))))</f>
        <v/>
      </c>
      <c r="AM40" s="5">
        <f>IF($A40="","",IF(AL40="-","-",IF($D40=0,0,AL40/$D40)))</f>
        <v/>
      </c>
      <c r="AN40" s="3">
        <f>IF($A40="","",IF($B40="","",IF(TODAY()&lt;$B40+540,"-",SUMPRODUCT(('Picked Students (raw)'!$B$2:$B$824=$A40)*('Picked Students (raw)'!$E$2:$E$824="Fresher")*('Picked Students (raw)'!$C$2:$C$824&lt;&gt;"")*(('Picked Students (raw)'!$C$2:$C$824-$B40)&lt;540)))))</f>
        <v/>
      </c>
      <c r="AO40" s="5">
        <f>IF($A40="","",IF(AN40="-","-",IF($D40=0,0,AN40/$D40)))</f>
        <v/>
      </c>
      <c r="AP40" s="3">
        <f>IF($A40="","",IF(AN40="-","-",$E40-AN40))</f>
        <v/>
      </c>
    </row>
    <row r="41">
      <c r="A41" s="3" t="inlineStr">
        <is>
          <t>Professional Certificate Course In Data Science April 2026</t>
        </is>
      </c>
      <c r="B41" s="4">
        <f>IF($A41="","",IFERROR(INDEX('Batch Enrollment (Metabase)'!$D$2:$D$47,MATCH($A41,'Batch Enrollment (Metabase)'!$A$2:$A$47,0)),""))</f>
        <v/>
      </c>
      <c r="C41" s="3">
        <f>IF($A41="","",IFERROR(INDEX('Batch Enrollment (Metabase)'!$E$2:$E$47,MATCH($A41,'Batch Enrollment (Metabase)'!$A$2:$A$47,0)),""))</f>
        <v/>
      </c>
      <c r="D41" s="3">
        <f>IF($A41="","",IFERROR(INDEX('Batch Enrollment (Metabase)'!$F$2:$F$47,MATCH($A41,'Batch Enrollment (Metabase)'!$A$2:$A$47,0)),""))</f>
        <v/>
      </c>
      <c r="E41" s="3">
        <f>IF($A41="","",COUNTIFS('Picked Students (raw)'!$B$2:$B$824,$A41,'Picked Students (raw)'!$E$2:$E$824,"Fresher"))</f>
        <v/>
      </c>
      <c r="F41" s="3">
        <f>IF($A41="","",IF($B41="","",IF(TODAY()&lt;$B41+30,"-",SUMPRODUCT(('Picked Students (raw)'!$B$2:$B$824=$A41)*('Picked Students (raw)'!$E$2:$E$824="Fresher")*('Picked Students (raw)'!$C$2:$C$824&lt;&gt;"")*(('Picked Students (raw)'!$C$2:$C$824-$B41)&lt;30)))))</f>
        <v/>
      </c>
      <c r="G41" s="5">
        <f>IF($A41="","",IF(F41="-","-",IF($D41=0,0,F41/$D41)))</f>
        <v/>
      </c>
      <c r="H41" s="3">
        <f>IF($A41="","",IF($B41="","",IF(TODAY()&lt;$B41+60,"-",SUMPRODUCT(('Picked Students (raw)'!$B$2:$B$824=$A41)*('Picked Students (raw)'!$E$2:$E$824="Fresher")*('Picked Students (raw)'!$C$2:$C$824&lt;&gt;"")*(('Picked Students (raw)'!$C$2:$C$824-$B41)&lt;60)))))</f>
        <v/>
      </c>
      <c r="I41" s="5">
        <f>IF($A41="","",IF(H41="-","-",IF($D41=0,0,H41/$D41)))</f>
        <v/>
      </c>
      <c r="J41" s="3">
        <f>IF($A41="","",IF($B41="","",IF(TODAY()&lt;$B41+90,"-",SUMPRODUCT(('Picked Students (raw)'!$B$2:$B$824=$A41)*('Picked Students (raw)'!$E$2:$E$824="Fresher")*('Picked Students (raw)'!$C$2:$C$824&lt;&gt;"")*(('Picked Students (raw)'!$C$2:$C$824-$B41)&lt;90)))))</f>
        <v/>
      </c>
      <c r="K41" s="5">
        <f>IF($A41="","",IF(J41="-","-",IF($D41=0,0,J41/$D41)))</f>
        <v/>
      </c>
      <c r="L41" s="3">
        <f>IF($A41="","",IF($B41="","",IF(TODAY()&lt;$B41+120,"-",SUMPRODUCT(('Picked Students (raw)'!$B$2:$B$824=$A41)*('Picked Students (raw)'!$E$2:$E$824="Fresher")*('Picked Students (raw)'!$C$2:$C$824&lt;&gt;"")*(('Picked Students (raw)'!$C$2:$C$824-$B41)&lt;120)))))</f>
        <v/>
      </c>
      <c r="M41" s="5">
        <f>IF($A41="","",IF(L41="-","-",IF($D41=0,0,L41/$D41)))</f>
        <v/>
      </c>
      <c r="N41" s="3">
        <f>IF($A41="","",IF($B41="","",IF(TODAY()&lt;$B41+150,"-",SUMPRODUCT(('Picked Students (raw)'!$B$2:$B$824=$A41)*('Picked Students (raw)'!$E$2:$E$824="Fresher")*('Picked Students (raw)'!$C$2:$C$824&lt;&gt;"")*(('Picked Students (raw)'!$C$2:$C$824-$B41)&lt;150)))))</f>
        <v/>
      </c>
      <c r="O41" s="5">
        <f>IF($A41="","",IF(N41="-","-",IF($D41=0,0,N41/$D41)))</f>
        <v/>
      </c>
      <c r="P41" s="3">
        <f>IF($A41="","",IF($B41="","",IF(TODAY()&lt;$B41+180,"-",SUMPRODUCT(('Picked Students (raw)'!$B$2:$B$824=$A41)*('Picked Students (raw)'!$E$2:$E$824="Fresher")*('Picked Students (raw)'!$C$2:$C$824&lt;&gt;"")*(('Picked Students (raw)'!$C$2:$C$824-$B41)&lt;180)))))</f>
        <v/>
      </c>
      <c r="Q41" s="5">
        <f>IF($A41="","",IF(P41="-","-",IF($D41=0,0,P41/$D41)))</f>
        <v/>
      </c>
      <c r="R41" s="3">
        <f>IF($A41="","",IF($B41="","",IF(TODAY()&lt;$B41+210,"-",SUMPRODUCT(('Picked Students (raw)'!$B$2:$B$824=$A41)*('Picked Students (raw)'!$E$2:$E$824="Fresher")*('Picked Students (raw)'!$C$2:$C$824&lt;&gt;"")*(('Picked Students (raw)'!$C$2:$C$824-$B41)&lt;210)))))</f>
        <v/>
      </c>
      <c r="S41" s="5">
        <f>IF($A41="","",IF(R41="-","-",IF($D41=0,0,R41/$D41)))</f>
        <v/>
      </c>
      <c r="T41" s="3">
        <f>IF($A41="","",IF($B41="","",IF(TODAY()&lt;$B41+240,"-",SUMPRODUCT(('Picked Students (raw)'!$B$2:$B$824=$A41)*('Picked Students (raw)'!$E$2:$E$824="Fresher")*('Picked Students (raw)'!$C$2:$C$824&lt;&gt;"")*(('Picked Students (raw)'!$C$2:$C$824-$B41)&lt;240)))))</f>
        <v/>
      </c>
      <c r="U41" s="5">
        <f>IF($A41="","",IF(T41="-","-",IF($D41=0,0,T41/$D41)))</f>
        <v/>
      </c>
      <c r="V41" s="3">
        <f>IF($A41="","",IF($B41="","",IF(TODAY()&lt;$B41+270,"-",SUMPRODUCT(('Picked Students (raw)'!$B$2:$B$824=$A41)*('Picked Students (raw)'!$E$2:$E$824="Fresher")*('Picked Students (raw)'!$C$2:$C$824&lt;&gt;"")*(('Picked Students (raw)'!$C$2:$C$824-$B41)&lt;270)))))</f>
        <v/>
      </c>
      <c r="W41" s="5">
        <f>IF($A41="","",IF(V41="-","-",IF($D41=0,0,V41/$D41)))</f>
        <v/>
      </c>
      <c r="X41" s="3">
        <f>IF($A41="","",IF($B41="","",IF(TODAY()&lt;$B41+300,"-",SUMPRODUCT(('Picked Students (raw)'!$B$2:$B$824=$A41)*('Picked Students (raw)'!$E$2:$E$824="Fresher")*('Picked Students (raw)'!$C$2:$C$824&lt;&gt;"")*(('Picked Students (raw)'!$C$2:$C$824-$B41)&lt;300)))))</f>
        <v/>
      </c>
      <c r="Y41" s="5">
        <f>IF($A41="","",IF(X41="-","-",IF($D41=0,0,X41/$D41)))</f>
        <v/>
      </c>
      <c r="Z41" s="3">
        <f>IF($A41="","",IF($B41="","",IF(TODAY()&lt;$B41+330,"-",SUMPRODUCT(('Picked Students (raw)'!$B$2:$B$824=$A41)*('Picked Students (raw)'!$E$2:$E$824="Fresher")*('Picked Students (raw)'!$C$2:$C$824&lt;&gt;"")*(('Picked Students (raw)'!$C$2:$C$824-$B41)&lt;330)))))</f>
        <v/>
      </c>
      <c r="AA41" s="5">
        <f>IF($A41="","",IF(Z41="-","-",IF($D41=0,0,Z41/$D41)))</f>
        <v/>
      </c>
      <c r="AB41" s="3">
        <f>IF($A41="","",IF($B41="","",IF(TODAY()&lt;$B41+360,"-",SUMPRODUCT(('Picked Students (raw)'!$B$2:$B$824=$A41)*('Picked Students (raw)'!$E$2:$E$824="Fresher")*('Picked Students (raw)'!$C$2:$C$824&lt;&gt;"")*(('Picked Students (raw)'!$C$2:$C$824-$B41)&lt;360)))))</f>
        <v/>
      </c>
      <c r="AC41" s="5">
        <f>IF($A41="","",IF(AB41="-","-",IF($D41=0,0,AB41/$D41)))</f>
        <v/>
      </c>
      <c r="AD41" s="3">
        <f>IF($A41="","",IF($B41="","",IF(TODAY()&lt;$B41+390,"-",SUMPRODUCT(('Picked Students (raw)'!$B$2:$B$824=$A41)*('Picked Students (raw)'!$E$2:$E$824="Fresher")*('Picked Students (raw)'!$C$2:$C$824&lt;&gt;"")*(('Picked Students (raw)'!$C$2:$C$824-$B41)&lt;390)))))</f>
        <v/>
      </c>
      <c r="AE41" s="5">
        <f>IF($A41="","",IF(AD41="-","-",IF($D41=0,0,AD41/$D41)))</f>
        <v/>
      </c>
      <c r="AF41" s="3">
        <f>IF($A41="","",IF($B41="","",IF(TODAY()&lt;$B41+420,"-",SUMPRODUCT(('Picked Students (raw)'!$B$2:$B$824=$A41)*('Picked Students (raw)'!$E$2:$E$824="Fresher")*('Picked Students (raw)'!$C$2:$C$824&lt;&gt;"")*(('Picked Students (raw)'!$C$2:$C$824-$B41)&lt;420)))))</f>
        <v/>
      </c>
      <c r="AG41" s="5">
        <f>IF($A41="","",IF(AF41="-","-",IF($D41=0,0,AF41/$D41)))</f>
        <v/>
      </c>
      <c r="AH41" s="3">
        <f>IF($A41="","",IF($B41="","",IF(TODAY()&lt;$B41+450,"-",SUMPRODUCT(('Picked Students (raw)'!$B$2:$B$824=$A41)*('Picked Students (raw)'!$E$2:$E$824="Fresher")*('Picked Students (raw)'!$C$2:$C$824&lt;&gt;"")*(('Picked Students (raw)'!$C$2:$C$824-$B41)&lt;450)))))</f>
        <v/>
      </c>
      <c r="AI41" s="5">
        <f>IF($A41="","",IF(AH41="-","-",IF($D41=0,0,AH41/$D41)))</f>
        <v/>
      </c>
      <c r="AJ41" s="3">
        <f>IF($A41="","",IF($B41="","",IF(TODAY()&lt;$B41+480,"-",SUMPRODUCT(('Picked Students (raw)'!$B$2:$B$824=$A41)*('Picked Students (raw)'!$E$2:$E$824="Fresher")*('Picked Students (raw)'!$C$2:$C$824&lt;&gt;"")*(('Picked Students (raw)'!$C$2:$C$824-$B41)&lt;480)))))</f>
        <v/>
      </c>
      <c r="AK41" s="5">
        <f>IF($A41="","",IF(AJ41="-","-",IF($D41=0,0,AJ41/$D41)))</f>
        <v/>
      </c>
      <c r="AL41" s="3">
        <f>IF($A41="","",IF($B41="","",IF(TODAY()&lt;$B41+510,"-",SUMPRODUCT(('Picked Students (raw)'!$B$2:$B$824=$A41)*('Picked Students (raw)'!$E$2:$E$824="Fresher")*('Picked Students (raw)'!$C$2:$C$824&lt;&gt;"")*(('Picked Students (raw)'!$C$2:$C$824-$B41)&lt;510)))))</f>
        <v/>
      </c>
      <c r="AM41" s="5">
        <f>IF($A41="","",IF(AL41="-","-",IF($D41=0,0,AL41/$D41)))</f>
        <v/>
      </c>
      <c r="AN41" s="3">
        <f>IF($A41="","",IF($B41="","",IF(TODAY()&lt;$B41+540,"-",SUMPRODUCT(('Picked Students (raw)'!$B$2:$B$824=$A41)*('Picked Students (raw)'!$E$2:$E$824="Fresher")*('Picked Students (raw)'!$C$2:$C$824&lt;&gt;"")*(('Picked Students (raw)'!$C$2:$C$824-$B41)&lt;540)))))</f>
        <v/>
      </c>
      <c r="AO41" s="5">
        <f>IF($A41="","",IF(AN41="-","-",IF($D41=0,0,AN41/$D41)))</f>
        <v/>
      </c>
      <c r="AP41" s="3">
        <f>IF($A41="","",IF(AN41="-","-",$E41-AN41))</f>
        <v/>
      </c>
    </row>
    <row r="42">
      <c r="A42" s="3" t="inlineStr">
        <is>
          <t>Professional Certificate Course In Data Science May 2026</t>
        </is>
      </c>
      <c r="B42" s="4">
        <f>IF($A42="","",IFERROR(INDEX('Batch Enrollment (Metabase)'!$D$2:$D$47,MATCH($A42,'Batch Enrollment (Metabase)'!$A$2:$A$47,0)),""))</f>
        <v/>
      </c>
      <c r="C42" s="3">
        <f>IF($A42="","",IFERROR(INDEX('Batch Enrollment (Metabase)'!$E$2:$E$47,MATCH($A42,'Batch Enrollment (Metabase)'!$A$2:$A$47,0)),""))</f>
        <v/>
      </c>
      <c r="D42" s="3">
        <f>IF($A42="","",IFERROR(INDEX('Batch Enrollment (Metabase)'!$F$2:$F$47,MATCH($A42,'Batch Enrollment (Metabase)'!$A$2:$A$47,0)),""))</f>
        <v/>
      </c>
      <c r="E42" s="3">
        <f>IF($A42="","",COUNTIFS('Picked Students (raw)'!$B$2:$B$824,$A42,'Picked Students (raw)'!$E$2:$E$824,"Fresher"))</f>
        <v/>
      </c>
      <c r="F42" s="3">
        <f>IF($A42="","",IF($B42="","",IF(TODAY()&lt;$B42+30,"-",SUMPRODUCT(('Picked Students (raw)'!$B$2:$B$824=$A42)*('Picked Students (raw)'!$E$2:$E$824="Fresher")*('Picked Students (raw)'!$C$2:$C$824&lt;&gt;"")*(('Picked Students (raw)'!$C$2:$C$824-$B42)&lt;30)))))</f>
        <v/>
      </c>
      <c r="G42" s="5">
        <f>IF($A42="","",IF(F42="-","-",IF($D42=0,0,F42/$D42)))</f>
        <v/>
      </c>
      <c r="H42" s="3">
        <f>IF($A42="","",IF($B42="","",IF(TODAY()&lt;$B42+60,"-",SUMPRODUCT(('Picked Students (raw)'!$B$2:$B$824=$A42)*('Picked Students (raw)'!$E$2:$E$824="Fresher")*('Picked Students (raw)'!$C$2:$C$824&lt;&gt;"")*(('Picked Students (raw)'!$C$2:$C$824-$B42)&lt;60)))))</f>
        <v/>
      </c>
      <c r="I42" s="5">
        <f>IF($A42="","",IF(H42="-","-",IF($D42=0,0,H42/$D42)))</f>
        <v/>
      </c>
      <c r="J42" s="3">
        <f>IF($A42="","",IF($B42="","",IF(TODAY()&lt;$B42+90,"-",SUMPRODUCT(('Picked Students (raw)'!$B$2:$B$824=$A42)*('Picked Students (raw)'!$E$2:$E$824="Fresher")*('Picked Students (raw)'!$C$2:$C$824&lt;&gt;"")*(('Picked Students (raw)'!$C$2:$C$824-$B42)&lt;90)))))</f>
        <v/>
      </c>
      <c r="K42" s="5">
        <f>IF($A42="","",IF(J42="-","-",IF($D42=0,0,J42/$D42)))</f>
        <v/>
      </c>
      <c r="L42" s="3">
        <f>IF($A42="","",IF($B42="","",IF(TODAY()&lt;$B42+120,"-",SUMPRODUCT(('Picked Students (raw)'!$B$2:$B$824=$A42)*('Picked Students (raw)'!$E$2:$E$824="Fresher")*('Picked Students (raw)'!$C$2:$C$824&lt;&gt;"")*(('Picked Students (raw)'!$C$2:$C$824-$B42)&lt;120)))))</f>
        <v/>
      </c>
      <c r="M42" s="5">
        <f>IF($A42="","",IF(L42="-","-",IF($D42=0,0,L42/$D42)))</f>
        <v/>
      </c>
      <c r="N42" s="3">
        <f>IF($A42="","",IF($B42="","",IF(TODAY()&lt;$B42+150,"-",SUMPRODUCT(('Picked Students (raw)'!$B$2:$B$824=$A42)*('Picked Students (raw)'!$E$2:$E$824="Fresher")*('Picked Students (raw)'!$C$2:$C$824&lt;&gt;"")*(('Picked Students (raw)'!$C$2:$C$824-$B42)&lt;150)))))</f>
        <v/>
      </c>
      <c r="O42" s="5">
        <f>IF($A42="","",IF(N42="-","-",IF($D42=0,0,N42/$D42)))</f>
        <v/>
      </c>
      <c r="P42" s="3">
        <f>IF($A42="","",IF($B42="","",IF(TODAY()&lt;$B42+180,"-",SUMPRODUCT(('Picked Students (raw)'!$B$2:$B$824=$A42)*('Picked Students (raw)'!$E$2:$E$824="Fresher")*('Picked Students (raw)'!$C$2:$C$824&lt;&gt;"")*(('Picked Students (raw)'!$C$2:$C$824-$B42)&lt;180)))))</f>
        <v/>
      </c>
      <c r="Q42" s="5">
        <f>IF($A42="","",IF(P42="-","-",IF($D42=0,0,P42/$D42)))</f>
        <v/>
      </c>
      <c r="R42" s="3">
        <f>IF($A42="","",IF($B42="","",IF(TODAY()&lt;$B42+210,"-",SUMPRODUCT(('Picked Students (raw)'!$B$2:$B$824=$A42)*('Picked Students (raw)'!$E$2:$E$824="Fresher")*('Picked Students (raw)'!$C$2:$C$824&lt;&gt;"")*(('Picked Students (raw)'!$C$2:$C$824-$B42)&lt;210)))))</f>
        <v/>
      </c>
      <c r="S42" s="5">
        <f>IF($A42="","",IF(R42="-","-",IF($D42=0,0,R42/$D42)))</f>
        <v/>
      </c>
      <c r="T42" s="3">
        <f>IF($A42="","",IF($B42="","",IF(TODAY()&lt;$B42+240,"-",SUMPRODUCT(('Picked Students (raw)'!$B$2:$B$824=$A42)*('Picked Students (raw)'!$E$2:$E$824="Fresher")*('Picked Students (raw)'!$C$2:$C$824&lt;&gt;"")*(('Picked Students (raw)'!$C$2:$C$824-$B42)&lt;240)))))</f>
        <v/>
      </c>
      <c r="U42" s="5">
        <f>IF($A42="","",IF(T42="-","-",IF($D42=0,0,T42/$D42)))</f>
        <v/>
      </c>
      <c r="V42" s="3">
        <f>IF($A42="","",IF($B42="","",IF(TODAY()&lt;$B42+270,"-",SUMPRODUCT(('Picked Students (raw)'!$B$2:$B$824=$A42)*('Picked Students (raw)'!$E$2:$E$824="Fresher")*('Picked Students (raw)'!$C$2:$C$824&lt;&gt;"")*(('Picked Students (raw)'!$C$2:$C$824-$B42)&lt;270)))))</f>
        <v/>
      </c>
      <c r="W42" s="5">
        <f>IF($A42="","",IF(V42="-","-",IF($D42=0,0,V42/$D42)))</f>
        <v/>
      </c>
      <c r="X42" s="3">
        <f>IF($A42="","",IF($B42="","",IF(TODAY()&lt;$B42+300,"-",SUMPRODUCT(('Picked Students (raw)'!$B$2:$B$824=$A42)*('Picked Students (raw)'!$E$2:$E$824="Fresher")*('Picked Students (raw)'!$C$2:$C$824&lt;&gt;"")*(('Picked Students (raw)'!$C$2:$C$824-$B42)&lt;300)))))</f>
        <v/>
      </c>
      <c r="Y42" s="5">
        <f>IF($A42="","",IF(X42="-","-",IF($D42=0,0,X42/$D42)))</f>
        <v/>
      </c>
      <c r="Z42" s="3">
        <f>IF($A42="","",IF($B42="","",IF(TODAY()&lt;$B42+330,"-",SUMPRODUCT(('Picked Students (raw)'!$B$2:$B$824=$A42)*('Picked Students (raw)'!$E$2:$E$824="Fresher")*('Picked Students (raw)'!$C$2:$C$824&lt;&gt;"")*(('Picked Students (raw)'!$C$2:$C$824-$B42)&lt;330)))))</f>
        <v/>
      </c>
      <c r="AA42" s="5">
        <f>IF($A42="","",IF(Z42="-","-",IF($D42=0,0,Z42/$D42)))</f>
        <v/>
      </c>
      <c r="AB42" s="3">
        <f>IF($A42="","",IF($B42="","",IF(TODAY()&lt;$B42+360,"-",SUMPRODUCT(('Picked Students (raw)'!$B$2:$B$824=$A42)*('Picked Students (raw)'!$E$2:$E$824="Fresher")*('Picked Students (raw)'!$C$2:$C$824&lt;&gt;"")*(('Picked Students (raw)'!$C$2:$C$824-$B42)&lt;360)))))</f>
        <v/>
      </c>
      <c r="AC42" s="5">
        <f>IF($A42="","",IF(AB42="-","-",IF($D42=0,0,AB42/$D42)))</f>
        <v/>
      </c>
      <c r="AD42" s="3">
        <f>IF($A42="","",IF($B42="","",IF(TODAY()&lt;$B42+390,"-",SUMPRODUCT(('Picked Students (raw)'!$B$2:$B$824=$A42)*('Picked Students (raw)'!$E$2:$E$824="Fresher")*('Picked Students (raw)'!$C$2:$C$824&lt;&gt;"")*(('Picked Students (raw)'!$C$2:$C$824-$B42)&lt;390)))))</f>
        <v/>
      </c>
      <c r="AE42" s="5">
        <f>IF($A42="","",IF(AD42="-","-",IF($D42=0,0,AD42/$D42)))</f>
        <v/>
      </c>
      <c r="AF42" s="3">
        <f>IF($A42="","",IF($B42="","",IF(TODAY()&lt;$B42+420,"-",SUMPRODUCT(('Picked Students (raw)'!$B$2:$B$824=$A42)*('Picked Students (raw)'!$E$2:$E$824="Fresher")*('Picked Students (raw)'!$C$2:$C$824&lt;&gt;"")*(('Picked Students (raw)'!$C$2:$C$824-$B42)&lt;420)))))</f>
        <v/>
      </c>
      <c r="AG42" s="5">
        <f>IF($A42="","",IF(AF42="-","-",IF($D42=0,0,AF42/$D42)))</f>
        <v/>
      </c>
      <c r="AH42" s="3">
        <f>IF($A42="","",IF($B42="","",IF(TODAY()&lt;$B42+450,"-",SUMPRODUCT(('Picked Students (raw)'!$B$2:$B$824=$A42)*('Picked Students (raw)'!$E$2:$E$824="Fresher")*('Picked Students (raw)'!$C$2:$C$824&lt;&gt;"")*(('Picked Students (raw)'!$C$2:$C$824-$B42)&lt;450)))))</f>
        <v/>
      </c>
      <c r="AI42" s="5">
        <f>IF($A42="","",IF(AH42="-","-",IF($D42=0,0,AH42/$D42)))</f>
        <v/>
      </c>
      <c r="AJ42" s="3">
        <f>IF($A42="","",IF($B42="","",IF(TODAY()&lt;$B42+480,"-",SUMPRODUCT(('Picked Students (raw)'!$B$2:$B$824=$A42)*('Picked Students (raw)'!$E$2:$E$824="Fresher")*('Picked Students (raw)'!$C$2:$C$824&lt;&gt;"")*(('Picked Students (raw)'!$C$2:$C$824-$B42)&lt;480)))))</f>
        <v/>
      </c>
      <c r="AK42" s="5">
        <f>IF($A42="","",IF(AJ42="-","-",IF($D42=0,0,AJ42/$D42)))</f>
        <v/>
      </c>
      <c r="AL42" s="3">
        <f>IF($A42="","",IF($B42="","",IF(TODAY()&lt;$B42+510,"-",SUMPRODUCT(('Picked Students (raw)'!$B$2:$B$824=$A42)*('Picked Students (raw)'!$E$2:$E$824="Fresher")*('Picked Students (raw)'!$C$2:$C$824&lt;&gt;"")*(('Picked Students (raw)'!$C$2:$C$824-$B42)&lt;510)))))</f>
        <v/>
      </c>
      <c r="AM42" s="5">
        <f>IF($A42="","",IF(AL42="-","-",IF($D42=0,0,AL42/$D42)))</f>
        <v/>
      </c>
      <c r="AN42" s="3">
        <f>IF($A42="","",IF($B42="","",IF(TODAY()&lt;$B42+540,"-",SUMPRODUCT(('Picked Students (raw)'!$B$2:$B$824=$A42)*('Picked Students (raw)'!$E$2:$E$824="Fresher")*('Picked Students (raw)'!$C$2:$C$824&lt;&gt;"")*(('Picked Students (raw)'!$C$2:$C$824-$B42)&lt;540)))))</f>
        <v/>
      </c>
      <c r="AO42" s="5">
        <f>IF($A42="","",IF(AN42="-","-",IF($D42=0,0,AN42/$D42)))</f>
        <v/>
      </c>
      <c r="AP42" s="3">
        <f>IF($A42="","",IF(AN42="-","-",$E42-AN42))</f>
        <v/>
      </c>
    </row>
    <row r="43">
      <c r="A43" s="3" t="inlineStr">
        <is>
          <t>Professional Certificate Course In Data Science June 2026</t>
        </is>
      </c>
      <c r="B43" s="4">
        <f>IF($A43="","",IFERROR(INDEX('Batch Enrollment (Metabase)'!$D$2:$D$47,MATCH($A43,'Batch Enrollment (Metabase)'!$A$2:$A$47,0)),""))</f>
        <v/>
      </c>
      <c r="C43" s="3">
        <f>IF($A43="","",IFERROR(INDEX('Batch Enrollment (Metabase)'!$E$2:$E$47,MATCH($A43,'Batch Enrollment (Metabase)'!$A$2:$A$47,0)),""))</f>
        <v/>
      </c>
      <c r="D43" s="3">
        <f>IF($A43="","",IFERROR(INDEX('Batch Enrollment (Metabase)'!$F$2:$F$47,MATCH($A43,'Batch Enrollment (Metabase)'!$A$2:$A$47,0)),""))</f>
        <v/>
      </c>
      <c r="E43" s="3">
        <f>IF($A43="","",COUNTIFS('Picked Students (raw)'!$B$2:$B$824,$A43,'Picked Students (raw)'!$E$2:$E$824,"Fresher"))</f>
        <v/>
      </c>
      <c r="F43" s="3">
        <f>IF($A43="","",IF($B43="","",IF(TODAY()&lt;$B43+30,"-",SUMPRODUCT(('Picked Students (raw)'!$B$2:$B$824=$A43)*('Picked Students (raw)'!$E$2:$E$824="Fresher")*('Picked Students (raw)'!$C$2:$C$824&lt;&gt;"")*(('Picked Students (raw)'!$C$2:$C$824-$B43)&lt;30)))))</f>
        <v/>
      </c>
      <c r="G43" s="5">
        <f>IF($A43="","",IF(F43="-","-",IF($D43=0,0,F43/$D43)))</f>
        <v/>
      </c>
      <c r="H43" s="3">
        <f>IF($A43="","",IF($B43="","",IF(TODAY()&lt;$B43+60,"-",SUMPRODUCT(('Picked Students (raw)'!$B$2:$B$824=$A43)*('Picked Students (raw)'!$E$2:$E$824="Fresher")*('Picked Students (raw)'!$C$2:$C$824&lt;&gt;"")*(('Picked Students (raw)'!$C$2:$C$824-$B43)&lt;60)))))</f>
        <v/>
      </c>
      <c r="I43" s="5">
        <f>IF($A43="","",IF(H43="-","-",IF($D43=0,0,H43/$D43)))</f>
        <v/>
      </c>
      <c r="J43" s="3">
        <f>IF($A43="","",IF($B43="","",IF(TODAY()&lt;$B43+90,"-",SUMPRODUCT(('Picked Students (raw)'!$B$2:$B$824=$A43)*('Picked Students (raw)'!$E$2:$E$824="Fresher")*('Picked Students (raw)'!$C$2:$C$824&lt;&gt;"")*(('Picked Students (raw)'!$C$2:$C$824-$B43)&lt;90)))))</f>
        <v/>
      </c>
      <c r="K43" s="5">
        <f>IF($A43="","",IF(J43="-","-",IF($D43=0,0,J43/$D43)))</f>
        <v/>
      </c>
      <c r="L43" s="3">
        <f>IF($A43="","",IF($B43="","",IF(TODAY()&lt;$B43+120,"-",SUMPRODUCT(('Picked Students (raw)'!$B$2:$B$824=$A43)*('Picked Students (raw)'!$E$2:$E$824="Fresher")*('Picked Students (raw)'!$C$2:$C$824&lt;&gt;"")*(('Picked Students (raw)'!$C$2:$C$824-$B43)&lt;120)))))</f>
        <v/>
      </c>
      <c r="M43" s="5">
        <f>IF($A43="","",IF(L43="-","-",IF($D43=0,0,L43/$D43)))</f>
        <v/>
      </c>
      <c r="N43" s="3">
        <f>IF($A43="","",IF($B43="","",IF(TODAY()&lt;$B43+150,"-",SUMPRODUCT(('Picked Students (raw)'!$B$2:$B$824=$A43)*('Picked Students (raw)'!$E$2:$E$824="Fresher")*('Picked Students (raw)'!$C$2:$C$824&lt;&gt;"")*(('Picked Students (raw)'!$C$2:$C$824-$B43)&lt;150)))))</f>
        <v/>
      </c>
      <c r="O43" s="5">
        <f>IF($A43="","",IF(N43="-","-",IF($D43=0,0,N43/$D43)))</f>
        <v/>
      </c>
      <c r="P43" s="3">
        <f>IF($A43="","",IF($B43="","",IF(TODAY()&lt;$B43+180,"-",SUMPRODUCT(('Picked Students (raw)'!$B$2:$B$824=$A43)*('Picked Students (raw)'!$E$2:$E$824="Fresher")*('Picked Students (raw)'!$C$2:$C$824&lt;&gt;"")*(('Picked Students (raw)'!$C$2:$C$824-$B43)&lt;180)))))</f>
        <v/>
      </c>
      <c r="Q43" s="5">
        <f>IF($A43="","",IF(P43="-","-",IF($D43=0,0,P43/$D43)))</f>
        <v/>
      </c>
      <c r="R43" s="3">
        <f>IF($A43="","",IF($B43="","",IF(TODAY()&lt;$B43+210,"-",SUMPRODUCT(('Picked Students (raw)'!$B$2:$B$824=$A43)*('Picked Students (raw)'!$E$2:$E$824="Fresher")*('Picked Students (raw)'!$C$2:$C$824&lt;&gt;"")*(('Picked Students (raw)'!$C$2:$C$824-$B43)&lt;210)))))</f>
        <v/>
      </c>
      <c r="S43" s="5">
        <f>IF($A43="","",IF(R43="-","-",IF($D43=0,0,R43/$D43)))</f>
        <v/>
      </c>
      <c r="T43" s="3">
        <f>IF($A43="","",IF($B43="","",IF(TODAY()&lt;$B43+240,"-",SUMPRODUCT(('Picked Students (raw)'!$B$2:$B$824=$A43)*('Picked Students (raw)'!$E$2:$E$824="Fresher")*('Picked Students (raw)'!$C$2:$C$824&lt;&gt;"")*(('Picked Students (raw)'!$C$2:$C$824-$B43)&lt;240)))))</f>
        <v/>
      </c>
      <c r="U43" s="5">
        <f>IF($A43="","",IF(T43="-","-",IF($D43=0,0,T43/$D43)))</f>
        <v/>
      </c>
      <c r="V43" s="3">
        <f>IF($A43="","",IF($B43="","",IF(TODAY()&lt;$B43+270,"-",SUMPRODUCT(('Picked Students (raw)'!$B$2:$B$824=$A43)*('Picked Students (raw)'!$E$2:$E$824="Fresher")*('Picked Students (raw)'!$C$2:$C$824&lt;&gt;"")*(('Picked Students (raw)'!$C$2:$C$824-$B43)&lt;270)))))</f>
        <v/>
      </c>
      <c r="W43" s="5">
        <f>IF($A43="","",IF(V43="-","-",IF($D43=0,0,V43/$D43)))</f>
        <v/>
      </c>
      <c r="X43" s="3">
        <f>IF($A43="","",IF($B43="","",IF(TODAY()&lt;$B43+300,"-",SUMPRODUCT(('Picked Students (raw)'!$B$2:$B$824=$A43)*('Picked Students (raw)'!$E$2:$E$824="Fresher")*('Picked Students (raw)'!$C$2:$C$824&lt;&gt;"")*(('Picked Students (raw)'!$C$2:$C$824-$B43)&lt;300)))))</f>
        <v/>
      </c>
      <c r="Y43" s="5">
        <f>IF($A43="","",IF(X43="-","-",IF($D43=0,0,X43/$D43)))</f>
        <v/>
      </c>
      <c r="Z43" s="3">
        <f>IF($A43="","",IF($B43="","",IF(TODAY()&lt;$B43+330,"-",SUMPRODUCT(('Picked Students (raw)'!$B$2:$B$824=$A43)*('Picked Students (raw)'!$E$2:$E$824="Fresher")*('Picked Students (raw)'!$C$2:$C$824&lt;&gt;"")*(('Picked Students (raw)'!$C$2:$C$824-$B43)&lt;330)))))</f>
        <v/>
      </c>
      <c r="AA43" s="5">
        <f>IF($A43="","",IF(Z43="-","-",IF($D43=0,0,Z43/$D43)))</f>
        <v/>
      </c>
      <c r="AB43" s="3">
        <f>IF($A43="","",IF($B43="","",IF(TODAY()&lt;$B43+360,"-",SUMPRODUCT(('Picked Students (raw)'!$B$2:$B$824=$A43)*('Picked Students (raw)'!$E$2:$E$824="Fresher")*('Picked Students (raw)'!$C$2:$C$824&lt;&gt;"")*(('Picked Students (raw)'!$C$2:$C$824-$B43)&lt;360)))))</f>
        <v/>
      </c>
      <c r="AC43" s="5">
        <f>IF($A43="","",IF(AB43="-","-",IF($D43=0,0,AB43/$D43)))</f>
        <v/>
      </c>
      <c r="AD43" s="3">
        <f>IF($A43="","",IF($B43="","",IF(TODAY()&lt;$B43+390,"-",SUMPRODUCT(('Picked Students (raw)'!$B$2:$B$824=$A43)*('Picked Students (raw)'!$E$2:$E$824="Fresher")*('Picked Students (raw)'!$C$2:$C$824&lt;&gt;"")*(('Picked Students (raw)'!$C$2:$C$824-$B43)&lt;390)))))</f>
        <v/>
      </c>
      <c r="AE43" s="5">
        <f>IF($A43="","",IF(AD43="-","-",IF($D43=0,0,AD43/$D43)))</f>
        <v/>
      </c>
      <c r="AF43" s="3">
        <f>IF($A43="","",IF($B43="","",IF(TODAY()&lt;$B43+420,"-",SUMPRODUCT(('Picked Students (raw)'!$B$2:$B$824=$A43)*('Picked Students (raw)'!$E$2:$E$824="Fresher")*('Picked Students (raw)'!$C$2:$C$824&lt;&gt;"")*(('Picked Students (raw)'!$C$2:$C$824-$B43)&lt;420)))))</f>
        <v/>
      </c>
      <c r="AG43" s="5">
        <f>IF($A43="","",IF(AF43="-","-",IF($D43=0,0,AF43/$D43)))</f>
        <v/>
      </c>
      <c r="AH43" s="3">
        <f>IF($A43="","",IF($B43="","",IF(TODAY()&lt;$B43+450,"-",SUMPRODUCT(('Picked Students (raw)'!$B$2:$B$824=$A43)*('Picked Students (raw)'!$E$2:$E$824="Fresher")*('Picked Students (raw)'!$C$2:$C$824&lt;&gt;"")*(('Picked Students (raw)'!$C$2:$C$824-$B43)&lt;450)))))</f>
        <v/>
      </c>
      <c r="AI43" s="5">
        <f>IF($A43="","",IF(AH43="-","-",IF($D43=0,0,AH43/$D43)))</f>
        <v/>
      </c>
      <c r="AJ43" s="3">
        <f>IF($A43="","",IF($B43="","",IF(TODAY()&lt;$B43+480,"-",SUMPRODUCT(('Picked Students (raw)'!$B$2:$B$824=$A43)*('Picked Students (raw)'!$E$2:$E$824="Fresher")*('Picked Students (raw)'!$C$2:$C$824&lt;&gt;"")*(('Picked Students (raw)'!$C$2:$C$824-$B43)&lt;480)))))</f>
        <v/>
      </c>
      <c r="AK43" s="5">
        <f>IF($A43="","",IF(AJ43="-","-",IF($D43=0,0,AJ43/$D43)))</f>
        <v/>
      </c>
      <c r="AL43" s="3">
        <f>IF($A43="","",IF($B43="","",IF(TODAY()&lt;$B43+510,"-",SUMPRODUCT(('Picked Students (raw)'!$B$2:$B$824=$A43)*('Picked Students (raw)'!$E$2:$E$824="Fresher")*('Picked Students (raw)'!$C$2:$C$824&lt;&gt;"")*(('Picked Students (raw)'!$C$2:$C$824-$B43)&lt;510)))))</f>
        <v/>
      </c>
      <c r="AM43" s="5">
        <f>IF($A43="","",IF(AL43="-","-",IF($D43=0,0,AL43/$D43)))</f>
        <v/>
      </c>
      <c r="AN43" s="3">
        <f>IF($A43="","",IF($B43="","",IF(TODAY()&lt;$B43+540,"-",SUMPRODUCT(('Picked Students (raw)'!$B$2:$B$824=$A43)*('Picked Students (raw)'!$E$2:$E$824="Fresher")*('Picked Students (raw)'!$C$2:$C$824&lt;&gt;"")*(('Picked Students (raw)'!$C$2:$C$824-$B43)&lt;540)))))</f>
        <v/>
      </c>
      <c r="AO43" s="5">
        <f>IF($A43="","",IF(AN43="-","-",IF($D43=0,0,AN43/$D43)))</f>
        <v/>
      </c>
      <c r="AP43" s="3">
        <f>IF($A43="","",IF(AN43="-","-",$E43-AN43))</f>
        <v/>
      </c>
    </row>
    <row r="44">
      <c r="A44" s="3" t="inlineStr">
        <is>
          <t>Professional Certificate Course In Data Science July 2026</t>
        </is>
      </c>
      <c r="B44" s="4">
        <f>IF($A44="","",IFERROR(INDEX('Batch Enrollment (Metabase)'!$D$2:$D$47,MATCH($A44,'Batch Enrollment (Metabase)'!$A$2:$A$47,0)),""))</f>
        <v/>
      </c>
      <c r="C44" s="3">
        <f>IF($A44="","",IFERROR(INDEX('Batch Enrollment (Metabase)'!$E$2:$E$47,MATCH($A44,'Batch Enrollment (Metabase)'!$A$2:$A$47,0)),""))</f>
        <v/>
      </c>
      <c r="D44" s="3">
        <f>IF($A44="","",IFERROR(INDEX('Batch Enrollment (Metabase)'!$F$2:$F$47,MATCH($A44,'Batch Enrollment (Metabase)'!$A$2:$A$47,0)),""))</f>
        <v/>
      </c>
      <c r="E44" s="3">
        <f>IF($A44="","",COUNTIFS('Picked Students (raw)'!$B$2:$B$824,$A44,'Picked Students (raw)'!$E$2:$E$824,"Fresher"))</f>
        <v/>
      </c>
      <c r="F44" s="3">
        <f>IF($A44="","",IF($B44="","",IF(TODAY()&lt;$B44+30,"-",SUMPRODUCT(('Picked Students (raw)'!$B$2:$B$824=$A44)*('Picked Students (raw)'!$E$2:$E$824="Fresher")*('Picked Students (raw)'!$C$2:$C$824&lt;&gt;"")*(('Picked Students (raw)'!$C$2:$C$824-$B44)&lt;30)))))</f>
        <v/>
      </c>
      <c r="G44" s="5">
        <f>IF($A44="","",IF(F44="-","-",IF($D44=0,0,F44/$D44)))</f>
        <v/>
      </c>
      <c r="H44" s="3">
        <f>IF($A44="","",IF($B44="","",IF(TODAY()&lt;$B44+60,"-",SUMPRODUCT(('Picked Students (raw)'!$B$2:$B$824=$A44)*('Picked Students (raw)'!$E$2:$E$824="Fresher")*('Picked Students (raw)'!$C$2:$C$824&lt;&gt;"")*(('Picked Students (raw)'!$C$2:$C$824-$B44)&lt;60)))))</f>
        <v/>
      </c>
      <c r="I44" s="5">
        <f>IF($A44="","",IF(H44="-","-",IF($D44=0,0,H44/$D44)))</f>
        <v/>
      </c>
      <c r="J44" s="3">
        <f>IF($A44="","",IF($B44="","",IF(TODAY()&lt;$B44+90,"-",SUMPRODUCT(('Picked Students (raw)'!$B$2:$B$824=$A44)*('Picked Students (raw)'!$E$2:$E$824="Fresher")*('Picked Students (raw)'!$C$2:$C$824&lt;&gt;"")*(('Picked Students (raw)'!$C$2:$C$824-$B44)&lt;90)))))</f>
        <v/>
      </c>
      <c r="K44" s="5">
        <f>IF($A44="","",IF(J44="-","-",IF($D44=0,0,J44/$D44)))</f>
        <v/>
      </c>
      <c r="L44" s="3">
        <f>IF($A44="","",IF($B44="","",IF(TODAY()&lt;$B44+120,"-",SUMPRODUCT(('Picked Students (raw)'!$B$2:$B$824=$A44)*('Picked Students (raw)'!$E$2:$E$824="Fresher")*('Picked Students (raw)'!$C$2:$C$824&lt;&gt;"")*(('Picked Students (raw)'!$C$2:$C$824-$B44)&lt;120)))))</f>
        <v/>
      </c>
      <c r="M44" s="5">
        <f>IF($A44="","",IF(L44="-","-",IF($D44=0,0,L44/$D44)))</f>
        <v/>
      </c>
      <c r="N44" s="3">
        <f>IF($A44="","",IF($B44="","",IF(TODAY()&lt;$B44+150,"-",SUMPRODUCT(('Picked Students (raw)'!$B$2:$B$824=$A44)*('Picked Students (raw)'!$E$2:$E$824="Fresher")*('Picked Students (raw)'!$C$2:$C$824&lt;&gt;"")*(('Picked Students (raw)'!$C$2:$C$824-$B44)&lt;150)))))</f>
        <v/>
      </c>
      <c r="O44" s="5">
        <f>IF($A44="","",IF(N44="-","-",IF($D44=0,0,N44/$D44)))</f>
        <v/>
      </c>
      <c r="P44" s="3">
        <f>IF($A44="","",IF($B44="","",IF(TODAY()&lt;$B44+180,"-",SUMPRODUCT(('Picked Students (raw)'!$B$2:$B$824=$A44)*('Picked Students (raw)'!$E$2:$E$824="Fresher")*('Picked Students (raw)'!$C$2:$C$824&lt;&gt;"")*(('Picked Students (raw)'!$C$2:$C$824-$B44)&lt;180)))))</f>
        <v/>
      </c>
      <c r="Q44" s="5">
        <f>IF($A44="","",IF(P44="-","-",IF($D44=0,0,P44/$D44)))</f>
        <v/>
      </c>
      <c r="R44" s="3">
        <f>IF($A44="","",IF($B44="","",IF(TODAY()&lt;$B44+210,"-",SUMPRODUCT(('Picked Students (raw)'!$B$2:$B$824=$A44)*('Picked Students (raw)'!$E$2:$E$824="Fresher")*('Picked Students (raw)'!$C$2:$C$824&lt;&gt;"")*(('Picked Students (raw)'!$C$2:$C$824-$B44)&lt;210)))))</f>
        <v/>
      </c>
      <c r="S44" s="5">
        <f>IF($A44="","",IF(R44="-","-",IF($D44=0,0,R44/$D44)))</f>
        <v/>
      </c>
      <c r="T44" s="3">
        <f>IF($A44="","",IF($B44="","",IF(TODAY()&lt;$B44+240,"-",SUMPRODUCT(('Picked Students (raw)'!$B$2:$B$824=$A44)*('Picked Students (raw)'!$E$2:$E$824="Fresher")*('Picked Students (raw)'!$C$2:$C$824&lt;&gt;"")*(('Picked Students (raw)'!$C$2:$C$824-$B44)&lt;240)))))</f>
        <v/>
      </c>
      <c r="U44" s="5">
        <f>IF($A44="","",IF(T44="-","-",IF($D44=0,0,T44/$D44)))</f>
        <v/>
      </c>
      <c r="V44" s="3">
        <f>IF($A44="","",IF($B44="","",IF(TODAY()&lt;$B44+270,"-",SUMPRODUCT(('Picked Students (raw)'!$B$2:$B$824=$A44)*('Picked Students (raw)'!$E$2:$E$824="Fresher")*('Picked Students (raw)'!$C$2:$C$824&lt;&gt;"")*(('Picked Students (raw)'!$C$2:$C$824-$B44)&lt;270)))))</f>
        <v/>
      </c>
      <c r="W44" s="5">
        <f>IF($A44="","",IF(V44="-","-",IF($D44=0,0,V44/$D44)))</f>
        <v/>
      </c>
      <c r="X44" s="3">
        <f>IF($A44="","",IF($B44="","",IF(TODAY()&lt;$B44+300,"-",SUMPRODUCT(('Picked Students (raw)'!$B$2:$B$824=$A44)*('Picked Students (raw)'!$E$2:$E$824="Fresher")*('Picked Students (raw)'!$C$2:$C$824&lt;&gt;"")*(('Picked Students (raw)'!$C$2:$C$824-$B44)&lt;300)))))</f>
        <v/>
      </c>
      <c r="Y44" s="5">
        <f>IF($A44="","",IF(X44="-","-",IF($D44=0,0,X44/$D44)))</f>
        <v/>
      </c>
      <c r="Z44" s="3">
        <f>IF($A44="","",IF($B44="","",IF(TODAY()&lt;$B44+330,"-",SUMPRODUCT(('Picked Students (raw)'!$B$2:$B$824=$A44)*('Picked Students (raw)'!$E$2:$E$824="Fresher")*('Picked Students (raw)'!$C$2:$C$824&lt;&gt;"")*(('Picked Students (raw)'!$C$2:$C$824-$B44)&lt;330)))))</f>
        <v/>
      </c>
      <c r="AA44" s="5">
        <f>IF($A44="","",IF(Z44="-","-",IF($D44=0,0,Z44/$D44)))</f>
        <v/>
      </c>
      <c r="AB44" s="3">
        <f>IF($A44="","",IF($B44="","",IF(TODAY()&lt;$B44+360,"-",SUMPRODUCT(('Picked Students (raw)'!$B$2:$B$824=$A44)*('Picked Students (raw)'!$E$2:$E$824="Fresher")*('Picked Students (raw)'!$C$2:$C$824&lt;&gt;"")*(('Picked Students (raw)'!$C$2:$C$824-$B44)&lt;360)))))</f>
        <v/>
      </c>
      <c r="AC44" s="5">
        <f>IF($A44="","",IF(AB44="-","-",IF($D44=0,0,AB44/$D44)))</f>
        <v/>
      </c>
      <c r="AD44" s="3">
        <f>IF($A44="","",IF($B44="","",IF(TODAY()&lt;$B44+390,"-",SUMPRODUCT(('Picked Students (raw)'!$B$2:$B$824=$A44)*('Picked Students (raw)'!$E$2:$E$824="Fresher")*('Picked Students (raw)'!$C$2:$C$824&lt;&gt;"")*(('Picked Students (raw)'!$C$2:$C$824-$B44)&lt;390)))))</f>
        <v/>
      </c>
      <c r="AE44" s="5">
        <f>IF($A44="","",IF(AD44="-","-",IF($D44=0,0,AD44/$D44)))</f>
        <v/>
      </c>
      <c r="AF44" s="3">
        <f>IF($A44="","",IF($B44="","",IF(TODAY()&lt;$B44+420,"-",SUMPRODUCT(('Picked Students (raw)'!$B$2:$B$824=$A44)*('Picked Students (raw)'!$E$2:$E$824="Fresher")*('Picked Students (raw)'!$C$2:$C$824&lt;&gt;"")*(('Picked Students (raw)'!$C$2:$C$824-$B44)&lt;420)))))</f>
        <v/>
      </c>
      <c r="AG44" s="5">
        <f>IF($A44="","",IF(AF44="-","-",IF($D44=0,0,AF44/$D44)))</f>
        <v/>
      </c>
      <c r="AH44" s="3">
        <f>IF($A44="","",IF($B44="","",IF(TODAY()&lt;$B44+450,"-",SUMPRODUCT(('Picked Students (raw)'!$B$2:$B$824=$A44)*('Picked Students (raw)'!$E$2:$E$824="Fresher")*('Picked Students (raw)'!$C$2:$C$824&lt;&gt;"")*(('Picked Students (raw)'!$C$2:$C$824-$B44)&lt;450)))))</f>
        <v/>
      </c>
      <c r="AI44" s="5">
        <f>IF($A44="","",IF(AH44="-","-",IF($D44=0,0,AH44/$D44)))</f>
        <v/>
      </c>
      <c r="AJ44" s="3">
        <f>IF($A44="","",IF($B44="","",IF(TODAY()&lt;$B44+480,"-",SUMPRODUCT(('Picked Students (raw)'!$B$2:$B$824=$A44)*('Picked Students (raw)'!$E$2:$E$824="Fresher")*('Picked Students (raw)'!$C$2:$C$824&lt;&gt;"")*(('Picked Students (raw)'!$C$2:$C$824-$B44)&lt;480)))))</f>
        <v/>
      </c>
      <c r="AK44" s="5">
        <f>IF($A44="","",IF(AJ44="-","-",IF($D44=0,0,AJ44/$D44)))</f>
        <v/>
      </c>
      <c r="AL44" s="3">
        <f>IF($A44="","",IF($B44="","",IF(TODAY()&lt;$B44+510,"-",SUMPRODUCT(('Picked Students (raw)'!$B$2:$B$824=$A44)*('Picked Students (raw)'!$E$2:$E$824="Fresher")*('Picked Students (raw)'!$C$2:$C$824&lt;&gt;"")*(('Picked Students (raw)'!$C$2:$C$824-$B44)&lt;510)))))</f>
        <v/>
      </c>
      <c r="AM44" s="5">
        <f>IF($A44="","",IF(AL44="-","-",IF($D44=0,0,AL44/$D44)))</f>
        <v/>
      </c>
      <c r="AN44" s="3">
        <f>IF($A44="","",IF($B44="","",IF(TODAY()&lt;$B44+540,"-",SUMPRODUCT(('Picked Students (raw)'!$B$2:$B$824=$A44)*('Picked Students (raw)'!$E$2:$E$824="Fresher")*('Picked Students (raw)'!$C$2:$C$824&lt;&gt;"")*(('Picked Students (raw)'!$C$2:$C$824-$B44)&lt;540)))))</f>
        <v/>
      </c>
      <c r="AO44" s="5">
        <f>IF($A44="","",IF(AN44="-","-",IF($D44=0,0,AN44/$D44)))</f>
        <v/>
      </c>
      <c r="AP44" s="3">
        <f>IF($A44="","",IF(AN44="-","-",$E44-AN44))</f>
        <v/>
      </c>
    </row>
    <row r="45">
      <c r="A45" s="3" t="inlineStr">
        <is>
          <t>Professional Certificate Course In Data Science August 2026</t>
        </is>
      </c>
      <c r="B45" s="4">
        <f>IF($A45="","",IFERROR(INDEX('Batch Enrollment (Metabase)'!$D$2:$D$47,MATCH($A45,'Batch Enrollment (Metabase)'!$A$2:$A$47,0)),""))</f>
        <v/>
      </c>
      <c r="C45" s="3">
        <f>IF($A45="","",IFERROR(INDEX('Batch Enrollment (Metabase)'!$E$2:$E$47,MATCH($A45,'Batch Enrollment (Metabase)'!$A$2:$A$47,0)),""))</f>
        <v/>
      </c>
      <c r="D45" s="3">
        <f>IF($A45="","",IFERROR(INDEX('Batch Enrollment (Metabase)'!$F$2:$F$47,MATCH($A45,'Batch Enrollment (Metabase)'!$A$2:$A$47,0)),""))</f>
        <v/>
      </c>
      <c r="E45" s="3">
        <f>IF($A45="","",COUNTIFS('Picked Students (raw)'!$B$2:$B$824,$A45,'Picked Students (raw)'!$E$2:$E$824,"Fresher"))</f>
        <v/>
      </c>
      <c r="F45" s="3">
        <f>IF($A45="","",IF($B45="","",IF(TODAY()&lt;$B45+30,"-",SUMPRODUCT(('Picked Students (raw)'!$B$2:$B$824=$A45)*('Picked Students (raw)'!$E$2:$E$824="Fresher")*('Picked Students (raw)'!$C$2:$C$824&lt;&gt;"")*(('Picked Students (raw)'!$C$2:$C$824-$B45)&lt;30)))))</f>
        <v/>
      </c>
      <c r="G45" s="5">
        <f>IF($A45="","",IF(F45="-","-",IF($D45=0,0,F45/$D45)))</f>
        <v/>
      </c>
      <c r="H45" s="3">
        <f>IF($A45="","",IF($B45="","",IF(TODAY()&lt;$B45+60,"-",SUMPRODUCT(('Picked Students (raw)'!$B$2:$B$824=$A45)*('Picked Students (raw)'!$E$2:$E$824="Fresher")*('Picked Students (raw)'!$C$2:$C$824&lt;&gt;"")*(('Picked Students (raw)'!$C$2:$C$824-$B45)&lt;60)))))</f>
        <v/>
      </c>
      <c r="I45" s="5">
        <f>IF($A45="","",IF(H45="-","-",IF($D45=0,0,H45/$D45)))</f>
        <v/>
      </c>
      <c r="J45" s="3">
        <f>IF($A45="","",IF($B45="","",IF(TODAY()&lt;$B45+90,"-",SUMPRODUCT(('Picked Students (raw)'!$B$2:$B$824=$A45)*('Picked Students (raw)'!$E$2:$E$824="Fresher")*('Picked Students (raw)'!$C$2:$C$824&lt;&gt;"")*(('Picked Students (raw)'!$C$2:$C$824-$B45)&lt;90)))))</f>
        <v/>
      </c>
      <c r="K45" s="5">
        <f>IF($A45="","",IF(J45="-","-",IF($D45=0,0,J45/$D45)))</f>
        <v/>
      </c>
      <c r="L45" s="3">
        <f>IF($A45="","",IF($B45="","",IF(TODAY()&lt;$B45+120,"-",SUMPRODUCT(('Picked Students (raw)'!$B$2:$B$824=$A45)*('Picked Students (raw)'!$E$2:$E$824="Fresher")*('Picked Students (raw)'!$C$2:$C$824&lt;&gt;"")*(('Picked Students (raw)'!$C$2:$C$824-$B45)&lt;120)))))</f>
        <v/>
      </c>
      <c r="M45" s="5">
        <f>IF($A45="","",IF(L45="-","-",IF($D45=0,0,L45/$D45)))</f>
        <v/>
      </c>
      <c r="N45" s="3">
        <f>IF($A45="","",IF($B45="","",IF(TODAY()&lt;$B45+150,"-",SUMPRODUCT(('Picked Students (raw)'!$B$2:$B$824=$A45)*('Picked Students (raw)'!$E$2:$E$824="Fresher")*('Picked Students (raw)'!$C$2:$C$824&lt;&gt;"")*(('Picked Students (raw)'!$C$2:$C$824-$B45)&lt;150)))))</f>
        <v/>
      </c>
      <c r="O45" s="5">
        <f>IF($A45="","",IF(N45="-","-",IF($D45=0,0,N45/$D45)))</f>
        <v/>
      </c>
      <c r="P45" s="3">
        <f>IF($A45="","",IF($B45="","",IF(TODAY()&lt;$B45+180,"-",SUMPRODUCT(('Picked Students (raw)'!$B$2:$B$824=$A45)*('Picked Students (raw)'!$E$2:$E$824="Fresher")*('Picked Students (raw)'!$C$2:$C$824&lt;&gt;"")*(('Picked Students (raw)'!$C$2:$C$824-$B45)&lt;180)))))</f>
        <v/>
      </c>
      <c r="Q45" s="5">
        <f>IF($A45="","",IF(P45="-","-",IF($D45=0,0,P45/$D45)))</f>
        <v/>
      </c>
      <c r="R45" s="3">
        <f>IF($A45="","",IF($B45="","",IF(TODAY()&lt;$B45+210,"-",SUMPRODUCT(('Picked Students (raw)'!$B$2:$B$824=$A45)*('Picked Students (raw)'!$E$2:$E$824="Fresher")*('Picked Students (raw)'!$C$2:$C$824&lt;&gt;"")*(('Picked Students (raw)'!$C$2:$C$824-$B45)&lt;210)))))</f>
        <v/>
      </c>
      <c r="S45" s="5">
        <f>IF($A45="","",IF(R45="-","-",IF($D45=0,0,R45/$D45)))</f>
        <v/>
      </c>
      <c r="T45" s="3">
        <f>IF($A45="","",IF($B45="","",IF(TODAY()&lt;$B45+240,"-",SUMPRODUCT(('Picked Students (raw)'!$B$2:$B$824=$A45)*('Picked Students (raw)'!$E$2:$E$824="Fresher")*('Picked Students (raw)'!$C$2:$C$824&lt;&gt;"")*(('Picked Students (raw)'!$C$2:$C$824-$B45)&lt;240)))))</f>
        <v/>
      </c>
      <c r="U45" s="5">
        <f>IF($A45="","",IF(T45="-","-",IF($D45=0,0,T45/$D45)))</f>
        <v/>
      </c>
      <c r="V45" s="3">
        <f>IF($A45="","",IF($B45="","",IF(TODAY()&lt;$B45+270,"-",SUMPRODUCT(('Picked Students (raw)'!$B$2:$B$824=$A45)*('Picked Students (raw)'!$E$2:$E$824="Fresher")*('Picked Students (raw)'!$C$2:$C$824&lt;&gt;"")*(('Picked Students (raw)'!$C$2:$C$824-$B45)&lt;270)))))</f>
        <v/>
      </c>
      <c r="W45" s="5">
        <f>IF($A45="","",IF(V45="-","-",IF($D45=0,0,V45/$D45)))</f>
        <v/>
      </c>
      <c r="X45" s="3">
        <f>IF($A45="","",IF($B45="","",IF(TODAY()&lt;$B45+300,"-",SUMPRODUCT(('Picked Students (raw)'!$B$2:$B$824=$A45)*('Picked Students (raw)'!$E$2:$E$824="Fresher")*('Picked Students (raw)'!$C$2:$C$824&lt;&gt;"")*(('Picked Students (raw)'!$C$2:$C$824-$B45)&lt;300)))))</f>
        <v/>
      </c>
      <c r="Y45" s="5">
        <f>IF($A45="","",IF(X45="-","-",IF($D45=0,0,X45/$D45)))</f>
        <v/>
      </c>
      <c r="Z45" s="3">
        <f>IF($A45="","",IF($B45="","",IF(TODAY()&lt;$B45+330,"-",SUMPRODUCT(('Picked Students (raw)'!$B$2:$B$824=$A45)*('Picked Students (raw)'!$E$2:$E$824="Fresher")*('Picked Students (raw)'!$C$2:$C$824&lt;&gt;"")*(('Picked Students (raw)'!$C$2:$C$824-$B45)&lt;330)))))</f>
        <v/>
      </c>
      <c r="AA45" s="5">
        <f>IF($A45="","",IF(Z45="-","-",IF($D45=0,0,Z45/$D45)))</f>
        <v/>
      </c>
      <c r="AB45" s="3">
        <f>IF($A45="","",IF($B45="","",IF(TODAY()&lt;$B45+360,"-",SUMPRODUCT(('Picked Students (raw)'!$B$2:$B$824=$A45)*('Picked Students (raw)'!$E$2:$E$824="Fresher")*('Picked Students (raw)'!$C$2:$C$824&lt;&gt;"")*(('Picked Students (raw)'!$C$2:$C$824-$B45)&lt;360)))))</f>
        <v/>
      </c>
      <c r="AC45" s="5">
        <f>IF($A45="","",IF(AB45="-","-",IF($D45=0,0,AB45/$D45)))</f>
        <v/>
      </c>
      <c r="AD45" s="3">
        <f>IF($A45="","",IF($B45="","",IF(TODAY()&lt;$B45+390,"-",SUMPRODUCT(('Picked Students (raw)'!$B$2:$B$824=$A45)*('Picked Students (raw)'!$E$2:$E$824="Fresher")*('Picked Students (raw)'!$C$2:$C$824&lt;&gt;"")*(('Picked Students (raw)'!$C$2:$C$824-$B45)&lt;390)))))</f>
        <v/>
      </c>
      <c r="AE45" s="5">
        <f>IF($A45="","",IF(AD45="-","-",IF($D45=0,0,AD45/$D45)))</f>
        <v/>
      </c>
      <c r="AF45" s="3">
        <f>IF($A45="","",IF($B45="","",IF(TODAY()&lt;$B45+420,"-",SUMPRODUCT(('Picked Students (raw)'!$B$2:$B$824=$A45)*('Picked Students (raw)'!$E$2:$E$824="Fresher")*('Picked Students (raw)'!$C$2:$C$824&lt;&gt;"")*(('Picked Students (raw)'!$C$2:$C$824-$B45)&lt;420)))))</f>
        <v/>
      </c>
      <c r="AG45" s="5">
        <f>IF($A45="","",IF(AF45="-","-",IF($D45=0,0,AF45/$D45)))</f>
        <v/>
      </c>
      <c r="AH45" s="3">
        <f>IF($A45="","",IF($B45="","",IF(TODAY()&lt;$B45+450,"-",SUMPRODUCT(('Picked Students (raw)'!$B$2:$B$824=$A45)*('Picked Students (raw)'!$E$2:$E$824="Fresher")*('Picked Students (raw)'!$C$2:$C$824&lt;&gt;"")*(('Picked Students (raw)'!$C$2:$C$824-$B45)&lt;450)))))</f>
        <v/>
      </c>
      <c r="AI45" s="5">
        <f>IF($A45="","",IF(AH45="-","-",IF($D45=0,0,AH45/$D45)))</f>
        <v/>
      </c>
      <c r="AJ45" s="3">
        <f>IF($A45="","",IF($B45="","",IF(TODAY()&lt;$B45+480,"-",SUMPRODUCT(('Picked Students (raw)'!$B$2:$B$824=$A45)*('Picked Students (raw)'!$E$2:$E$824="Fresher")*('Picked Students (raw)'!$C$2:$C$824&lt;&gt;"")*(('Picked Students (raw)'!$C$2:$C$824-$B45)&lt;480)))))</f>
        <v/>
      </c>
      <c r="AK45" s="5">
        <f>IF($A45="","",IF(AJ45="-","-",IF($D45=0,0,AJ45/$D45)))</f>
        <v/>
      </c>
      <c r="AL45" s="3">
        <f>IF($A45="","",IF($B45="","",IF(TODAY()&lt;$B45+510,"-",SUMPRODUCT(('Picked Students (raw)'!$B$2:$B$824=$A45)*('Picked Students (raw)'!$E$2:$E$824="Fresher")*('Picked Students (raw)'!$C$2:$C$824&lt;&gt;"")*(('Picked Students (raw)'!$C$2:$C$824-$B45)&lt;510)))))</f>
        <v/>
      </c>
      <c r="AM45" s="5">
        <f>IF($A45="","",IF(AL45="-","-",IF($D45=0,0,AL45/$D45)))</f>
        <v/>
      </c>
      <c r="AN45" s="3">
        <f>IF($A45="","",IF($B45="","",IF(TODAY()&lt;$B45+540,"-",SUMPRODUCT(('Picked Students (raw)'!$B$2:$B$824=$A45)*('Picked Students (raw)'!$E$2:$E$824="Fresher")*('Picked Students (raw)'!$C$2:$C$824&lt;&gt;"")*(('Picked Students (raw)'!$C$2:$C$824-$B45)&lt;540)))))</f>
        <v/>
      </c>
      <c r="AO45" s="5">
        <f>IF($A45="","",IF(AN45="-","-",IF($D45=0,0,AN45/$D45)))</f>
        <v/>
      </c>
      <c r="AP45" s="3">
        <f>IF($A45="","",IF(AN45="-","-",$E45-AN45))</f>
        <v/>
      </c>
    </row>
    <row r="46">
      <c r="A46" s="3" t="inlineStr">
        <is>
          <t>Professional Certificate Course In Data Science September 2026</t>
        </is>
      </c>
      <c r="B46" s="4">
        <f>IF($A46="","",IFERROR(INDEX('Batch Enrollment (Metabase)'!$D$2:$D$47,MATCH($A46,'Batch Enrollment (Metabase)'!$A$2:$A$47,0)),""))</f>
        <v/>
      </c>
      <c r="C46" s="3">
        <f>IF($A46="","",IFERROR(INDEX('Batch Enrollment (Metabase)'!$E$2:$E$47,MATCH($A46,'Batch Enrollment (Metabase)'!$A$2:$A$47,0)),""))</f>
        <v/>
      </c>
      <c r="D46" s="3">
        <f>IF($A46="","",IFERROR(INDEX('Batch Enrollment (Metabase)'!$F$2:$F$47,MATCH($A46,'Batch Enrollment (Metabase)'!$A$2:$A$47,0)),""))</f>
        <v/>
      </c>
      <c r="E46" s="3">
        <f>IF($A46="","",COUNTIFS('Picked Students (raw)'!$B$2:$B$824,$A46,'Picked Students (raw)'!$E$2:$E$824,"Fresher"))</f>
        <v/>
      </c>
      <c r="F46" s="3">
        <f>IF($A46="","",IF($B46="","",IF(TODAY()&lt;$B46+30,"-",SUMPRODUCT(('Picked Students (raw)'!$B$2:$B$824=$A46)*('Picked Students (raw)'!$E$2:$E$824="Fresher")*('Picked Students (raw)'!$C$2:$C$824&lt;&gt;"")*(('Picked Students (raw)'!$C$2:$C$824-$B46)&lt;30)))))</f>
        <v/>
      </c>
      <c r="G46" s="5">
        <f>IF($A46="","",IF(F46="-","-",IF($D46=0,0,F46/$D46)))</f>
        <v/>
      </c>
      <c r="H46" s="3">
        <f>IF($A46="","",IF($B46="","",IF(TODAY()&lt;$B46+60,"-",SUMPRODUCT(('Picked Students (raw)'!$B$2:$B$824=$A46)*('Picked Students (raw)'!$E$2:$E$824="Fresher")*('Picked Students (raw)'!$C$2:$C$824&lt;&gt;"")*(('Picked Students (raw)'!$C$2:$C$824-$B46)&lt;60)))))</f>
        <v/>
      </c>
      <c r="I46" s="5">
        <f>IF($A46="","",IF(H46="-","-",IF($D46=0,0,H46/$D46)))</f>
        <v/>
      </c>
      <c r="J46" s="3">
        <f>IF($A46="","",IF($B46="","",IF(TODAY()&lt;$B46+90,"-",SUMPRODUCT(('Picked Students (raw)'!$B$2:$B$824=$A46)*('Picked Students (raw)'!$E$2:$E$824="Fresher")*('Picked Students (raw)'!$C$2:$C$824&lt;&gt;"")*(('Picked Students (raw)'!$C$2:$C$824-$B46)&lt;90)))))</f>
        <v/>
      </c>
      <c r="K46" s="5">
        <f>IF($A46="","",IF(J46="-","-",IF($D46=0,0,J46/$D46)))</f>
        <v/>
      </c>
      <c r="L46" s="3">
        <f>IF($A46="","",IF($B46="","",IF(TODAY()&lt;$B46+120,"-",SUMPRODUCT(('Picked Students (raw)'!$B$2:$B$824=$A46)*('Picked Students (raw)'!$E$2:$E$824="Fresher")*('Picked Students (raw)'!$C$2:$C$824&lt;&gt;"")*(('Picked Students (raw)'!$C$2:$C$824-$B46)&lt;120)))))</f>
        <v/>
      </c>
      <c r="M46" s="5">
        <f>IF($A46="","",IF(L46="-","-",IF($D46=0,0,L46/$D46)))</f>
        <v/>
      </c>
      <c r="N46" s="3">
        <f>IF($A46="","",IF($B46="","",IF(TODAY()&lt;$B46+150,"-",SUMPRODUCT(('Picked Students (raw)'!$B$2:$B$824=$A46)*('Picked Students (raw)'!$E$2:$E$824="Fresher")*('Picked Students (raw)'!$C$2:$C$824&lt;&gt;"")*(('Picked Students (raw)'!$C$2:$C$824-$B46)&lt;150)))))</f>
        <v/>
      </c>
      <c r="O46" s="5">
        <f>IF($A46="","",IF(N46="-","-",IF($D46=0,0,N46/$D46)))</f>
        <v/>
      </c>
      <c r="P46" s="3">
        <f>IF($A46="","",IF($B46="","",IF(TODAY()&lt;$B46+180,"-",SUMPRODUCT(('Picked Students (raw)'!$B$2:$B$824=$A46)*('Picked Students (raw)'!$E$2:$E$824="Fresher")*('Picked Students (raw)'!$C$2:$C$824&lt;&gt;"")*(('Picked Students (raw)'!$C$2:$C$824-$B46)&lt;180)))))</f>
        <v/>
      </c>
      <c r="Q46" s="5">
        <f>IF($A46="","",IF(P46="-","-",IF($D46=0,0,P46/$D46)))</f>
        <v/>
      </c>
      <c r="R46" s="3">
        <f>IF($A46="","",IF($B46="","",IF(TODAY()&lt;$B46+210,"-",SUMPRODUCT(('Picked Students (raw)'!$B$2:$B$824=$A46)*('Picked Students (raw)'!$E$2:$E$824="Fresher")*('Picked Students (raw)'!$C$2:$C$824&lt;&gt;"")*(('Picked Students (raw)'!$C$2:$C$824-$B46)&lt;210)))))</f>
        <v/>
      </c>
      <c r="S46" s="5">
        <f>IF($A46="","",IF(R46="-","-",IF($D46=0,0,R46/$D46)))</f>
        <v/>
      </c>
      <c r="T46" s="3">
        <f>IF($A46="","",IF($B46="","",IF(TODAY()&lt;$B46+240,"-",SUMPRODUCT(('Picked Students (raw)'!$B$2:$B$824=$A46)*('Picked Students (raw)'!$E$2:$E$824="Fresher")*('Picked Students (raw)'!$C$2:$C$824&lt;&gt;"")*(('Picked Students (raw)'!$C$2:$C$824-$B46)&lt;240)))))</f>
        <v/>
      </c>
      <c r="U46" s="5">
        <f>IF($A46="","",IF(T46="-","-",IF($D46=0,0,T46/$D46)))</f>
        <v/>
      </c>
      <c r="V46" s="3">
        <f>IF($A46="","",IF($B46="","",IF(TODAY()&lt;$B46+270,"-",SUMPRODUCT(('Picked Students (raw)'!$B$2:$B$824=$A46)*('Picked Students (raw)'!$E$2:$E$824="Fresher")*('Picked Students (raw)'!$C$2:$C$824&lt;&gt;"")*(('Picked Students (raw)'!$C$2:$C$824-$B46)&lt;270)))))</f>
        <v/>
      </c>
      <c r="W46" s="5">
        <f>IF($A46="","",IF(V46="-","-",IF($D46=0,0,V46/$D46)))</f>
        <v/>
      </c>
      <c r="X46" s="3">
        <f>IF($A46="","",IF($B46="","",IF(TODAY()&lt;$B46+300,"-",SUMPRODUCT(('Picked Students (raw)'!$B$2:$B$824=$A46)*('Picked Students (raw)'!$E$2:$E$824="Fresher")*('Picked Students (raw)'!$C$2:$C$824&lt;&gt;"")*(('Picked Students (raw)'!$C$2:$C$824-$B46)&lt;300)))))</f>
        <v/>
      </c>
      <c r="Y46" s="5">
        <f>IF($A46="","",IF(X46="-","-",IF($D46=0,0,X46/$D46)))</f>
        <v/>
      </c>
      <c r="Z46" s="3">
        <f>IF($A46="","",IF($B46="","",IF(TODAY()&lt;$B46+330,"-",SUMPRODUCT(('Picked Students (raw)'!$B$2:$B$824=$A46)*('Picked Students (raw)'!$E$2:$E$824="Fresher")*('Picked Students (raw)'!$C$2:$C$824&lt;&gt;"")*(('Picked Students (raw)'!$C$2:$C$824-$B46)&lt;330)))))</f>
        <v/>
      </c>
      <c r="AA46" s="5">
        <f>IF($A46="","",IF(Z46="-","-",IF($D46=0,0,Z46/$D46)))</f>
        <v/>
      </c>
      <c r="AB46" s="3">
        <f>IF($A46="","",IF($B46="","",IF(TODAY()&lt;$B46+360,"-",SUMPRODUCT(('Picked Students (raw)'!$B$2:$B$824=$A46)*('Picked Students (raw)'!$E$2:$E$824="Fresher")*('Picked Students (raw)'!$C$2:$C$824&lt;&gt;"")*(('Picked Students (raw)'!$C$2:$C$824-$B46)&lt;360)))))</f>
        <v/>
      </c>
      <c r="AC46" s="5">
        <f>IF($A46="","",IF(AB46="-","-",IF($D46=0,0,AB46/$D46)))</f>
        <v/>
      </c>
      <c r="AD46" s="3">
        <f>IF($A46="","",IF($B46="","",IF(TODAY()&lt;$B46+390,"-",SUMPRODUCT(('Picked Students (raw)'!$B$2:$B$824=$A46)*('Picked Students (raw)'!$E$2:$E$824="Fresher")*('Picked Students (raw)'!$C$2:$C$824&lt;&gt;"")*(('Picked Students (raw)'!$C$2:$C$824-$B46)&lt;390)))))</f>
        <v/>
      </c>
      <c r="AE46" s="5">
        <f>IF($A46="","",IF(AD46="-","-",IF($D46=0,0,AD46/$D46)))</f>
        <v/>
      </c>
      <c r="AF46" s="3">
        <f>IF($A46="","",IF($B46="","",IF(TODAY()&lt;$B46+420,"-",SUMPRODUCT(('Picked Students (raw)'!$B$2:$B$824=$A46)*('Picked Students (raw)'!$E$2:$E$824="Fresher")*('Picked Students (raw)'!$C$2:$C$824&lt;&gt;"")*(('Picked Students (raw)'!$C$2:$C$824-$B46)&lt;420)))))</f>
        <v/>
      </c>
      <c r="AG46" s="5">
        <f>IF($A46="","",IF(AF46="-","-",IF($D46=0,0,AF46/$D46)))</f>
        <v/>
      </c>
      <c r="AH46" s="3">
        <f>IF($A46="","",IF($B46="","",IF(TODAY()&lt;$B46+450,"-",SUMPRODUCT(('Picked Students (raw)'!$B$2:$B$824=$A46)*('Picked Students (raw)'!$E$2:$E$824="Fresher")*('Picked Students (raw)'!$C$2:$C$824&lt;&gt;"")*(('Picked Students (raw)'!$C$2:$C$824-$B46)&lt;450)))))</f>
        <v/>
      </c>
      <c r="AI46" s="5">
        <f>IF($A46="","",IF(AH46="-","-",IF($D46=0,0,AH46/$D46)))</f>
        <v/>
      </c>
      <c r="AJ46" s="3">
        <f>IF($A46="","",IF($B46="","",IF(TODAY()&lt;$B46+480,"-",SUMPRODUCT(('Picked Students (raw)'!$B$2:$B$824=$A46)*('Picked Students (raw)'!$E$2:$E$824="Fresher")*('Picked Students (raw)'!$C$2:$C$824&lt;&gt;"")*(('Picked Students (raw)'!$C$2:$C$824-$B46)&lt;480)))))</f>
        <v/>
      </c>
      <c r="AK46" s="5">
        <f>IF($A46="","",IF(AJ46="-","-",IF($D46=0,0,AJ46/$D46)))</f>
        <v/>
      </c>
      <c r="AL46" s="3">
        <f>IF($A46="","",IF($B46="","",IF(TODAY()&lt;$B46+510,"-",SUMPRODUCT(('Picked Students (raw)'!$B$2:$B$824=$A46)*('Picked Students (raw)'!$E$2:$E$824="Fresher")*('Picked Students (raw)'!$C$2:$C$824&lt;&gt;"")*(('Picked Students (raw)'!$C$2:$C$824-$B46)&lt;510)))))</f>
        <v/>
      </c>
      <c r="AM46" s="5">
        <f>IF($A46="","",IF(AL46="-","-",IF($D46=0,0,AL46/$D46)))</f>
        <v/>
      </c>
      <c r="AN46" s="3">
        <f>IF($A46="","",IF($B46="","",IF(TODAY()&lt;$B46+540,"-",SUMPRODUCT(('Picked Students (raw)'!$B$2:$B$824=$A46)*('Picked Students (raw)'!$E$2:$E$824="Fresher")*('Picked Students (raw)'!$C$2:$C$824&lt;&gt;"")*(('Picked Students (raw)'!$C$2:$C$824-$B46)&lt;540)))))</f>
        <v/>
      </c>
      <c r="AO46" s="5">
        <f>IF($A46="","",IF(AN46="-","-",IF($D46=0,0,AN46/$D46)))</f>
        <v/>
      </c>
      <c r="AP46" s="3">
        <f>IF($A46="","",IF(AN46="-","-",$E46-AN46))</f>
        <v/>
      </c>
    </row>
    <row r="47">
      <c r="A47" s="3" t="inlineStr">
        <is>
          <t>Professional Certificate Course In Data Science October 2026</t>
        </is>
      </c>
      <c r="B47" s="4">
        <f>IF($A47="","",IFERROR(INDEX('Batch Enrollment (Metabase)'!$D$2:$D$47,MATCH($A47,'Batch Enrollment (Metabase)'!$A$2:$A$47,0)),""))</f>
        <v/>
      </c>
      <c r="C47" s="3">
        <f>IF($A47="","",IFERROR(INDEX('Batch Enrollment (Metabase)'!$E$2:$E$47,MATCH($A47,'Batch Enrollment (Metabase)'!$A$2:$A$47,0)),""))</f>
        <v/>
      </c>
      <c r="D47" s="3">
        <f>IF($A47="","",IFERROR(INDEX('Batch Enrollment (Metabase)'!$F$2:$F$47,MATCH($A47,'Batch Enrollment (Metabase)'!$A$2:$A$47,0)),""))</f>
        <v/>
      </c>
      <c r="E47" s="3">
        <f>IF($A47="","",COUNTIFS('Picked Students (raw)'!$B$2:$B$824,$A47,'Picked Students (raw)'!$E$2:$E$824,"Fresher"))</f>
        <v/>
      </c>
      <c r="F47" s="3">
        <f>IF($A47="","",IF($B47="","",IF(TODAY()&lt;$B47+30,"-",SUMPRODUCT(('Picked Students (raw)'!$B$2:$B$824=$A47)*('Picked Students (raw)'!$E$2:$E$824="Fresher")*('Picked Students (raw)'!$C$2:$C$824&lt;&gt;"")*(('Picked Students (raw)'!$C$2:$C$824-$B47)&lt;30)))))</f>
        <v/>
      </c>
      <c r="G47" s="5">
        <f>IF($A47="","",IF(F47="-","-",IF($D47=0,0,F47/$D47)))</f>
        <v/>
      </c>
      <c r="H47" s="3">
        <f>IF($A47="","",IF($B47="","",IF(TODAY()&lt;$B47+60,"-",SUMPRODUCT(('Picked Students (raw)'!$B$2:$B$824=$A47)*('Picked Students (raw)'!$E$2:$E$824="Fresher")*('Picked Students (raw)'!$C$2:$C$824&lt;&gt;"")*(('Picked Students (raw)'!$C$2:$C$824-$B47)&lt;60)))))</f>
        <v/>
      </c>
      <c r="I47" s="5">
        <f>IF($A47="","",IF(H47="-","-",IF($D47=0,0,H47/$D47)))</f>
        <v/>
      </c>
      <c r="J47" s="3">
        <f>IF($A47="","",IF($B47="","",IF(TODAY()&lt;$B47+90,"-",SUMPRODUCT(('Picked Students (raw)'!$B$2:$B$824=$A47)*('Picked Students (raw)'!$E$2:$E$824="Fresher")*('Picked Students (raw)'!$C$2:$C$824&lt;&gt;"")*(('Picked Students (raw)'!$C$2:$C$824-$B47)&lt;90)))))</f>
        <v/>
      </c>
      <c r="K47" s="5">
        <f>IF($A47="","",IF(J47="-","-",IF($D47=0,0,J47/$D47)))</f>
        <v/>
      </c>
      <c r="L47" s="3">
        <f>IF($A47="","",IF($B47="","",IF(TODAY()&lt;$B47+120,"-",SUMPRODUCT(('Picked Students (raw)'!$B$2:$B$824=$A47)*('Picked Students (raw)'!$E$2:$E$824="Fresher")*('Picked Students (raw)'!$C$2:$C$824&lt;&gt;"")*(('Picked Students (raw)'!$C$2:$C$824-$B47)&lt;120)))))</f>
        <v/>
      </c>
      <c r="M47" s="5">
        <f>IF($A47="","",IF(L47="-","-",IF($D47=0,0,L47/$D47)))</f>
        <v/>
      </c>
      <c r="N47" s="3">
        <f>IF($A47="","",IF($B47="","",IF(TODAY()&lt;$B47+150,"-",SUMPRODUCT(('Picked Students (raw)'!$B$2:$B$824=$A47)*('Picked Students (raw)'!$E$2:$E$824="Fresher")*('Picked Students (raw)'!$C$2:$C$824&lt;&gt;"")*(('Picked Students (raw)'!$C$2:$C$824-$B47)&lt;150)))))</f>
        <v/>
      </c>
      <c r="O47" s="5">
        <f>IF($A47="","",IF(N47="-","-",IF($D47=0,0,N47/$D47)))</f>
        <v/>
      </c>
      <c r="P47" s="3">
        <f>IF($A47="","",IF($B47="","",IF(TODAY()&lt;$B47+180,"-",SUMPRODUCT(('Picked Students (raw)'!$B$2:$B$824=$A47)*('Picked Students (raw)'!$E$2:$E$824="Fresher")*('Picked Students (raw)'!$C$2:$C$824&lt;&gt;"")*(('Picked Students (raw)'!$C$2:$C$824-$B47)&lt;180)))))</f>
        <v/>
      </c>
      <c r="Q47" s="5">
        <f>IF($A47="","",IF(P47="-","-",IF($D47=0,0,P47/$D47)))</f>
        <v/>
      </c>
      <c r="R47" s="3">
        <f>IF($A47="","",IF($B47="","",IF(TODAY()&lt;$B47+210,"-",SUMPRODUCT(('Picked Students (raw)'!$B$2:$B$824=$A47)*('Picked Students (raw)'!$E$2:$E$824="Fresher")*('Picked Students (raw)'!$C$2:$C$824&lt;&gt;"")*(('Picked Students (raw)'!$C$2:$C$824-$B47)&lt;210)))))</f>
        <v/>
      </c>
      <c r="S47" s="5">
        <f>IF($A47="","",IF(R47="-","-",IF($D47=0,0,R47/$D47)))</f>
        <v/>
      </c>
      <c r="T47" s="3">
        <f>IF($A47="","",IF($B47="","",IF(TODAY()&lt;$B47+240,"-",SUMPRODUCT(('Picked Students (raw)'!$B$2:$B$824=$A47)*('Picked Students (raw)'!$E$2:$E$824="Fresher")*('Picked Students (raw)'!$C$2:$C$824&lt;&gt;"")*(('Picked Students (raw)'!$C$2:$C$824-$B47)&lt;240)))))</f>
        <v/>
      </c>
      <c r="U47" s="5">
        <f>IF($A47="","",IF(T47="-","-",IF($D47=0,0,T47/$D47)))</f>
        <v/>
      </c>
      <c r="V47" s="3">
        <f>IF($A47="","",IF($B47="","",IF(TODAY()&lt;$B47+270,"-",SUMPRODUCT(('Picked Students (raw)'!$B$2:$B$824=$A47)*('Picked Students (raw)'!$E$2:$E$824="Fresher")*('Picked Students (raw)'!$C$2:$C$824&lt;&gt;"")*(('Picked Students (raw)'!$C$2:$C$824-$B47)&lt;270)))))</f>
        <v/>
      </c>
      <c r="W47" s="5">
        <f>IF($A47="","",IF(V47="-","-",IF($D47=0,0,V47/$D47)))</f>
        <v/>
      </c>
      <c r="X47" s="3">
        <f>IF($A47="","",IF($B47="","",IF(TODAY()&lt;$B47+300,"-",SUMPRODUCT(('Picked Students (raw)'!$B$2:$B$824=$A47)*('Picked Students (raw)'!$E$2:$E$824="Fresher")*('Picked Students (raw)'!$C$2:$C$824&lt;&gt;"")*(('Picked Students (raw)'!$C$2:$C$824-$B47)&lt;300)))))</f>
        <v/>
      </c>
      <c r="Y47" s="5">
        <f>IF($A47="","",IF(X47="-","-",IF($D47=0,0,X47/$D47)))</f>
        <v/>
      </c>
      <c r="Z47" s="3">
        <f>IF($A47="","",IF($B47="","",IF(TODAY()&lt;$B47+330,"-",SUMPRODUCT(('Picked Students (raw)'!$B$2:$B$824=$A47)*('Picked Students (raw)'!$E$2:$E$824="Fresher")*('Picked Students (raw)'!$C$2:$C$824&lt;&gt;"")*(('Picked Students (raw)'!$C$2:$C$824-$B47)&lt;330)))))</f>
        <v/>
      </c>
      <c r="AA47" s="5">
        <f>IF($A47="","",IF(Z47="-","-",IF($D47=0,0,Z47/$D47)))</f>
        <v/>
      </c>
      <c r="AB47" s="3">
        <f>IF($A47="","",IF($B47="","",IF(TODAY()&lt;$B47+360,"-",SUMPRODUCT(('Picked Students (raw)'!$B$2:$B$824=$A47)*('Picked Students (raw)'!$E$2:$E$824="Fresher")*('Picked Students (raw)'!$C$2:$C$824&lt;&gt;"")*(('Picked Students (raw)'!$C$2:$C$824-$B47)&lt;360)))))</f>
        <v/>
      </c>
      <c r="AC47" s="5">
        <f>IF($A47="","",IF(AB47="-","-",IF($D47=0,0,AB47/$D47)))</f>
        <v/>
      </c>
      <c r="AD47" s="3">
        <f>IF($A47="","",IF($B47="","",IF(TODAY()&lt;$B47+390,"-",SUMPRODUCT(('Picked Students (raw)'!$B$2:$B$824=$A47)*('Picked Students (raw)'!$E$2:$E$824="Fresher")*('Picked Students (raw)'!$C$2:$C$824&lt;&gt;"")*(('Picked Students (raw)'!$C$2:$C$824-$B47)&lt;390)))))</f>
        <v/>
      </c>
      <c r="AE47" s="5">
        <f>IF($A47="","",IF(AD47="-","-",IF($D47=0,0,AD47/$D47)))</f>
        <v/>
      </c>
      <c r="AF47" s="3">
        <f>IF($A47="","",IF($B47="","",IF(TODAY()&lt;$B47+420,"-",SUMPRODUCT(('Picked Students (raw)'!$B$2:$B$824=$A47)*('Picked Students (raw)'!$E$2:$E$824="Fresher")*('Picked Students (raw)'!$C$2:$C$824&lt;&gt;"")*(('Picked Students (raw)'!$C$2:$C$824-$B47)&lt;420)))))</f>
        <v/>
      </c>
      <c r="AG47" s="5">
        <f>IF($A47="","",IF(AF47="-","-",IF($D47=0,0,AF47/$D47)))</f>
        <v/>
      </c>
      <c r="AH47" s="3">
        <f>IF($A47="","",IF($B47="","",IF(TODAY()&lt;$B47+450,"-",SUMPRODUCT(('Picked Students (raw)'!$B$2:$B$824=$A47)*('Picked Students (raw)'!$E$2:$E$824="Fresher")*('Picked Students (raw)'!$C$2:$C$824&lt;&gt;"")*(('Picked Students (raw)'!$C$2:$C$824-$B47)&lt;450)))))</f>
        <v/>
      </c>
      <c r="AI47" s="5">
        <f>IF($A47="","",IF(AH47="-","-",IF($D47=0,0,AH47/$D47)))</f>
        <v/>
      </c>
      <c r="AJ47" s="3">
        <f>IF($A47="","",IF($B47="","",IF(TODAY()&lt;$B47+480,"-",SUMPRODUCT(('Picked Students (raw)'!$B$2:$B$824=$A47)*('Picked Students (raw)'!$E$2:$E$824="Fresher")*('Picked Students (raw)'!$C$2:$C$824&lt;&gt;"")*(('Picked Students (raw)'!$C$2:$C$824-$B47)&lt;480)))))</f>
        <v/>
      </c>
      <c r="AK47" s="5">
        <f>IF($A47="","",IF(AJ47="-","-",IF($D47=0,0,AJ47/$D47)))</f>
        <v/>
      </c>
      <c r="AL47" s="3">
        <f>IF($A47="","",IF($B47="","",IF(TODAY()&lt;$B47+510,"-",SUMPRODUCT(('Picked Students (raw)'!$B$2:$B$824=$A47)*('Picked Students (raw)'!$E$2:$E$824="Fresher")*('Picked Students (raw)'!$C$2:$C$824&lt;&gt;"")*(('Picked Students (raw)'!$C$2:$C$824-$B47)&lt;510)))))</f>
        <v/>
      </c>
      <c r="AM47" s="5">
        <f>IF($A47="","",IF(AL47="-","-",IF($D47=0,0,AL47/$D47)))</f>
        <v/>
      </c>
      <c r="AN47" s="3">
        <f>IF($A47="","",IF($B47="","",IF(TODAY()&lt;$B47+540,"-",SUMPRODUCT(('Picked Students (raw)'!$B$2:$B$824=$A47)*('Picked Students (raw)'!$E$2:$E$824="Fresher")*('Picked Students (raw)'!$C$2:$C$824&lt;&gt;"")*(('Picked Students (raw)'!$C$2:$C$824-$B47)&lt;540)))))</f>
        <v/>
      </c>
      <c r="AO47" s="5">
        <f>IF($A47="","",IF(AN47="-","-",IF($D47=0,0,AN47/$D47)))</f>
        <v/>
      </c>
      <c r="AP47" s="3">
        <f>IF($A47="","",IF(AN47="-","-",$E47-AN47))</f>
        <v/>
      </c>
    </row>
    <row r="48">
      <c r="A48" s="3" t="n"/>
      <c r="B48" s="4">
        <f>IF($A48="","",IFERROR(INDEX('Batch Enrollment (Metabase)'!$D$2:$D$47,MATCH($A48,'Batch Enrollment (Metabase)'!$A$2:$A$47,0)),""))</f>
        <v/>
      </c>
      <c r="C48" s="3">
        <f>IF($A48="","",IFERROR(INDEX('Batch Enrollment (Metabase)'!$E$2:$E$47,MATCH($A48,'Batch Enrollment (Metabase)'!$A$2:$A$47,0)),""))</f>
        <v/>
      </c>
      <c r="D48" s="3">
        <f>IF($A48="","",IFERROR(INDEX('Batch Enrollment (Metabase)'!$F$2:$F$47,MATCH($A48,'Batch Enrollment (Metabase)'!$A$2:$A$47,0)),""))</f>
        <v/>
      </c>
      <c r="E48" s="3">
        <f>IF($A48="","",COUNTIFS('Picked Students (raw)'!$B$2:$B$824,$A48,'Picked Students (raw)'!$E$2:$E$824,"Fresher"))</f>
        <v/>
      </c>
      <c r="F48" s="3">
        <f>IF($A48="","",IF($B48="","",IF(TODAY()&lt;$B48+30,"-",SUMPRODUCT(('Picked Students (raw)'!$B$2:$B$824=$A48)*('Picked Students (raw)'!$E$2:$E$824="Fresher")*('Picked Students (raw)'!$C$2:$C$824&lt;&gt;"")*(('Picked Students (raw)'!$C$2:$C$824-$B48)&lt;30)))))</f>
        <v/>
      </c>
      <c r="G48" s="5">
        <f>IF($A48="","",IF(F48="-","-",IF($D48=0,0,F48/$D48)))</f>
        <v/>
      </c>
      <c r="H48" s="3">
        <f>IF($A48="","",IF($B48="","",IF(TODAY()&lt;$B48+60,"-",SUMPRODUCT(('Picked Students (raw)'!$B$2:$B$824=$A48)*('Picked Students (raw)'!$E$2:$E$824="Fresher")*('Picked Students (raw)'!$C$2:$C$824&lt;&gt;"")*(('Picked Students (raw)'!$C$2:$C$824-$B48)&lt;60)))))</f>
        <v/>
      </c>
      <c r="I48" s="5">
        <f>IF($A48="","",IF(H48="-","-",IF($D48=0,0,H48/$D48)))</f>
        <v/>
      </c>
      <c r="J48" s="3">
        <f>IF($A48="","",IF($B48="","",IF(TODAY()&lt;$B48+90,"-",SUMPRODUCT(('Picked Students (raw)'!$B$2:$B$824=$A48)*('Picked Students (raw)'!$E$2:$E$824="Fresher")*('Picked Students (raw)'!$C$2:$C$824&lt;&gt;"")*(('Picked Students (raw)'!$C$2:$C$824-$B48)&lt;90)))))</f>
        <v/>
      </c>
      <c r="K48" s="5">
        <f>IF($A48="","",IF(J48="-","-",IF($D48=0,0,J48/$D48)))</f>
        <v/>
      </c>
      <c r="L48" s="3">
        <f>IF($A48="","",IF($B48="","",IF(TODAY()&lt;$B48+120,"-",SUMPRODUCT(('Picked Students (raw)'!$B$2:$B$824=$A48)*('Picked Students (raw)'!$E$2:$E$824="Fresher")*('Picked Students (raw)'!$C$2:$C$824&lt;&gt;"")*(('Picked Students (raw)'!$C$2:$C$824-$B48)&lt;120)))))</f>
        <v/>
      </c>
      <c r="M48" s="5">
        <f>IF($A48="","",IF(L48="-","-",IF($D48=0,0,L48/$D48)))</f>
        <v/>
      </c>
      <c r="N48" s="3">
        <f>IF($A48="","",IF($B48="","",IF(TODAY()&lt;$B48+150,"-",SUMPRODUCT(('Picked Students (raw)'!$B$2:$B$824=$A48)*('Picked Students (raw)'!$E$2:$E$824="Fresher")*('Picked Students (raw)'!$C$2:$C$824&lt;&gt;"")*(('Picked Students (raw)'!$C$2:$C$824-$B48)&lt;150)))))</f>
        <v/>
      </c>
      <c r="O48" s="5">
        <f>IF($A48="","",IF(N48="-","-",IF($D48=0,0,N48/$D48)))</f>
        <v/>
      </c>
      <c r="P48" s="3">
        <f>IF($A48="","",IF($B48="","",IF(TODAY()&lt;$B48+180,"-",SUMPRODUCT(('Picked Students (raw)'!$B$2:$B$824=$A48)*('Picked Students (raw)'!$E$2:$E$824="Fresher")*('Picked Students (raw)'!$C$2:$C$824&lt;&gt;"")*(('Picked Students (raw)'!$C$2:$C$824-$B48)&lt;180)))))</f>
        <v/>
      </c>
      <c r="Q48" s="5">
        <f>IF($A48="","",IF(P48="-","-",IF($D48=0,0,P48/$D48)))</f>
        <v/>
      </c>
      <c r="R48" s="3">
        <f>IF($A48="","",IF($B48="","",IF(TODAY()&lt;$B48+210,"-",SUMPRODUCT(('Picked Students (raw)'!$B$2:$B$824=$A48)*('Picked Students (raw)'!$E$2:$E$824="Fresher")*('Picked Students (raw)'!$C$2:$C$824&lt;&gt;"")*(('Picked Students (raw)'!$C$2:$C$824-$B48)&lt;210)))))</f>
        <v/>
      </c>
      <c r="S48" s="5">
        <f>IF($A48="","",IF(R48="-","-",IF($D48=0,0,R48/$D48)))</f>
        <v/>
      </c>
      <c r="T48" s="3">
        <f>IF($A48="","",IF($B48="","",IF(TODAY()&lt;$B48+240,"-",SUMPRODUCT(('Picked Students (raw)'!$B$2:$B$824=$A48)*('Picked Students (raw)'!$E$2:$E$824="Fresher")*('Picked Students (raw)'!$C$2:$C$824&lt;&gt;"")*(('Picked Students (raw)'!$C$2:$C$824-$B48)&lt;240)))))</f>
        <v/>
      </c>
      <c r="U48" s="5">
        <f>IF($A48="","",IF(T48="-","-",IF($D48=0,0,T48/$D48)))</f>
        <v/>
      </c>
      <c r="V48" s="3">
        <f>IF($A48="","",IF($B48="","",IF(TODAY()&lt;$B48+270,"-",SUMPRODUCT(('Picked Students (raw)'!$B$2:$B$824=$A48)*('Picked Students (raw)'!$E$2:$E$824="Fresher")*('Picked Students (raw)'!$C$2:$C$824&lt;&gt;"")*(('Picked Students (raw)'!$C$2:$C$824-$B48)&lt;270)))))</f>
        <v/>
      </c>
      <c r="W48" s="5">
        <f>IF($A48="","",IF(V48="-","-",IF($D48=0,0,V48/$D48)))</f>
        <v/>
      </c>
      <c r="X48" s="3">
        <f>IF($A48="","",IF($B48="","",IF(TODAY()&lt;$B48+300,"-",SUMPRODUCT(('Picked Students (raw)'!$B$2:$B$824=$A48)*('Picked Students (raw)'!$E$2:$E$824="Fresher")*('Picked Students (raw)'!$C$2:$C$824&lt;&gt;"")*(('Picked Students (raw)'!$C$2:$C$824-$B48)&lt;300)))))</f>
        <v/>
      </c>
      <c r="Y48" s="5">
        <f>IF($A48="","",IF(X48="-","-",IF($D48=0,0,X48/$D48)))</f>
        <v/>
      </c>
      <c r="Z48" s="3">
        <f>IF($A48="","",IF($B48="","",IF(TODAY()&lt;$B48+330,"-",SUMPRODUCT(('Picked Students (raw)'!$B$2:$B$824=$A48)*('Picked Students (raw)'!$E$2:$E$824="Fresher")*('Picked Students (raw)'!$C$2:$C$824&lt;&gt;"")*(('Picked Students (raw)'!$C$2:$C$824-$B48)&lt;330)))))</f>
        <v/>
      </c>
      <c r="AA48" s="5">
        <f>IF($A48="","",IF(Z48="-","-",IF($D48=0,0,Z48/$D48)))</f>
        <v/>
      </c>
      <c r="AB48" s="3">
        <f>IF($A48="","",IF($B48="","",IF(TODAY()&lt;$B48+360,"-",SUMPRODUCT(('Picked Students (raw)'!$B$2:$B$824=$A48)*('Picked Students (raw)'!$E$2:$E$824="Fresher")*('Picked Students (raw)'!$C$2:$C$824&lt;&gt;"")*(('Picked Students (raw)'!$C$2:$C$824-$B48)&lt;360)))))</f>
        <v/>
      </c>
      <c r="AC48" s="5">
        <f>IF($A48="","",IF(AB48="-","-",IF($D48=0,0,AB48/$D48)))</f>
        <v/>
      </c>
      <c r="AD48" s="3">
        <f>IF($A48="","",IF($B48="","",IF(TODAY()&lt;$B48+390,"-",SUMPRODUCT(('Picked Students (raw)'!$B$2:$B$824=$A48)*('Picked Students (raw)'!$E$2:$E$824="Fresher")*('Picked Students (raw)'!$C$2:$C$824&lt;&gt;"")*(('Picked Students (raw)'!$C$2:$C$824-$B48)&lt;390)))))</f>
        <v/>
      </c>
      <c r="AE48" s="5">
        <f>IF($A48="","",IF(AD48="-","-",IF($D48=0,0,AD48/$D48)))</f>
        <v/>
      </c>
      <c r="AF48" s="3">
        <f>IF($A48="","",IF($B48="","",IF(TODAY()&lt;$B48+420,"-",SUMPRODUCT(('Picked Students (raw)'!$B$2:$B$824=$A48)*('Picked Students (raw)'!$E$2:$E$824="Fresher")*('Picked Students (raw)'!$C$2:$C$824&lt;&gt;"")*(('Picked Students (raw)'!$C$2:$C$824-$B48)&lt;420)))))</f>
        <v/>
      </c>
      <c r="AG48" s="5">
        <f>IF($A48="","",IF(AF48="-","-",IF($D48=0,0,AF48/$D48)))</f>
        <v/>
      </c>
      <c r="AH48" s="3">
        <f>IF($A48="","",IF($B48="","",IF(TODAY()&lt;$B48+450,"-",SUMPRODUCT(('Picked Students (raw)'!$B$2:$B$824=$A48)*('Picked Students (raw)'!$E$2:$E$824="Fresher")*('Picked Students (raw)'!$C$2:$C$824&lt;&gt;"")*(('Picked Students (raw)'!$C$2:$C$824-$B48)&lt;450)))))</f>
        <v/>
      </c>
      <c r="AI48" s="5">
        <f>IF($A48="","",IF(AH48="-","-",IF($D48=0,0,AH48/$D48)))</f>
        <v/>
      </c>
      <c r="AJ48" s="3">
        <f>IF($A48="","",IF($B48="","",IF(TODAY()&lt;$B48+480,"-",SUMPRODUCT(('Picked Students (raw)'!$B$2:$B$824=$A48)*('Picked Students (raw)'!$E$2:$E$824="Fresher")*('Picked Students (raw)'!$C$2:$C$824&lt;&gt;"")*(('Picked Students (raw)'!$C$2:$C$824-$B48)&lt;480)))))</f>
        <v/>
      </c>
      <c r="AK48" s="5">
        <f>IF($A48="","",IF(AJ48="-","-",IF($D48=0,0,AJ48/$D48)))</f>
        <v/>
      </c>
      <c r="AL48" s="3">
        <f>IF($A48="","",IF($B48="","",IF(TODAY()&lt;$B48+510,"-",SUMPRODUCT(('Picked Students (raw)'!$B$2:$B$824=$A48)*('Picked Students (raw)'!$E$2:$E$824="Fresher")*('Picked Students (raw)'!$C$2:$C$824&lt;&gt;"")*(('Picked Students (raw)'!$C$2:$C$824-$B48)&lt;510)))))</f>
        <v/>
      </c>
      <c r="AM48" s="5">
        <f>IF($A48="","",IF(AL48="-","-",IF($D48=0,0,AL48/$D48)))</f>
        <v/>
      </c>
      <c r="AN48" s="3">
        <f>IF($A48="","",IF($B48="","",IF(TODAY()&lt;$B48+540,"-",SUMPRODUCT(('Picked Students (raw)'!$B$2:$B$824=$A48)*('Picked Students (raw)'!$E$2:$E$824="Fresher")*('Picked Students (raw)'!$C$2:$C$824&lt;&gt;"")*(('Picked Students (raw)'!$C$2:$C$824-$B48)&lt;540)))))</f>
        <v/>
      </c>
      <c r="AO48" s="5">
        <f>IF($A48="","",IF(AN48="-","-",IF($D48=0,0,AN48/$D48)))</f>
        <v/>
      </c>
      <c r="AP48" s="3">
        <f>IF($A48="","",IF(AN48="-","-",$E48-AN48))</f>
        <v/>
      </c>
    </row>
    <row r="49">
      <c r="A49" s="3" t="n"/>
      <c r="B49" s="4">
        <f>IF($A49="","",IFERROR(INDEX('Batch Enrollment (Metabase)'!$D$2:$D$47,MATCH($A49,'Batch Enrollment (Metabase)'!$A$2:$A$47,0)),""))</f>
        <v/>
      </c>
      <c r="C49" s="3">
        <f>IF($A49="","",IFERROR(INDEX('Batch Enrollment (Metabase)'!$E$2:$E$47,MATCH($A49,'Batch Enrollment (Metabase)'!$A$2:$A$47,0)),""))</f>
        <v/>
      </c>
      <c r="D49" s="3">
        <f>IF($A49="","",IFERROR(INDEX('Batch Enrollment (Metabase)'!$F$2:$F$47,MATCH($A49,'Batch Enrollment (Metabase)'!$A$2:$A$47,0)),""))</f>
        <v/>
      </c>
      <c r="E49" s="3">
        <f>IF($A49="","",COUNTIFS('Picked Students (raw)'!$B$2:$B$824,$A49,'Picked Students (raw)'!$E$2:$E$824,"Fresher"))</f>
        <v/>
      </c>
      <c r="F49" s="3">
        <f>IF($A49="","",IF($B49="","",IF(TODAY()&lt;$B49+30,"-",SUMPRODUCT(('Picked Students (raw)'!$B$2:$B$824=$A49)*('Picked Students (raw)'!$E$2:$E$824="Fresher")*('Picked Students (raw)'!$C$2:$C$824&lt;&gt;"")*(('Picked Students (raw)'!$C$2:$C$824-$B49)&lt;30)))))</f>
        <v/>
      </c>
      <c r="G49" s="5">
        <f>IF($A49="","",IF(F49="-","-",IF($D49=0,0,F49/$D49)))</f>
        <v/>
      </c>
      <c r="H49" s="3">
        <f>IF($A49="","",IF($B49="","",IF(TODAY()&lt;$B49+60,"-",SUMPRODUCT(('Picked Students (raw)'!$B$2:$B$824=$A49)*('Picked Students (raw)'!$E$2:$E$824="Fresher")*('Picked Students (raw)'!$C$2:$C$824&lt;&gt;"")*(('Picked Students (raw)'!$C$2:$C$824-$B49)&lt;60)))))</f>
        <v/>
      </c>
      <c r="I49" s="5">
        <f>IF($A49="","",IF(H49="-","-",IF($D49=0,0,H49/$D49)))</f>
        <v/>
      </c>
      <c r="J49" s="3">
        <f>IF($A49="","",IF($B49="","",IF(TODAY()&lt;$B49+90,"-",SUMPRODUCT(('Picked Students (raw)'!$B$2:$B$824=$A49)*('Picked Students (raw)'!$E$2:$E$824="Fresher")*('Picked Students (raw)'!$C$2:$C$824&lt;&gt;"")*(('Picked Students (raw)'!$C$2:$C$824-$B49)&lt;90)))))</f>
        <v/>
      </c>
      <c r="K49" s="5">
        <f>IF($A49="","",IF(J49="-","-",IF($D49=0,0,J49/$D49)))</f>
        <v/>
      </c>
      <c r="L49" s="3">
        <f>IF($A49="","",IF($B49="","",IF(TODAY()&lt;$B49+120,"-",SUMPRODUCT(('Picked Students (raw)'!$B$2:$B$824=$A49)*('Picked Students (raw)'!$E$2:$E$824="Fresher")*('Picked Students (raw)'!$C$2:$C$824&lt;&gt;"")*(('Picked Students (raw)'!$C$2:$C$824-$B49)&lt;120)))))</f>
        <v/>
      </c>
      <c r="M49" s="5">
        <f>IF($A49="","",IF(L49="-","-",IF($D49=0,0,L49/$D49)))</f>
        <v/>
      </c>
      <c r="N49" s="3">
        <f>IF($A49="","",IF($B49="","",IF(TODAY()&lt;$B49+150,"-",SUMPRODUCT(('Picked Students (raw)'!$B$2:$B$824=$A49)*('Picked Students (raw)'!$E$2:$E$824="Fresher")*('Picked Students (raw)'!$C$2:$C$824&lt;&gt;"")*(('Picked Students (raw)'!$C$2:$C$824-$B49)&lt;150)))))</f>
        <v/>
      </c>
      <c r="O49" s="5">
        <f>IF($A49="","",IF(N49="-","-",IF($D49=0,0,N49/$D49)))</f>
        <v/>
      </c>
      <c r="P49" s="3">
        <f>IF($A49="","",IF($B49="","",IF(TODAY()&lt;$B49+180,"-",SUMPRODUCT(('Picked Students (raw)'!$B$2:$B$824=$A49)*('Picked Students (raw)'!$E$2:$E$824="Fresher")*('Picked Students (raw)'!$C$2:$C$824&lt;&gt;"")*(('Picked Students (raw)'!$C$2:$C$824-$B49)&lt;180)))))</f>
        <v/>
      </c>
      <c r="Q49" s="5">
        <f>IF($A49="","",IF(P49="-","-",IF($D49=0,0,P49/$D49)))</f>
        <v/>
      </c>
      <c r="R49" s="3">
        <f>IF($A49="","",IF($B49="","",IF(TODAY()&lt;$B49+210,"-",SUMPRODUCT(('Picked Students (raw)'!$B$2:$B$824=$A49)*('Picked Students (raw)'!$E$2:$E$824="Fresher")*('Picked Students (raw)'!$C$2:$C$824&lt;&gt;"")*(('Picked Students (raw)'!$C$2:$C$824-$B49)&lt;210)))))</f>
        <v/>
      </c>
      <c r="S49" s="5">
        <f>IF($A49="","",IF(R49="-","-",IF($D49=0,0,R49/$D49)))</f>
        <v/>
      </c>
      <c r="T49" s="3">
        <f>IF($A49="","",IF($B49="","",IF(TODAY()&lt;$B49+240,"-",SUMPRODUCT(('Picked Students (raw)'!$B$2:$B$824=$A49)*('Picked Students (raw)'!$E$2:$E$824="Fresher")*('Picked Students (raw)'!$C$2:$C$824&lt;&gt;"")*(('Picked Students (raw)'!$C$2:$C$824-$B49)&lt;240)))))</f>
        <v/>
      </c>
      <c r="U49" s="5">
        <f>IF($A49="","",IF(T49="-","-",IF($D49=0,0,T49/$D49)))</f>
        <v/>
      </c>
      <c r="V49" s="3">
        <f>IF($A49="","",IF($B49="","",IF(TODAY()&lt;$B49+270,"-",SUMPRODUCT(('Picked Students (raw)'!$B$2:$B$824=$A49)*('Picked Students (raw)'!$E$2:$E$824="Fresher")*('Picked Students (raw)'!$C$2:$C$824&lt;&gt;"")*(('Picked Students (raw)'!$C$2:$C$824-$B49)&lt;270)))))</f>
        <v/>
      </c>
      <c r="W49" s="5">
        <f>IF($A49="","",IF(V49="-","-",IF($D49=0,0,V49/$D49)))</f>
        <v/>
      </c>
      <c r="X49" s="3">
        <f>IF($A49="","",IF($B49="","",IF(TODAY()&lt;$B49+300,"-",SUMPRODUCT(('Picked Students (raw)'!$B$2:$B$824=$A49)*('Picked Students (raw)'!$E$2:$E$824="Fresher")*('Picked Students (raw)'!$C$2:$C$824&lt;&gt;"")*(('Picked Students (raw)'!$C$2:$C$824-$B49)&lt;300)))))</f>
        <v/>
      </c>
      <c r="Y49" s="5">
        <f>IF($A49="","",IF(X49="-","-",IF($D49=0,0,X49/$D49)))</f>
        <v/>
      </c>
      <c r="Z49" s="3">
        <f>IF($A49="","",IF($B49="","",IF(TODAY()&lt;$B49+330,"-",SUMPRODUCT(('Picked Students (raw)'!$B$2:$B$824=$A49)*('Picked Students (raw)'!$E$2:$E$824="Fresher")*('Picked Students (raw)'!$C$2:$C$824&lt;&gt;"")*(('Picked Students (raw)'!$C$2:$C$824-$B49)&lt;330)))))</f>
        <v/>
      </c>
      <c r="AA49" s="5">
        <f>IF($A49="","",IF(Z49="-","-",IF($D49=0,0,Z49/$D49)))</f>
        <v/>
      </c>
      <c r="AB49" s="3">
        <f>IF($A49="","",IF($B49="","",IF(TODAY()&lt;$B49+360,"-",SUMPRODUCT(('Picked Students (raw)'!$B$2:$B$824=$A49)*('Picked Students (raw)'!$E$2:$E$824="Fresher")*('Picked Students (raw)'!$C$2:$C$824&lt;&gt;"")*(('Picked Students (raw)'!$C$2:$C$824-$B49)&lt;360)))))</f>
        <v/>
      </c>
      <c r="AC49" s="5">
        <f>IF($A49="","",IF(AB49="-","-",IF($D49=0,0,AB49/$D49)))</f>
        <v/>
      </c>
      <c r="AD49" s="3">
        <f>IF($A49="","",IF($B49="","",IF(TODAY()&lt;$B49+390,"-",SUMPRODUCT(('Picked Students (raw)'!$B$2:$B$824=$A49)*('Picked Students (raw)'!$E$2:$E$824="Fresher")*('Picked Students (raw)'!$C$2:$C$824&lt;&gt;"")*(('Picked Students (raw)'!$C$2:$C$824-$B49)&lt;390)))))</f>
        <v/>
      </c>
      <c r="AE49" s="5">
        <f>IF($A49="","",IF(AD49="-","-",IF($D49=0,0,AD49/$D49)))</f>
        <v/>
      </c>
      <c r="AF49" s="3">
        <f>IF($A49="","",IF($B49="","",IF(TODAY()&lt;$B49+420,"-",SUMPRODUCT(('Picked Students (raw)'!$B$2:$B$824=$A49)*('Picked Students (raw)'!$E$2:$E$824="Fresher")*('Picked Students (raw)'!$C$2:$C$824&lt;&gt;"")*(('Picked Students (raw)'!$C$2:$C$824-$B49)&lt;420)))))</f>
        <v/>
      </c>
      <c r="AG49" s="5">
        <f>IF($A49="","",IF(AF49="-","-",IF($D49=0,0,AF49/$D49)))</f>
        <v/>
      </c>
      <c r="AH49" s="3">
        <f>IF($A49="","",IF($B49="","",IF(TODAY()&lt;$B49+450,"-",SUMPRODUCT(('Picked Students (raw)'!$B$2:$B$824=$A49)*('Picked Students (raw)'!$E$2:$E$824="Fresher")*('Picked Students (raw)'!$C$2:$C$824&lt;&gt;"")*(('Picked Students (raw)'!$C$2:$C$824-$B49)&lt;450)))))</f>
        <v/>
      </c>
      <c r="AI49" s="5">
        <f>IF($A49="","",IF(AH49="-","-",IF($D49=0,0,AH49/$D49)))</f>
        <v/>
      </c>
      <c r="AJ49" s="3">
        <f>IF($A49="","",IF($B49="","",IF(TODAY()&lt;$B49+480,"-",SUMPRODUCT(('Picked Students (raw)'!$B$2:$B$824=$A49)*('Picked Students (raw)'!$E$2:$E$824="Fresher")*('Picked Students (raw)'!$C$2:$C$824&lt;&gt;"")*(('Picked Students (raw)'!$C$2:$C$824-$B49)&lt;480)))))</f>
        <v/>
      </c>
      <c r="AK49" s="5">
        <f>IF($A49="","",IF(AJ49="-","-",IF($D49=0,0,AJ49/$D49)))</f>
        <v/>
      </c>
      <c r="AL49" s="3">
        <f>IF($A49="","",IF($B49="","",IF(TODAY()&lt;$B49+510,"-",SUMPRODUCT(('Picked Students (raw)'!$B$2:$B$824=$A49)*('Picked Students (raw)'!$E$2:$E$824="Fresher")*('Picked Students (raw)'!$C$2:$C$824&lt;&gt;"")*(('Picked Students (raw)'!$C$2:$C$824-$B49)&lt;510)))))</f>
        <v/>
      </c>
      <c r="AM49" s="5">
        <f>IF($A49="","",IF(AL49="-","-",IF($D49=0,0,AL49/$D49)))</f>
        <v/>
      </c>
      <c r="AN49" s="3">
        <f>IF($A49="","",IF($B49="","",IF(TODAY()&lt;$B49+540,"-",SUMPRODUCT(('Picked Students (raw)'!$B$2:$B$824=$A49)*('Picked Students (raw)'!$E$2:$E$824="Fresher")*('Picked Students (raw)'!$C$2:$C$824&lt;&gt;"")*(('Picked Students (raw)'!$C$2:$C$824-$B49)&lt;540)))))</f>
        <v/>
      </c>
      <c r="AO49" s="5">
        <f>IF($A49="","",IF(AN49="-","-",IF($D49=0,0,AN49/$D49)))</f>
        <v/>
      </c>
      <c r="AP49" s="3">
        <f>IF($A49="","",IF(AN49="-","-",$E49-AN49))</f>
        <v/>
      </c>
    </row>
    <row r="50">
      <c r="A50" s="3" t="n"/>
      <c r="B50" s="4">
        <f>IF($A50="","",IFERROR(INDEX('Batch Enrollment (Metabase)'!$D$2:$D$47,MATCH($A50,'Batch Enrollment (Metabase)'!$A$2:$A$47,0)),""))</f>
        <v/>
      </c>
      <c r="C50" s="3">
        <f>IF($A50="","",IFERROR(INDEX('Batch Enrollment (Metabase)'!$E$2:$E$47,MATCH($A50,'Batch Enrollment (Metabase)'!$A$2:$A$47,0)),""))</f>
        <v/>
      </c>
      <c r="D50" s="3">
        <f>IF($A50="","",IFERROR(INDEX('Batch Enrollment (Metabase)'!$F$2:$F$47,MATCH($A50,'Batch Enrollment (Metabase)'!$A$2:$A$47,0)),""))</f>
        <v/>
      </c>
      <c r="E50" s="3">
        <f>IF($A50="","",COUNTIFS('Picked Students (raw)'!$B$2:$B$824,$A50,'Picked Students (raw)'!$E$2:$E$824,"Fresher"))</f>
        <v/>
      </c>
      <c r="F50" s="3">
        <f>IF($A50="","",IF($B50="","",IF(TODAY()&lt;$B50+30,"-",SUMPRODUCT(('Picked Students (raw)'!$B$2:$B$824=$A50)*('Picked Students (raw)'!$E$2:$E$824="Fresher")*('Picked Students (raw)'!$C$2:$C$824&lt;&gt;"")*(('Picked Students (raw)'!$C$2:$C$824-$B50)&lt;30)))))</f>
        <v/>
      </c>
      <c r="G50" s="5">
        <f>IF($A50="","",IF(F50="-","-",IF($D50=0,0,F50/$D50)))</f>
        <v/>
      </c>
      <c r="H50" s="3">
        <f>IF($A50="","",IF($B50="","",IF(TODAY()&lt;$B50+60,"-",SUMPRODUCT(('Picked Students (raw)'!$B$2:$B$824=$A50)*('Picked Students (raw)'!$E$2:$E$824="Fresher")*('Picked Students (raw)'!$C$2:$C$824&lt;&gt;"")*(('Picked Students (raw)'!$C$2:$C$824-$B50)&lt;60)))))</f>
        <v/>
      </c>
      <c r="I50" s="5">
        <f>IF($A50="","",IF(H50="-","-",IF($D50=0,0,H50/$D50)))</f>
        <v/>
      </c>
      <c r="J50" s="3">
        <f>IF($A50="","",IF($B50="","",IF(TODAY()&lt;$B50+90,"-",SUMPRODUCT(('Picked Students (raw)'!$B$2:$B$824=$A50)*('Picked Students (raw)'!$E$2:$E$824="Fresher")*('Picked Students (raw)'!$C$2:$C$824&lt;&gt;"")*(('Picked Students (raw)'!$C$2:$C$824-$B50)&lt;90)))))</f>
        <v/>
      </c>
      <c r="K50" s="5">
        <f>IF($A50="","",IF(J50="-","-",IF($D50=0,0,J50/$D50)))</f>
        <v/>
      </c>
      <c r="L50" s="3">
        <f>IF($A50="","",IF($B50="","",IF(TODAY()&lt;$B50+120,"-",SUMPRODUCT(('Picked Students (raw)'!$B$2:$B$824=$A50)*('Picked Students (raw)'!$E$2:$E$824="Fresher")*('Picked Students (raw)'!$C$2:$C$824&lt;&gt;"")*(('Picked Students (raw)'!$C$2:$C$824-$B50)&lt;120)))))</f>
        <v/>
      </c>
      <c r="M50" s="5">
        <f>IF($A50="","",IF(L50="-","-",IF($D50=0,0,L50/$D50)))</f>
        <v/>
      </c>
      <c r="N50" s="3">
        <f>IF($A50="","",IF($B50="","",IF(TODAY()&lt;$B50+150,"-",SUMPRODUCT(('Picked Students (raw)'!$B$2:$B$824=$A50)*('Picked Students (raw)'!$E$2:$E$824="Fresher")*('Picked Students (raw)'!$C$2:$C$824&lt;&gt;"")*(('Picked Students (raw)'!$C$2:$C$824-$B50)&lt;150)))))</f>
        <v/>
      </c>
      <c r="O50" s="5">
        <f>IF($A50="","",IF(N50="-","-",IF($D50=0,0,N50/$D50)))</f>
        <v/>
      </c>
      <c r="P50" s="3">
        <f>IF($A50="","",IF($B50="","",IF(TODAY()&lt;$B50+180,"-",SUMPRODUCT(('Picked Students (raw)'!$B$2:$B$824=$A50)*('Picked Students (raw)'!$E$2:$E$824="Fresher")*('Picked Students (raw)'!$C$2:$C$824&lt;&gt;"")*(('Picked Students (raw)'!$C$2:$C$824-$B50)&lt;180)))))</f>
        <v/>
      </c>
      <c r="Q50" s="5">
        <f>IF($A50="","",IF(P50="-","-",IF($D50=0,0,P50/$D50)))</f>
        <v/>
      </c>
      <c r="R50" s="3">
        <f>IF($A50="","",IF($B50="","",IF(TODAY()&lt;$B50+210,"-",SUMPRODUCT(('Picked Students (raw)'!$B$2:$B$824=$A50)*('Picked Students (raw)'!$E$2:$E$824="Fresher")*('Picked Students (raw)'!$C$2:$C$824&lt;&gt;"")*(('Picked Students (raw)'!$C$2:$C$824-$B50)&lt;210)))))</f>
        <v/>
      </c>
      <c r="S50" s="5">
        <f>IF($A50="","",IF(R50="-","-",IF($D50=0,0,R50/$D50)))</f>
        <v/>
      </c>
      <c r="T50" s="3">
        <f>IF($A50="","",IF($B50="","",IF(TODAY()&lt;$B50+240,"-",SUMPRODUCT(('Picked Students (raw)'!$B$2:$B$824=$A50)*('Picked Students (raw)'!$E$2:$E$824="Fresher")*('Picked Students (raw)'!$C$2:$C$824&lt;&gt;"")*(('Picked Students (raw)'!$C$2:$C$824-$B50)&lt;240)))))</f>
        <v/>
      </c>
      <c r="U50" s="5">
        <f>IF($A50="","",IF(T50="-","-",IF($D50=0,0,T50/$D50)))</f>
        <v/>
      </c>
      <c r="V50" s="3">
        <f>IF($A50="","",IF($B50="","",IF(TODAY()&lt;$B50+270,"-",SUMPRODUCT(('Picked Students (raw)'!$B$2:$B$824=$A50)*('Picked Students (raw)'!$E$2:$E$824="Fresher")*('Picked Students (raw)'!$C$2:$C$824&lt;&gt;"")*(('Picked Students (raw)'!$C$2:$C$824-$B50)&lt;270)))))</f>
        <v/>
      </c>
      <c r="W50" s="5">
        <f>IF($A50="","",IF(V50="-","-",IF($D50=0,0,V50/$D50)))</f>
        <v/>
      </c>
      <c r="X50" s="3">
        <f>IF($A50="","",IF($B50="","",IF(TODAY()&lt;$B50+300,"-",SUMPRODUCT(('Picked Students (raw)'!$B$2:$B$824=$A50)*('Picked Students (raw)'!$E$2:$E$824="Fresher")*('Picked Students (raw)'!$C$2:$C$824&lt;&gt;"")*(('Picked Students (raw)'!$C$2:$C$824-$B50)&lt;300)))))</f>
        <v/>
      </c>
      <c r="Y50" s="5">
        <f>IF($A50="","",IF(X50="-","-",IF($D50=0,0,X50/$D50)))</f>
        <v/>
      </c>
      <c r="Z50" s="3">
        <f>IF($A50="","",IF($B50="","",IF(TODAY()&lt;$B50+330,"-",SUMPRODUCT(('Picked Students (raw)'!$B$2:$B$824=$A50)*('Picked Students (raw)'!$E$2:$E$824="Fresher")*('Picked Students (raw)'!$C$2:$C$824&lt;&gt;"")*(('Picked Students (raw)'!$C$2:$C$824-$B50)&lt;330)))))</f>
        <v/>
      </c>
      <c r="AA50" s="5">
        <f>IF($A50="","",IF(Z50="-","-",IF($D50=0,0,Z50/$D50)))</f>
        <v/>
      </c>
      <c r="AB50" s="3">
        <f>IF($A50="","",IF($B50="","",IF(TODAY()&lt;$B50+360,"-",SUMPRODUCT(('Picked Students (raw)'!$B$2:$B$824=$A50)*('Picked Students (raw)'!$E$2:$E$824="Fresher")*('Picked Students (raw)'!$C$2:$C$824&lt;&gt;"")*(('Picked Students (raw)'!$C$2:$C$824-$B50)&lt;360)))))</f>
        <v/>
      </c>
      <c r="AC50" s="5">
        <f>IF($A50="","",IF(AB50="-","-",IF($D50=0,0,AB50/$D50)))</f>
        <v/>
      </c>
      <c r="AD50" s="3">
        <f>IF($A50="","",IF($B50="","",IF(TODAY()&lt;$B50+390,"-",SUMPRODUCT(('Picked Students (raw)'!$B$2:$B$824=$A50)*('Picked Students (raw)'!$E$2:$E$824="Fresher")*('Picked Students (raw)'!$C$2:$C$824&lt;&gt;"")*(('Picked Students (raw)'!$C$2:$C$824-$B50)&lt;390)))))</f>
        <v/>
      </c>
      <c r="AE50" s="5">
        <f>IF($A50="","",IF(AD50="-","-",IF($D50=0,0,AD50/$D50)))</f>
        <v/>
      </c>
      <c r="AF50" s="3">
        <f>IF($A50="","",IF($B50="","",IF(TODAY()&lt;$B50+420,"-",SUMPRODUCT(('Picked Students (raw)'!$B$2:$B$824=$A50)*('Picked Students (raw)'!$E$2:$E$824="Fresher")*('Picked Students (raw)'!$C$2:$C$824&lt;&gt;"")*(('Picked Students (raw)'!$C$2:$C$824-$B50)&lt;420)))))</f>
        <v/>
      </c>
      <c r="AG50" s="5">
        <f>IF($A50="","",IF(AF50="-","-",IF($D50=0,0,AF50/$D50)))</f>
        <v/>
      </c>
      <c r="AH50" s="3">
        <f>IF($A50="","",IF($B50="","",IF(TODAY()&lt;$B50+450,"-",SUMPRODUCT(('Picked Students (raw)'!$B$2:$B$824=$A50)*('Picked Students (raw)'!$E$2:$E$824="Fresher")*('Picked Students (raw)'!$C$2:$C$824&lt;&gt;"")*(('Picked Students (raw)'!$C$2:$C$824-$B50)&lt;450)))))</f>
        <v/>
      </c>
      <c r="AI50" s="5">
        <f>IF($A50="","",IF(AH50="-","-",IF($D50=0,0,AH50/$D50)))</f>
        <v/>
      </c>
      <c r="AJ50" s="3">
        <f>IF($A50="","",IF($B50="","",IF(TODAY()&lt;$B50+480,"-",SUMPRODUCT(('Picked Students (raw)'!$B$2:$B$824=$A50)*('Picked Students (raw)'!$E$2:$E$824="Fresher")*('Picked Students (raw)'!$C$2:$C$824&lt;&gt;"")*(('Picked Students (raw)'!$C$2:$C$824-$B50)&lt;480)))))</f>
        <v/>
      </c>
      <c r="AK50" s="5">
        <f>IF($A50="","",IF(AJ50="-","-",IF($D50=0,0,AJ50/$D50)))</f>
        <v/>
      </c>
      <c r="AL50" s="3">
        <f>IF($A50="","",IF($B50="","",IF(TODAY()&lt;$B50+510,"-",SUMPRODUCT(('Picked Students (raw)'!$B$2:$B$824=$A50)*('Picked Students (raw)'!$E$2:$E$824="Fresher")*('Picked Students (raw)'!$C$2:$C$824&lt;&gt;"")*(('Picked Students (raw)'!$C$2:$C$824-$B50)&lt;510)))))</f>
        <v/>
      </c>
      <c r="AM50" s="5">
        <f>IF($A50="","",IF(AL50="-","-",IF($D50=0,0,AL50/$D50)))</f>
        <v/>
      </c>
      <c r="AN50" s="3">
        <f>IF($A50="","",IF($B50="","",IF(TODAY()&lt;$B50+540,"-",SUMPRODUCT(('Picked Students (raw)'!$B$2:$B$824=$A50)*('Picked Students (raw)'!$E$2:$E$824="Fresher")*('Picked Students (raw)'!$C$2:$C$824&lt;&gt;"")*(('Picked Students (raw)'!$C$2:$C$824-$B50)&lt;540)))))</f>
        <v/>
      </c>
      <c r="AO50" s="5">
        <f>IF($A50="","",IF(AN50="-","-",IF($D50=0,0,AN50/$D50)))</f>
        <v/>
      </c>
      <c r="AP50" s="3">
        <f>IF($A50="","",IF(AN50="-","-",$E50-AN50))</f>
        <v/>
      </c>
    </row>
    <row r="51">
      <c r="A51" s="3" t="n"/>
      <c r="B51" s="4">
        <f>IF($A51="","",IFERROR(INDEX('Batch Enrollment (Metabase)'!$D$2:$D$47,MATCH($A51,'Batch Enrollment (Metabase)'!$A$2:$A$47,0)),""))</f>
        <v/>
      </c>
      <c r="C51" s="3">
        <f>IF($A51="","",IFERROR(INDEX('Batch Enrollment (Metabase)'!$E$2:$E$47,MATCH($A51,'Batch Enrollment (Metabase)'!$A$2:$A$47,0)),""))</f>
        <v/>
      </c>
      <c r="D51" s="3">
        <f>IF($A51="","",IFERROR(INDEX('Batch Enrollment (Metabase)'!$F$2:$F$47,MATCH($A51,'Batch Enrollment (Metabase)'!$A$2:$A$47,0)),""))</f>
        <v/>
      </c>
      <c r="E51" s="3">
        <f>IF($A51="","",COUNTIFS('Picked Students (raw)'!$B$2:$B$824,$A51,'Picked Students (raw)'!$E$2:$E$824,"Fresher"))</f>
        <v/>
      </c>
      <c r="F51" s="3">
        <f>IF($A51="","",IF($B51="","",IF(TODAY()&lt;$B51+30,"-",SUMPRODUCT(('Picked Students (raw)'!$B$2:$B$824=$A51)*('Picked Students (raw)'!$E$2:$E$824="Fresher")*('Picked Students (raw)'!$C$2:$C$824&lt;&gt;"")*(('Picked Students (raw)'!$C$2:$C$824-$B51)&lt;30)))))</f>
        <v/>
      </c>
      <c r="G51" s="5">
        <f>IF($A51="","",IF(F51="-","-",IF($D51=0,0,F51/$D51)))</f>
        <v/>
      </c>
      <c r="H51" s="3">
        <f>IF($A51="","",IF($B51="","",IF(TODAY()&lt;$B51+60,"-",SUMPRODUCT(('Picked Students (raw)'!$B$2:$B$824=$A51)*('Picked Students (raw)'!$E$2:$E$824="Fresher")*('Picked Students (raw)'!$C$2:$C$824&lt;&gt;"")*(('Picked Students (raw)'!$C$2:$C$824-$B51)&lt;60)))))</f>
        <v/>
      </c>
      <c r="I51" s="5">
        <f>IF($A51="","",IF(H51="-","-",IF($D51=0,0,H51/$D51)))</f>
        <v/>
      </c>
      <c r="J51" s="3">
        <f>IF($A51="","",IF($B51="","",IF(TODAY()&lt;$B51+90,"-",SUMPRODUCT(('Picked Students (raw)'!$B$2:$B$824=$A51)*('Picked Students (raw)'!$E$2:$E$824="Fresher")*('Picked Students (raw)'!$C$2:$C$824&lt;&gt;"")*(('Picked Students (raw)'!$C$2:$C$824-$B51)&lt;90)))))</f>
        <v/>
      </c>
      <c r="K51" s="5">
        <f>IF($A51="","",IF(J51="-","-",IF($D51=0,0,J51/$D51)))</f>
        <v/>
      </c>
      <c r="L51" s="3">
        <f>IF($A51="","",IF($B51="","",IF(TODAY()&lt;$B51+120,"-",SUMPRODUCT(('Picked Students (raw)'!$B$2:$B$824=$A51)*('Picked Students (raw)'!$E$2:$E$824="Fresher")*('Picked Students (raw)'!$C$2:$C$824&lt;&gt;"")*(('Picked Students (raw)'!$C$2:$C$824-$B51)&lt;120)))))</f>
        <v/>
      </c>
      <c r="M51" s="5">
        <f>IF($A51="","",IF(L51="-","-",IF($D51=0,0,L51/$D51)))</f>
        <v/>
      </c>
      <c r="N51" s="3">
        <f>IF($A51="","",IF($B51="","",IF(TODAY()&lt;$B51+150,"-",SUMPRODUCT(('Picked Students (raw)'!$B$2:$B$824=$A51)*('Picked Students (raw)'!$E$2:$E$824="Fresher")*('Picked Students (raw)'!$C$2:$C$824&lt;&gt;"")*(('Picked Students (raw)'!$C$2:$C$824-$B51)&lt;150)))))</f>
        <v/>
      </c>
      <c r="O51" s="5">
        <f>IF($A51="","",IF(N51="-","-",IF($D51=0,0,N51/$D51)))</f>
        <v/>
      </c>
      <c r="P51" s="3">
        <f>IF($A51="","",IF($B51="","",IF(TODAY()&lt;$B51+180,"-",SUMPRODUCT(('Picked Students (raw)'!$B$2:$B$824=$A51)*('Picked Students (raw)'!$E$2:$E$824="Fresher")*('Picked Students (raw)'!$C$2:$C$824&lt;&gt;"")*(('Picked Students (raw)'!$C$2:$C$824-$B51)&lt;180)))))</f>
        <v/>
      </c>
      <c r="Q51" s="5">
        <f>IF($A51="","",IF(P51="-","-",IF($D51=0,0,P51/$D51)))</f>
        <v/>
      </c>
      <c r="R51" s="3">
        <f>IF($A51="","",IF($B51="","",IF(TODAY()&lt;$B51+210,"-",SUMPRODUCT(('Picked Students (raw)'!$B$2:$B$824=$A51)*('Picked Students (raw)'!$E$2:$E$824="Fresher")*('Picked Students (raw)'!$C$2:$C$824&lt;&gt;"")*(('Picked Students (raw)'!$C$2:$C$824-$B51)&lt;210)))))</f>
        <v/>
      </c>
      <c r="S51" s="5">
        <f>IF($A51="","",IF(R51="-","-",IF($D51=0,0,R51/$D51)))</f>
        <v/>
      </c>
      <c r="T51" s="3">
        <f>IF($A51="","",IF($B51="","",IF(TODAY()&lt;$B51+240,"-",SUMPRODUCT(('Picked Students (raw)'!$B$2:$B$824=$A51)*('Picked Students (raw)'!$E$2:$E$824="Fresher")*('Picked Students (raw)'!$C$2:$C$824&lt;&gt;"")*(('Picked Students (raw)'!$C$2:$C$824-$B51)&lt;240)))))</f>
        <v/>
      </c>
      <c r="U51" s="5">
        <f>IF($A51="","",IF(T51="-","-",IF($D51=0,0,T51/$D51)))</f>
        <v/>
      </c>
      <c r="V51" s="3">
        <f>IF($A51="","",IF($B51="","",IF(TODAY()&lt;$B51+270,"-",SUMPRODUCT(('Picked Students (raw)'!$B$2:$B$824=$A51)*('Picked Students (raw)'!$E$2:$E$824="Fresher")*('Picked Students (raw)'!$C$2:$C$824&lt;&gt;"")*(('Picked Students (raw)'!$C$2:$C$824-$B51)&lt;270)))))</f>
        <v/>
      </c>
      <c r="W51" s="5">
        <f>IF($A51="","",IF(V51="-","-",IF($D51=0,0,V51/$D51)))</f>
        <v/>
      </c>
      <c r="X51" s="3">
        <f>IF($A51="","",IF($B51="","",IF(TODAY()&lt;$B51+300,"-",SUMPRODUCT(('Picked Students (raw)'!$B$2:$B$824=$A51)*('Picked Students (raw)'!$E$2:$E$824="Fresher")*('Picked Students (raw)'!$C$2:$C$824&lt;&gt;"")*(('Picked Students (raw)'!$C$2:$C$824-$B51)&lt;300)))))</f>
        <v/>
      </c>
      <c r="Y51" s="5">
        <f>IF($A51="","",IF(X51="-","-",IF($D51=0,0,X51/$D51)))</f>
        <v/>
      </c>
      <c r="Z51" s="3">
        <f>IF($A51="","",IF($B51="","",IF(TODAY()&lt;$B51+330,"-",SUMPRODUCT(('Picked Students (raw)'!$B$2:$B$824=$A51)*('Picked Students (raw)'!$E$2:$E$824="Fresher")*('Picked Students (raw)'!$C$2:$C$824&lt;&gt;"")*(('Picked Students (raw)'!$C$2:$C$824-$B51)&lt;330)))))</f>
        <v/>
      </c>
      <c r="AA51" s="5">
        <f>IF($A51="","",IF(Z51="-","-",IF($D51=0,0,Z51/$D51)))</f>
        <v/>
      </c>
      <c r="AB51" s="3">
        <f>IF($A51="","",IF($B51="","",IF(TODAY()&lt;$B51+360,"-",SUMPRODUCT(('Picked Students (raw)'!$B$2:$B$824=$A51)*('Picked Students (raw)'!$E$2:$E$824="Fresher")*('Picked Students (raw)'!$C$2:$C$824&lt;&gt;"")*(('Picked Students (raw)'!$C$2:$C$824-$B51)&lt;360)))))</f>
        <v/>
      </c>
      <c r="AC51" s="5">
        <f>IF($A51="","",IF(AB51="-","-",IF($D51=0,0,AB51/$D51)))</f>
        <v/>
      </c>
      <c r="AD51" s="3">
        <f>IF($A51="","",IF($B51="","",IF(TODAY()&lt;$B51+390,"-",SUMPRODUCT(('Picked Students (raw)'!$B$2:$B$824=$A51)*('Picked Students (raw)'!$E$2:$E$824="Fresher")*('Picked Students (raw)'!$C$2:$C$824&lt;&gt;"")*(('Picked Students (raw)'!$C$2:$C$824-$B51)&lt;390)))))</f>
        <v/>
      </c>
      <c r="AE51" s="5">
        <f>IF($A51="","",IF(AD51="-","-",IF($D51=0,0,AD51/$D51)))</f>
        <v/>
      </c>
      <c r="AF51" s="3">
        <f>IF($A51="","",IF($B51="","",IF(TODAY()&lt;$B51+420,"-",SUMPRODUCT(('Picked Students (raw)'!$B$2:$B$824=$A51)*('Picked Students (raw)'!$E$2:$E$824="Fresher")*('Picked Students (raw)'!$C$2:$C$824&lt;&gt;"")*(('Picked Students (raw)'!$C$2:$C$824-$B51)&lt;420)))))</f>
        <v/>
      </c>
      <c r="AG51" s="5">
        <f>IF($A51="","",IF(AF51="-","-",IF($D51=0,0,AF51/$D51)))</f>
        <v/>
      </c>
      <c r="AH51" s="3">
        <f>IF($A51="","",IF($B51="","",IF(TODAY()&lt;$B51+450,"-",SUMPRODUCT(('Picked Students (raw)'!$B$2:$B$824=$A51)*('Picked Students (raw)'!$E$2:$E$824="Fresher")*('Picked Students (raw)'!$C$2:$C$824&lt;&gt;"")*(('Picked Students (raw)'!$C$2:$C$824-$B51)&lt;450)))))</f>
        <v/>
      </c>
      <c r="AI51" s="5">
        <f>IF($A51="","",IF(AH51="-","-",IF($D51=0,0,AH51/$D51)))</f>
        <v/>
      </c>
      <c r="AJ51" s="3">
        <f>IF($A51="","",IF($B51="","",IF(TODAY()&lt;$B51+480,"-",SUMPRODUCT(('Picked Students (raw)'!$B$2:$B$824=$A51)*('Picked Students (raw)'!$E$2:$E$824="Fresher")*('Picked Students (raw)'!$C$2:$C$824&lt;&gt;"")*(('Picked Students (raw)'!$C$2:$C$824-$B51)&lt;480)))))</f>
        <v/>
      </c>
      <c r="AK51" s="5">
        <f>IF($A51="","",IF(AJ51="-","-",IF($D51=0,0,AJ51/$D51)))</f>
        <v/>
      </c>
      <c r="AL51" s="3">
        <f>IF($A51="","",IF($B51="","",IF(TODAY()&lt;$B51+510,"-",SUMPRODUCT(('Picked Students (raw)'!$B$2:$B$824=$A51)*('Picked Students (raw)'!$E$2:$E$824="Fresher")*('Picked Students (raw)'!$C$2:$C$824&lt;&gt;"")*(('Picked Students (raw)'!$C$2:$C$824-$B51)&lt;510)))))</f>
        <v/>
      </c>
      <c r="AM51" s="5">
        <f>IF($A51="","",IF(AL51="-","-",IF($D51=0,0,AL51/$D51)))</f>
        <v/>
      </c>
      <c r="AN51" s="3">
        <f>IF($A51="","",IF($B51="","",IF(TODAY()&lt;$B51+540,"-",SUMPRODUCT(('Picked Students (raw)'!$B$2:$B$824=$A51)*('Picked Students (raw)'!$E$2:$E$824="Fresher")*('Picked Students (raw)'!$C$2:$C$824&lt;&gt;"")*(('Picked Students (raw)'!$C$2:$C$824-$B51)&lt;540)))))</f>
        <v/>
      </c>
      <c r="AO51" s="5">
        <f>IF($A51="","",IF(AN51="-","-",IF($D51=0,0,AN51/$D51)))</f>
        <v/>
      </c>
      <c r="AP51" s="3">
        <f>IF($A51="","",IF(AN51="-","-",$E51-AN51))</f>
        <v/>
      </c>
    </row>
    <row r="52">
      <c r="A52" s="3" t="n"/>
      <c r="B52" s="4">
        <f>IF($A52="","",IFERROR(INDEX('Batch Enrollment (Metabase)'!$D$2:$D$47,MATCH($A52,'Batch Enrollment (Metabase)'!$A$2:$A$47,0)),""))</f>
        <v/>
      </c>
      <c r="C52" s="3">
        <f>IF($A52="","",IFERROR(INDEX('Batch Enrollment (Metabase)'!$E$2:$E$47,MATCH($A52,'Batch Enrollment (Metabase)'!$A$2:$A$47,0)),""))</f>
        <v/>
      </c>
      <c r="D52" s="3">
        <f>IF($A52="","",IFERROR(INDEX('Batch Enrollment (Metabase)'!$F$2:$F$47,MATCH($A52,'Batch Enrollment (Metabase)'!$A$2:$A$47,0)),""))</f>
        <v/>
      </c>
      <c r="E52" s="3">
        <f>IF($A52="","",COUNTIFS('Picked Students (raw)'!$B$2:$B$824,$A52,'Picked Students (raw)'!$E$2:$E$824,"Fresher"))</f>
        <v/>
      </c>
      <c r="F52" s="3">
        <f>IF($A52="","",IF($B52="","",IF(TODAY()&lt;$B52+30,"-",SUMPRODUCT(('Picked Students (raw)'!$B$2:$B$824=$A52)*('Picked Students (raw)'!$E$2:$E$824="Fresher")*('Picked Students (raw)'!$C$2:$C$824&lt;&gt;"")*(('Picked Students (raw)'!$C$2:$C$824-$B52)&lt;30)))))</f>
        <v/>
      </c>
      <c r="G52" s="5">
        <f>IF($A52="","",IF(F52="-","-",IF($D52=0,0,F52/$D52)))</f>
        <v/>
      </c>
      <c r="H52" s="3">
        <f>IF($A52="","",IF($B52="","",IF(TODAY()&lt;$B52+60,"-",SUMPRODUCT(('Picked Students (raw)'!$B$2:$B$824=$A52)*('Picked Students (raw)'!$E$2:$E$824="Fresher")*('Picked Students (raw)'!$C$2:$C$824&lt;&gt;"")*(('Picked Students (raw)'!$C$2:$C$824-$B52)&lt;60)))))</f>
        <v/>
      </c>
      <c r="I52" s="5">
        <f>IF($A52="","",IF(H52="-","-",IF($D52=0,0,H52/$D52)))</f>
        <v/>
      </c>
      <c r="J52" s="3">
        <f>IF($A52="","",IF($B52="","",IF(TODAY()&lt;$B52+90,"-",SUMPRODUCT(('Picked Students (raw)'!$B$2:$B$824=$A52)*('Picked Students (raw)'!$E$2:$E$824="Fresher")*('Picked Students (raw)'!$C$2:$C$824&lt;&gt;"")*(('Picked Students (raw)'!$C$2:$C$824-$B52)&lt;90)))))</f>
        <v/>
      </c>
      <c r="K52" s="5">
        <f>IF($A52="","",IF(J52="-","-",IF($D52=0,0,J52/$D52)))</f>
        <v/>
      </c>
      <c r="L52" s="3">
        <f>IF($A52="","",IF($B52="","",IF(TODAY()&lt;$B52+120,"-",SUMPRODUCT(('Picked Students (raw)'!$B$2:$B$824=$A52)*('Picked Students (raw)'!$E$2:$E$824="Fresher")*('Picked Students (raw)'!$C$2:$C$824&lt;&gt;"")*(('Picked Students (raw)'!$C$2:$C$824-$B52)&lt;120)))))</f>
        <v/>
      </c>
      <c r="M52" s="5">
        <f>IF($A52="","",IF(L52="-","-",IF($D52=0,0,L52/$D52)))</f>
        <v/>
      </c>
      <c r="N52" s="3">
        <f>IF($A52="","",IF($B52="","",IF(TODAY()&lt;$B52+150,"-",SUMPRODUCT(('Picked Students (raw)'!$B$2:$B$824=$A52)*('Picked Students (raw)'!$E$2:$E$824="Fresher")*('Picked Students (raw)'!$C$2:$C$824&lt;&gt;"")*(('Picked Students (raw)'!$C$2:$C$824-$B52)&lt;150)))))</f>
        <v/>
      </c>
      <c r="O52" s="5">
        <f>IF($A52="","",IF(N52="-","-",IF($D52=0,0,N52/$D52)))</f>
        <v/>
      </c>
      <c r="P52" s="3">
        <f>IF($A52="","",IF($B52="","",IF(TODAY()&lt;$B52+180,"-",SUMPRODUCT(('Picked Students (raw)'!$B$2:$B$824=$A52)*('Picked Students (raw)'!$E$2:$E$824="Fresher")*('Picked Students (raw)'!$C$2:$C$824&lt;&gt;"")*(('Picked Students (raw)'!$C$2:$C$824-$B52)&lt;180)))))</f>
        <v/>
      </c>
      <c r="Q52" s="5">
        <f>IF($A52="","",IF(P52="-","-",IF($D52=0,0,P52/$D52)))</f>
        <v/>
      </c>
      <c r="R52" s="3">
        <f>IF($A52="","",IF($B52="","",IF(TODAY()&lt;$B52+210,"-",SUMPRODUCT(('Picked Students (raw)'!$B$2:$B$824=$A52)*('Picked Students (raw)'!$E$2:$E$824="Fresher")*('Picked Students (raw)'!$C$2:$C$824&lt;&gt;"")*(('Picked Students (raw)'!$C$2:$C$824-$B52)&lt;210)))))</f>
        <v/>
      </c>
      <c r="S52" s="5">
        <f>IF($A52="","",IF(R52="-","-",IF($D52=0,0,R52/$D52)))</f>
        <v/>
      </c>
      <c r="T52" s="3">
        <f>IF($A52="","",IF($B52="","",IF(TODAY()&lt;$B52+240,"-",SUMPRODUCT(('Picked Students (raw)'!$B$2:$B$824=$A52)*('Picked Students (raw)'!$E$2:$E$824="Fresher")*('Picked Students (raw)'!$C$2:$C$824&lt;&gt;"")*(('Picked Students (raw)'!$C$2:$C$824-$B52)&lt;240)))))</f>
        <v/>
      </c>
      <c r="U52" s="5">
        <f>IF($A52="","",IF(T52="-","-",IF($D52=0,0,T52/$D52)))</f>
        <v/>
      </c>
      <c r="V52" s="3">
        <f>IF($A52="","",IF($B52="","",IF(TODAY()&lt;$B52+270,"-",SUMPRODUCT(('Picked Students (raw)'!$B$2:$B$824=$A52)*('Picked Students (raw)'!$E$2:$E$824="Fresher")*('Picked Students (raw)'!$C$2:$C$824&lt;&gt;"")*(('Picked Students (raw)'!$C$2:$C$824-$B52)&lt;270)))))</f>
        <v/>
      </c>
      <c r="W52" s="5">
        <f>IF($A52="","",IF(V52="-","-",IF($D52=0,0,V52/$D52)))</f>
        <v/>
      </c>
      <c r="X52" s="3">
        <f>IF($A52="","",IF($B52="","",IF(TODAY()&lt;$B52+300,"-",SUMPRODUCT(('Picked Students (raw)'!$B$2:$B$824=$A52)*('Picked Students (raw)'!$E$2:$E$824="Fresher")*('Picked Students (raw)'!$C$2:$C$824&lt;&gt;"")*(('Picked Students (raw)'!$C$2:$C$824-$B52)&lt;300)))))</f>
        <v/>
      </c>
      <c r="Y52" s="5">
        <f>IF($A52="","",IF(X52="-","-",IF($D52=0,0,X52/$D52)))</f>
        <v/>
      </c>
      <c r="Z52" s="3">
        <f>IF($A52="","",IF($B52="","",IF(TODAY()&lt;$B52+330,"-",SUMPRODUCT(('Picked Students (raw)'!$B$2:$B$824=$A52)*('Picked Students (raw)'!$E$2:$E$824="Fresher")*('Picked Students (raw)'!$C$2:$C$824&lt;&gt;"")*(('Picked Students (raw)'!$C$2:$C$824-$B52)&lt;330)))))</f>
        <v/>
      </c>
      <c r="AA52" s="5">
        <f>IF($A52="","",IF(Z52="-","-",IF($D52=0,0,Z52/$D52)))</f>
        <v/>
      </c>
      <c r="AB52" s="3">
        <f>IF($A52="","",IF($B52="","",IF(TODAY()&lt;$B52+360,"-",SUMPRODUCT(('Picked Students (raw)'!$B$2:$B$824=$A52)*('Picked Students (raw)'!$E$2:$E$824="Fresher")*('Picked Students (raw)'!$C$2:$C$824&lt;&gt;"")*(('Picked Students (raw)'!$C$2:$C$824-$B52)&lt;360)))))</f>
        <v/>
      </c>
      <c r="AC52" s="5">
        <f>IF($A52="","",IF(AB52="-","-",IF($D52=0,0,AB52/$D52)))</f>
        <v/>
      </c>
      <c r="AD52" s="3">
        <f>IF($A52="","",IF($B52="","",IF(TODAY()&lt;$B52+390,"-",SUMPRODUCT(('Picked Students (raw)'!$B$2:$B$824=$A52)*('Picked Students (raw)'!$E$2:$E$824="Fresher")*('Picked Students (raw)'!$C$2:$C$824&lt;&gt;"")*(('Picked Students (raw)'!$C$2:$C$824-$B52)&lt;390)))))</f>
        <v/>
      </c>
      <c r="AE52" s="5">
        <f>IF($A52="","",IF(AD52="-","-",IF($D52=0,0,AD52/$D52)))</f>
        <v/>
      </c>
      <c r="AF52" s="3">
        <f>IF($A52="","",IF($B52="","",IF(TODAY()&lt;$B52+420,"-",SUMPRODUCT(('Picked Students (raw)'!$B$2:$B$824=$A52)*('Picked Students (raw)'!$E$2:$E$824="Fresher")*('Picked Students (raw)'!$C$2:$C$824&lt;&gt;"")*(('Picked Students (raw)'!$C$2:$C$824-$B52)&lt;420)))))</f>
        <v/>
      </c>
      <c r="AG52" s="5">
        <f>IF($A52="","",IF(AF52="-","-",IF($D52=0,0,AF52/$D52)))</f>
        <v/>
      </c>
      <c r="AH52" s="3">
        <f>IF($A52="","",IF($B52="","",IF(TODAY()&lt;$B52+450,"-",SUMPRODUCT(('Picked Students (raw)'!$B$2:$B$824=$A52)*('Picked Students (raw)'!$E$2:$E$824="Fresher")*('Picked Students (raw)'!$C$2:$C$824&lt;&gt;"")*(('Picked Students (raw)'!$C$2:$C$824-$B52)&lt;450)))))</f>
        <v/>
      </c>
      <c r="AI52" s="5">
        <f>IF($A52="","",IF(AH52="-","-",IF($D52=0,0,AH52/$D52)))</f>
        <v/>
      </c>
      <c r="AJ52" s="3">
        <f>IF($A52="","",IF($B52="","",IF(TODAY()&lt;$B52+480,"-",SUMPRODUCT(('Picked Students (raw)'!$B$2:$B$824=$A52)*('Picked Students (raw)'!$E$2:$E$824="Fresher")*('Picked Students (raw)'!$C$2:$C$824&lt;&gt;"")*(('Picked Students (raw)'!$C$2:$C$824-$B52)&lt;480)))))</f>
        <v/>
      </c>
      <c r="AK52" s="5">
        <f>IF($A52="","",IF(AJ52="-","-",IF($D52=0,0,AJ52/$D52)))</f>
        <v/>
      </c>
      <c r="AL52" s="3">
        <f>IF($A52="","",IF($B52="","",IF(TODAY()&lt;$B52+510,"-",SUMPRODUCT(('Picked Students (raw)'!$B$2:$B$824=$A52)*('Picked Students (raw)'!$E$2:$E$824="Fresher")*('Picked Students (raw)'!$C$2:$C$824&lt;&gt;"")*(('Picked Students (raw)'!$C$2:$C$824-$B52)&lt;510)))))</f>
        <v/>
      </c>
      <c r="AM52" s="5">
        <f>IF($A52="","",IF(AL52="-","-",IF($D52=0,0,AL52/$D52)))</f>
        <v/>
      </c>
      <c r="AN52" s="3">
        <f>IF($A52="","",IF($B52="","",IF(TODAY()&lt;$B52+540,"-",SUMPRODUCT(('Picked Students (raw)'!$B$2:$B$824=$A52)*('Picked Students (raw)'!$E$2:$E$824="Fresher")*('Picked Students (raw)'!$C$2:$C$824&lt;&gt;"")*(('Picked Students (raw)'!$C$2:$C$824-$B52)&lt;540)))))</f>
        <v/>
      </c>
      <c r="AO52" s="5">
        <f>IF($A52="","",IF(AN52="-","-",IF($D52=0,0,AN52/$D52)))</f>
        <v/>
      </c>
      <c r="AP52" s="3">
        <f>IF($A52="","",IF(AN52="-","-",$E52-AN52))</f>
        <v/>
      </c>
    </row>
    <row r="53">
      <c r="A53" s="3" t="n"/>
      <c r="B53" s="4">
        <f>IF($A53="","",IFERROR(INDEX('Batch Enrollment (Metabase)'!$D$2:$D$47,MATCH($A53,'Batch Enrollment (Metabase)'!$A$2:$A$47,0)),""))</f>
        <v/>
      </c>
      <c r="C53" s="3">
        <f>IF($A53="","",IFERROR(INDEX('Batch Enrollment (Metabase)'!$E$2:$E$47,MATCH($A53,'Batch Enrollment (Metabase)'!$A$2:$A$47,0)),""))</f>
        <v/>
      </c>
      <c r="D53" s="3">
        <f>IF($A53="","",IFERROR(INDEX('Batch Enrollment (Metabase)'!$F$2:$F$47,MATCH($A53,'Batch Enrollment (Metabase)'!$A$2:$A$47,0)),""))</f>
        <v/>
      </c>
      <c r="E53" s="3">
        <f>IF($A53="","",COUNTIFS('Picked Students (raw)'!$B$2:$B$824,$A53,'Picked Students (raw)'!$E$2:$E$824,"Fresher"))</f>
        <v/>
      </c>
      <c r="F53" s="3">
        <f>IF($A53="","",IF($B53="","",IF(TODAY()&lt;$B53+30,"-",SUMPRODUCT(('Picked Students (raw)'!$B$2:$B$824=$A53)*('Picked Students (raw)'!$E$2:$E$824="Fresher")*('Picked Students (raw)'!$C$2:$C$824&lt;&gt;"")*(('Picked Students (raw)'!$C$2:$C$824-$B53)&lt;30)))))</f>
        <v/>
      </c>
      <c r="G53" s="5">
        <f>IF($A53="","",IF(F53="-","-",IF($D53=0,0,F53/$D53)))</f>
        <v/>
      </c>
      <c r="H53" s="3">
        <f>IF($A53="","",IF($B53="","",IF(TODAY()&lt;$B53+60,"-",SUMPRODUCT(('Picked Students (raw)'!$B$2:$B$824=$A53)*('Picked Students (raw)'!$E$2:$E$824="Fresher")*('Picked Students (raw)'!$C$2:$C$824&lt;&gt;"")*(('Picked Students (raw)'!$C$2:$C$824-$B53)&lt;60)))))</f>
        <v/>
      </c>
      <c r="I53" s="5">
        <f>IF($A53="","",IF(H53="-","-",IF($D53=0,0,H53/$D53)))</f>
        <v/>
      </c>
      <c r="J53" s="3">
        <f>IF($A53="","",IF($B53="","",IF(TODAY()&lt;$B53+90,"-",SUMPRODUCT(('Picked Students (raw)'!$B$2:$B$824=$A53)*('Picked Students (raw)'!$E$2:$E$824="Fresher")*('Picked Students (raw)'!$C$2:$C$824&lt;&gt;"")*(('Picked Students (raw)'!$C$2:$C$824-$B53)&lt;90)))))</f>
        <v/>
      </c>
      <c r="K53" s="5">
        <f>IF($A53="","",IF(J53="-","-",IF($D53=0,0,J53/$D53)))</f>
        <v/>
      </c>
      <c r="L53" s="3">
        <f>IF($A53="","",IF($B53="","",IF(TODAY()&lt;$B53+120,"-",SUMPRODUCT(('Picked Students (raw)'!$B$2:$B$824=$A53)*('Picked Students (raw)'!$E$2:$E$824="Fresher")*('Picked Students (raw)'!$C$2:$C$824&lt;&gt;"")*(('Picked Students (raw)'!$C$2:$C$824-$B53)&lt;120)))))</f>
        <v/>
      </c>
      <c r="M53" s="5">
        <f>IF($A53="","",IF(L53="-","-",IF($D53=0,0,L53/$D53)))</f>
        <v/>
      </c>
      <c r="N53" s="3">
        <f>IF($A53="","",IF($B53="","",IF(TODAY()&lt;$B53+150,"-",SUMPRODUCT(('Picked Students (raw)'!$B$2:$B$824=$A53)*('Picked Students (raw)'!$E$2:$E$824="Fresher")*('Picked Students (raw)'!$C$2:$C$824&lt;&gt;"")*(('Picked Students (raw)'!$C$2:$C$824-$B53)&lt;150)))))</f>
        <v/>
      </c>
      <c r="O53" s="5">
        <f>IF($A53="","",IF(N53="-","-",IF($D53=0,0,N53/$D53)))</f>
        <v/>
      </c>
      <c r="P53" s="3">
        <f>IF($A53="","",IF($B53="","",IF(TODAY()&lt;$B53+180,"-",SUMPRODUCT(('Picked Students (raw)'!$B$2:$B$824=$A53)*('Picked Students (raw)'!$E$2:$E$824="Fresher")*('Picked Students (raw)'!$C$2:$C$824&lt;&gt;"")*(('Picked Students (raw)'!$C$2:$C$824-$B53)&lt;180)))))</f>
        <v/>
      </c>
      <c r="Q53" s="5">
        <f>IF($A53="","",IF(P53="-","-",IF($D53=0,0,P53/$D53)))</f>
        <v/>
      </c>
      <c r="R53" s="3">
        <f>IF($A53="","",IF($B53="","",IF(TODAY()&lt;$B53+210,"-",SUMPRODUCT(('Picked Students (raw)'!$B$2:$B$824=$A53)*('Picked Students (raw)'!$E$2:$E$824="Fresher")*('Picked Students (raw)'!$C$2:$C$824&lt;&gt;"")*(('Picked Students (raw)'!$C$2:$C$824-$B53)&lt;210)))))</f>
        <v/>
      </c>
      <c r="S53" s="5">
        <f>IF($A53="","",IF(R53="-","-",IF($D53=0,0,R53/$D53)))</f>
        <v/>
      </c>
      <c r="T53" s="3">
        <f>IF($A53="","",IF($B53="","",IF(TODAY()&lt;$B53+240,"-",SUMPRODUCT(('Picked Students (raw)'!$B$2:$B$824=$A53)*('Picked Students (raw)'!$E$2:$E$824="Fresher")*('Picked Students (raw)'!$C$2:$C$824&lt;&gt;"")*(('Picked Students (raw)'!$C$2:$C$824-$B53)&lt;240)))))</f>
        <v/>
      </c>
      <c r="U53" s="5">
        <f>IF($A53="","",IF(T53="-","-",IF($D53=0,0,T53/$D53)))</f>
        <v/>
      </c>
      <c r="V53" s="3">
        <f>IF($A53="","",IF($B53="","",IF(TODAY()&lt;$B53+270,"-",SUMPRODUCT(('Picked Students (raw)'!$B$2:$B$824=$A53)*('Picked Students (raw)'!$E$2:$E$824="Fresher")*('Picked Students (raw)'!$C$2:$C$824&lt;&gt;"")*(('Picked Students (raw)'!$C$2:$C$824-$B53)&lt;270)))))</f>
        <v/>
      </c>
      <c r="W53" s="5">
        <f>IF($A53="","",IF(V53="-","-",IF($D53=0,0,V53/$D53)))</f>
        <v/>
      </c>
      <c r="X53" s="3">
        <f>IF($A53="","",IF($B53="","",IF(TODAY()&lt;$B53+300,"-",SUMPRODUCT(('Picked Students (raw)'!$B$2:$B$824=$A53)*('Picked Students (raw)'!$E$2:$E$824="Fresher")*('Picked Students (raw)'!$C$2:$C$824&lt;&gt;"")*(('Picked Students (raw)'!$C$2:$C$824-$B53)&lt;300)))))</f>
        <v/>
      </c>
      <c r="Y53" s="5">
        <f>IF($A53="","",IF(X53="-","-",IF($D53=0,0,X53/$D53)))</f>
        <v/>
      </c>
      <c r="Z53" s="3">
        <f>IF($A53="","",IF($B53="","",IF(TODAY()&lt;$B53+330,"-",SUMPRODUCT(('Picked Students (raw)'!$B$2:$B$824=$A53)*('Picked Students (raw)'!$E$2:$E$824="Fresher")*('Picked Students (raw)'!$C$2:$C$824&lt;&gt;"")*(('Picked Students (raw)'!$C$2:$C$824-$B53)&lt;330)))))</f>
        <v/>
      </c>
      <c r="AA53" s="5">
        <f>IF($A53="","",IF(Z53="-","-",IF($D53=0,0,Z53/$D53)))</f>
        <v/>
      </c>
      <c r="AB53" s="3">
        <f>IF($A53="","",IF($B53="","",IF(TODAY()&lt;$B53+360,"-",SUMPRODUCT(('Picked Students (raw)'!$B$2:$B$824=$A53)*('Picked Students (raw)'!$E$2:$E$824="Fresher")*('Picked Students (raw)'!$C$2:$C$824&lt;&gt;"")*(('Picked Students (raw)'!$C$2:$C$824-$B53)&lt;360)))))</f>
        <v/>
      </c>
      <c r="AC53" s="5">
        <f>IF($A53="","",IF(AB53="-","-",IF($D53=0,0,AB53/$D53)))</f>
        <v/>
      </c>
      <c r="AD53" s="3">
        <f>IF($A53="","",IF($B53="","",IF(TODAY()&lt;$B53+390,"-",SUMPRODUCT(('Picked Students (raw)'!$B$2:$B$824=$A53)*('Picked Students (raw)'!$E$2:$E$824="Fresher")*('Picked Students (raw)'!$C$2:$C$824&lt;&gt;"")*(('Picked Students (raw)'!$C$2:$C$824-$B53)&lt;390)))))</f>
        <v/>
      </c>
      <c r="AE53" s="5">
        <f>IF($A53="","",IF(AD53="-","-",IF($D53=0,0,AD53/$D53)))</f>
        <v/>
      </c>
      <c r="AF53" s="3">
        <f>IF($A53="","",IF($B53="","",IF(TODAY()&lt;$B53+420,"-",SUMPRODUCT(('Picked Students (raw)'!$B$2:$B$824=$A53)*('Picked Students (raw)'!$E$2:$E$824="Fresher")*('Picked Students (raw)'!$C$2:$C$824&lt;&gt;"")*(('Picked Students (raw)'!$C$2:$C$824-$B53)&lt;420)))))</f>
        <v/>
      </c>
      <c r="AG53" s="5">
        <f>IF($A53="","",IF(AF53="-","-",IF($D53=0,0,AF53/$D53)))</f>
        <v/>
      </c>
      <c r="AH53" s="3">
        <f>IF($A53="","",IF($B53="","",IF(TODAY()&lt;$B53+450,"-",SUMPRODUCT(('Picked Students (raw)'!$B$2:$B$824=$A53)*('Picked Students (raw)'!$E$2:$E$824="Fresher")*('Picked Students (raw)'!$C$2:$C$824&lt;&gt;"")*(('Picked Students (raw)'!$C$2:$C$824-$B53)&lt;450)))))</f>
        <v/>
      </c>
      <c r="AI53" s="5">
        <f>IF($A53="","",IF(AH53="-","-",IF($D53=0,0,AH53/$D53)))</f>
        <v/>
      </c>
      <c r="AJ53" s="3">
        <f>IF($A53="","",IF($B53="","",IF(TODAY()&lt;$B53+480,"-",SUMPRODUCT(('Picked Students (raw)'!$B$2:$B$824=$A53)*('Picked Students (raw)'!$E$2:$E$824="Fresher")*('Picked Students (raw)'!$C$2:$C$824&lt;&gt;"")*(('Picked Students (raw)'!$C$2:$C$824-$B53)&lt;480)))))</f>
        <v/>
      </c>
      <c r="AK53" s="5">
        <f>IF($A53="","",IF(AJ53="-","-",IF($D53=0,0,AJ53/$D53)))</f>
        <v/>
      </c>
      <c r="AL53" s="3">
        <f>IF($A53="","",IF($B53="","",IF(TODAY()&lt;$B53+510,"-",SUMPRODUCT(('Picked Students (raw)'!$B$2:$B$824=$A53)*('Picked Students (raw)'!$E$2:$E$824="Fresher")*('Picked Students (raw)'!$C$2:$C$824&lt;&gt;"")*(('Picked Students (raw)'!$C$2:$C$824-$B53)&lt;510)))))</f>
        <v/>
      </c>
      <c r="AM53" s="5">
        <f>IF($A53="","",IF(AL53="-","-",IF($D53=0,0,AL53/$D53)))</f>
        <v/>
      </c>
      <c r="AN53" s="3">
        <f>IF($A53="","",IF($B53="","",IF(TODAY()&lt;$B53+540,"-",SUMPRODUCT(('Picked Students (raw)'!$B$2:$B$824=$A53)*('Picked Students (raw)'!$E$2:$E$824="Fresher")*('Picked Students (raw)'!$C$2:$C$824&lt;&gt;"")*(('Picked Students (raw)'!$C$2:$C$824-$B53)&lt;540)))))</f>
        <v/>
      </c>
      <c r="AO53" s="5">
        <f>IF($A53="","",IF(AN53="-","-",IF($D53=0,0,AN53/$D53)))</f>
        <v/>
      </c>
      <c r="AP53" s="3">
        <f>IF($A53="","",IF(AN53="-","-",$E53-AN53))</f>
        <v/>
      </c>
    </row>
    <row r="54">
      <c r="A54" s="3" t="n"/>
      <c r="B54" s="4">
        <f>IF($A54="","",IFERROR(INDEX('Batch Enrollment (Metabase)'!$D$2:$D$47,MATCH($A54,'Batch Enrollment (Metabase)'!$A$2:$A$47,0)),""))</f>
        <v/>
      </c>
      <c r="C54" s="3">
        <f>IF($A54="","",IFERROR(INDEX('Batch Enrollment (Metabase)'!$E$2:$E$47,MATCH($A54,'Batch Enrollment (Metabase)'!$A$2:$A$47,0)),""))</f>
        <v/>
      </c>
      <c r="D54" s="3">
        <f>IF($A54="","",IFERROR(INDEX('Batch Enrollment (Metabase)'!$F$2:$F$47,MATCH($A54,'Batch Enrollment (Metabase)'!$A$2:$A$47,0)),""))</f>
        <v/>
      </c>
      <c r="E54" s="3">
        <f>IF($A54="","",COUNTIFS('Picked Students (raw)'!$B$2:$B$824,$A54,'Picked Students (raw)'!$E$2:$E$824,"Fresher"))</f>
        <v/>
      </c>
      <c r="F54" s="3">
        <f>IF($A54="","",IF($B54="","",IF(TODAY()&lt;$B54+30,"-",SUMPRODUCT(('Picked Students (raw)'!$B$2:$B$824=$A54)*('Picked Students (raw)'!$E$2:$E$824="Fresher")*('Picked Students (raw)'!$C$2:$C$824&lt;&gt;"")*(('Picked Students (raw)'!$C$2:$C$824-$B54)&lt;30)))))</f>
        <v/>
      </c>
      <c r="G54" s="5">
        <f>IF($A54="","",IF(F54="-","-",IF($D54=0,0,F54/$D54)))</f>
        <v/>
      </c>
      <c r="H54" s="3">
        <f>IF($A54="","",IF($B54="","",IF(TODAY()&lt;$B54+60,"-",SUMPRODUCT(('Picked Students (raw)'!$B$2:$B$824=$A54)*('Picked Students (raw)'!$E$2:$E$824="Fresher")*('Picked Students (raw)'!$C$2:$C$824&lt;&gt;"")*(('Picked Students (raw)'!$C$2:$C$824-$B54)&lt;60)))))</f>
        <v/>
      </c>
      <c r="I54" s="5">
        <f>IF($A54="","",IF(H54="-","-",IF($D54=0,0,H54/$D54)))</f>
        <v/>
      </c>
      <c r="J54" s="3">
        <f>IF($A54="","",IF($B54="","",IF(TODAY()&lt;$B54+90,"-",SUMPRODUCT(('Picked Students (raw)'!$B$2:$B$824=$A54)*('Picked Students (raw)'!$E$2:$E$824="Fresher")*('Picked Students (raw)'!$C$2:$C$824&lt;&gt;"")*(('Picked Students (raw)'!$C$2:$C$824-$B54)&lt;90)))))</f>
        <v/>
      </c>
      <c r="K54" s="5">
        <f>IF($A54="","",IF(J54="-","-",IF($D54=0,0,J54/$D54)))</f>
        <v/>
      </c>
      <c r="L54" s="3">
        <f>IF($A54="","",IF($B54="","",IF(TODAY()&lt;$B54+120,"-",SUMPRODUCT(('Picked Students (raw)'!$B$2:$B$824=$A54)*('Picked Students (raw)'!$E$2:$E$824="Fresher")*('Picked Students (raw)'!$C$2:$C$824&lt;&gt;"")*(('Picked Students (raw)'!$C$2:$C$824-$B54)&lt;120)))))</f>
        <v/>
      </c>
      <c r="M54" s="5">
        <f>IF($A54="","",IF(L54="-","-",IF($D54=0,0,L54/$D54)))</f>
        <v/>
      </c>
      <c r="N54" s="3">
        <f>IF($A54="","",IF($B54="","",IF(TODAY()&lt;$B54+150,"-",SUMPRODUCT(('Picked Students (raw)'!$B$2:$B$824=$A54)*('Picked Students (raw)'!$E$2:$E$824="Fresher")*('Picked Students (raw)'!$C$2:$C$824&lt;&gt;"")*(('Picked Students (raw)'!$C$2:$C$824-$B54)&lt;150)))))</f>
        <v/>
      </c>
      <c r="O54" s="5">
        <f>IF($A54="","",IF(N54="-","-",IF($D54=0,0,N54/$D54)))</f>
        <v/>
      </c>
      <c r="P54" s="3">
        <f>IF($A54="","",IF($B54="","",IF(TODAY()&lt;$B54+180,"-",SUMPRODUCT(('Picked Students (raw)'!$B$2:$B$824=$A54)*('Picked Students (raw)'!$E$2:$E$824="Fresher")*('Picked Students (raw)'!$C$2:$C$824&lt;&gt;"")*(('Picked Students (raw)'!$C$2:$C$824-$B54)&lt;180)))))</f>
        <v/>
      </c>
      <c r="Q54" s="5">
        <f>IF($A54="","",IF(P54="-","-",IF($D54=0,0,P54/$D54)))</f>
        <v/>
      </c>
      <c r="R54" s="3">
        <f>IF($A54="","",IF($B54="","",IF(TODAY()&lt;$B54+210,"-",SUMPRODUCT(('Picked Students (raw)'!$B$2:$B$824=$A54)*('Picked Students (raw)'!$E$2:$E$824="Fresher")*('Picked Students (raw)'!$C$2:$C$824&lt;&gt;"")*(('Picked Students (raw)'!$C$2:$C$824-$B54)&lt;210)))))</f>
        <v/>
      </c>
      <c r="S54" s="5">
        <f>IF($A54="","",IF(R54="-","-",IF($D54=0,0,R54/$D54)))</f>
        <v/>
      </c>
      <c r="T54" s="3">
        <f>IF($A54="","",IF($B54="","",IF(TODAY()&lt;$B54+240,"-",SUMPRODUCT(('Picked Students (raw)'!$B$2:$B$824=$A54)*('Picked Students (raw)'!$E$2:$E$824="Fresher")*('Picked Students (raw)'!$C$2:$C$824&lt;&gt;"")*(('Picked Students (raw)'!$C$2:$C$824-$B54)&lt;240)))))</f>
        <v/>
      </c>
      <c r="U54" s="5">
        <f>IF($A54="","",IF(T54="-","-",IF($D54=0,0,T54/$D54)))</f>
        <v/>
      </c>
      <c r="V54" s="3">
        <f>IF($A54="","",IF($B54="","",IF(TODAY()&lt;$B54+270,"-",SUMPRODUCT(('Picked Students (raw)'!$B$2:$B$824=$A54)*('Picked Students (raw)'!$E$2:$E$824="Fresher")*('Picked Students (raw)'!$C$2:$C$824&lt;&gt;"")*(('Picked Students (raw)'!$C$2:$C$824-$B54)&lt;270)))))</f>
        <v/>
      </c>
      <c r="W54" s="5">
        <f>IF($A54="","",IF(V54="-","-",IF($D54=0,0,V54/$D54)))</f>
        <v/>
      </c>
      <c r="X54" s="3">
        <f>IF($A54="","",IF($B54="","",IF(TODAY()&lt;$B54+300,"-",SUMPRODUCT(('Picked Students (raw)'!$B$2:$B$824=$A54)*('Picked Students (raw)'!$E$2:$E$824="Fresher")*('Picked Students (raw)'!$C$2:$C$824&lt;&gt;"")*(('Picked Students (raw)'!$C$2:$C$824-$B54)&lt;300)))))</f>
        <v/>
      </c>
      <c r="Y54" s="5">
        <f>IF($A54="","",IF(X54="-","-",IF($D54=0,0,X54/$D54)))</f>
        <v/>
      </c>
      <c r="Z54" s="3">
        <f>IF($A54="","",IF($B54="","",IF(TODAY()&lt;$B54+330,"-",SUMPRODUCT(('Picked Students (raw)'!$B$2:$B$824=$A54)*('Picked Students (raw)'!$E$2:$E$824="Fresher")*('Picked Students (raw)'!$C$2:$C$824&lt;&gt;"")*(('Picked Students (raw)'!$C$2:$C$824-$B54)&lt;330)))))</f>
        <v/>
      </c>
      <c r="AA54" s="5">
        <f>IF($A54="","",IF(Z54="-","-",IF($D54=0,0,Z54/$D54)))</f>
        <v/>
      </c>
      <c r="AB54" s="3">
        <f>IF($A54="","",IF($B54="","",IF(TODAY()&lt;$B54+360,"-",SUMPRODUCT(('Picked Students (raw)'!$B$2:$B$824=$A54)*('Picked Students (raw)'!$E$2:$E$824="Fresher")*('Picked Students (raw)'!$C$2:$C$824&lt;&gt;"")*(('Picked Students (raw)'!$C$2:$C$824-$B54)&lt;360)))))</f>
        <v/>
      </c>
      <c r="AC54" s="5">
        <f>IF($A54="","",IF(AB54="-","-",IF($D54=0,0,AB54/$D54)))</f>
        <v/>
      </c>
      <c r="AD54" s="3">
        <f>IF($A54="","",IF($B54="","",IF(TODAY()&lt;$B54+390,"-",SUMPRODUCT(('Picked Students (raw)'!$B$2:$B$824=$A54)*('Picked Students (raw)'!$E$2:$E$824="Fresher")*('Picked Students (raw)'!$C$2:$C$824&lt;&gt;"")*(('Picked Students (raw)'!$C$2:$C$824-$B54)&lt;390)))))</f>
        <v/>
      </c>
      <c r="AE54" s="5">
        <f>IF($A54="","",IF(AD54="-","-",IF($D54=0,0,AD54/$D54)))</f>
        <v/>
      </c>
      <c r="AF54" s="3">
        <f>IF($A54="","",IF($B54="","",IF(TODAY()&lt;$B54+420,"-",SUMPRODUCT(('Picked Students (raw)'!$B$2:$B$824=$A54)*('Picked Students (raw)'!$E$2:$E$824="Fresher")*('Picked Students (raw)'!$C$2:$C$824&lt;&gt;"")*(('Picked Students (raw)'!$C$2:$C$824-$B54)&lt;420)))))</f>
        <v/>
      </c>
      <c r="AG54" s="5">
        <f>IF($A54="","",IF(AF54="-","-",IF($D54=0,0,AF54/$D54)))</f>
        <v/>
      </c>
      <c r="AH54" s="3">
        <f>IF($A54="","",IF($B54="","",IF(TODAY()&lt;$B54+450,"-",SUMPRODUCT(('Picked Students (raw)'!$B$2:$B$824=$A54)*('Picked Students (raw)'!$E$2:$E$824="Fresher")*('Picked Students (raw)'!$C$2:$C$824&lt;&gt;"")*(('Picked Students (raw)'!$C$2:$C$824-$B54)&lt;450)))))</f>
        <v/>
      </c>
      <c r="AI54" s="5">
        <f>IF($A54="","",IF(AH54="-","-",IF($D54=0,0,AH54/$D54)))</f>
        <v/>
      </c>
      <c r="AJ54" s="3">
        <f>IF($A54="","",IF($B54="","",IF(TODAY()&lt;$B54+480,"-",SUMPRODUCT(('Picked Students (raw)'!$B$2:$B$824=$A54)*('Picked Students (raw)'!$E$2:$E$824="Fresher")*('Picked Students (raw)'!$C$2:$C$824&lt;&gt;"")*(('Picked Students (raw)'!$C$2:$C$824-$B54)&lt;480)))))</f>
        <v/>
      </c>
      <c r="AK54" s="5">
        <f>IF($A54="","",IF(AJ54="-","-",IF($D54=0,0,AJ54/$D54)))</f>
        <v/>
      </c>
      <c r="AL54" s="3">
        <f>IF($A54="","",IF($B54="","",IF(TODAY()&lt;$B54+510,"-",SUMPRODUCT(('Picked Students (raw)'!$B$2:$B$824=$A54)*('Picked Students (raw)'!$E$2:$E$824="Fresher")*('Picked Students (raw)'!$C$2:$C$824&lt;&gt;"")*(('Picked Students (raw)'!$C$2:$C$824-$B54)&lt;510)))))</f>
        <v/>
      </c>
      <c r="AM54" s="5">
        <f>IF($A54="","",IF(AL54="-","-",IF($D54=0,0,AL54/$D54)))</f>
        <v/>
      </c>
      <c r="AN54" s="3">
        <f>IF($A54="","",IF($B54="","",IF(TODAY()&lt;$B54+540,"-",SUMPRODUCT(('Picked Students (raw)'!$B$2:$B$824=$A54)*('Picked Students (raw)'!$E$2:$E$824="Fresher")*('Picked Students (raw)'!$C$2:$C$824&lt;&gt;"")*(('Picked Students (raw)'!$C$2:$C$824-$B54)&lt;540)))))</f>
        <v/>
      </c>
      <c r="AO54" s="5">
        <f>IF($A54="","",IF(AN54="-","-",IF($D54=0,0,AN54/$D54)))</f>
        <v/>
      </c>
      <c r="AP54" s="3">
        <f>IF($A54="","",IF(AN54="-","-",$E54-AN54))</f>
        <v/>
      </c>
    </row>
    <row r="55">
      <c r="A55" s="3" t="n"/>
      <c r="B55" s="4">
        <f>IF($A55="","",IFERROR(INDEX('Batch Enrollment (Metabase)'!$D$2:$D$47,MATCH($A55,'Batch Enrollment (Metabase)'!$A$2:$A$47,0)),""))</f>
        <v/>
      </c>
      <c r="C55" s="3">
        <f>IF($A55="","",IFERROR(INDEX('Batch Enrollment (Metabase)'!$E$2:$E$47,MATCH($A55,'Batch Enrollment (Metabase)'!$A$2:$A$47,0)),""))</f>
        <v/>
      </c>
      <c r="D55" s="3">
        <f>IF($A55="","",IFERROR(INDEX('Batch Enrollment (Metabase)'!$F$2:$F$47,MATCH($A55,'Batch Enrollment (Metabase)'!$A$2:$A$47,0)),""))</f>
        <v/>
      </c>
      <c r="E55" s="3">
        <f>IF($A55="","",COUNTIFS('Picked Students (raw)'!$B$2:$B$824,$A55,'Picked Students (raw)'!$E$2:$E$824,"Fresher"))</f>
        <v/>
      </c>
      <c r="F55" s="3">
        <f>IF($A55="","",IF($B55="","",IF(TODAY()&lt;$B55+30,"-",SUMPRODUCT(('Picked Students (raw)'!$B$2:$B$824=$A55)*('Picked Students (raw)'!$E$2:$E$824="Fresher")*('Picked Students (raw)'!$C$2:$C$824&lt;&gt;"")*(('Picked Students (raw)'!$C$2:$C$824-$B55)&lt;30)))))</f>
        <v/>
      </c>
      <c r="G55" s="5">
        <f>IF($A55="","",IF(F55="-","-",IF($D55=0,0,F55/$D55)))</f>
        <v/>
      </c>
      <c r="H55" s="3">
        <f>IF($A55="","",IF($B55="","",IF(TODAY()&lt;$B55+60,"-",SUMPRODUCT(('Picked Students (raw)'!$B$2:$B$824=$A55)*('Picked Students (raw)'!$E$2:$E$824="Fresher")*('Picked Students (raw)'!$C$2:$C$824&lt;&gt;"")*(('Picked Students (raw)'!$C$2:$C$824-$B55)&lt;60)))))</f>
        <v/>
      </c>
      <c r="I55" s="5">
        <f>IF($A55="","",IF(H55="-","-",IF($D55=0,0,H55/$D55)))</f>
        <v/>
      </c>
      <c r="J55" s="3">
        <f>IF($A55="","",IF($B55="","",IF(TODAY()&lt;$B55+90,"-",SUMPRODUCT(('Picked Students (raw)'!$B$2:$B$824=$A55)*('Picked Students (raw)'!$E$2:$E$824="Fresher")*('Picked Students (raw)'!$C$2:$C$824&lt;&gt;"")*(('Picked Students (raw)'!$C$2:$C$824-$B55)&lt;90)))))</f>
        <v/>
      </c>
      <c r="K55" s="5">
        <f>IF($A55="","",IF(J55="-","-",IF($D55=0,0,J55/$D55)))</f>
        <v/>
      </c>
      <c r="L55" s="3">
        <f>IF($A55="","",IF($B55="","",IF(TODAY()&lt;$B55+120,"-",SUMPRODUCT(('Picked Students (raw)'!$B$2:$B$824=$A55)*('Picked Students (raw)'!$E$2:$E$824="Fresher")*('Picked Students (raw)'!$C$2:$C$824&lt;&gt;"")*(('Picked Students (raw)'!$C$2:$C$824-$B55)&lt;120)))))</f>
        <v/>
      </c>
      <c r="M55" s="5">
        <f>IF($A55="","",IF(L55="-","-",IF($D55=0,0,L55/$D55)))</f>
        <v/>
      </c>
      <c r="N55" s="3">
        <f>IF($A55="","",IF($B55="","",IF(TODAY()&lt;$B55+150,"-",SUMPRODUCT(('Picked Students (raw)'!$B$2:$B$824=$A55)*('Picked Students (raw)'!$E$2:$E$824="Fresher")*('Picked Students (raw)'!$C$2:$C$824&lt;&gt;"")*(('Picked Students (raw)'!$C$2:$C$824-$B55)&lt;150)))))</f>
        <v/>
      </c>
      <c r="O55" s="5">
        <f>IF($A55="","",IF(N55="-","-",IF($D55=0,0,N55/$D55)))</f>
        <v/>
      </c>
      <c r="P55" s="3">
        <f>IF($A55="","",IF($B55="","",IF(TODAY()&lt;$B55+180,"-",SUMPRODUCT(('Picked Students (raw)'!$B$2:$B$824=$A55)*('Picked Students (raw)'!$E$2:$E$824="Fresher")*('Picked Students (raw)'!$C$2:$C$824&lt;&gt;"")*(('Picked Students (raw)'!$C$2:$C$824-$B55)&lt;180)))))</f>
        <v/>
      </c>
      <c r="Q55" s="5">
        <f>IF($A55="","",IF(P55="-","-",IF($D55=0,0,P55/$D55)))</f>
        <v/>
      </c>
      <c r="R55" s="3">
        <f>IF($A55="","",IF($B55="","",IF(TODAY()&lt;$B55+210,"-",SUMPRODUCT(('Picked Students (raw)'!$B$2:$B$824=$A55)*('Picked Students (raw)'!$E$2:$E$824="Fresher")*('Picked Students (raw)'!$C$2:$C$824&lt;&gt;"")*(('Picked Students (raw)'!$C$2:$C$824-$B55)&lt;210)))))</f>
        <v/>
      </c>
      <c r="S55" s="5">
        <f>IF($A55="","",IF(R55="-","-",IF($D55=0,0,R55/$D55)))</f>
        <v/>
      </c>
      <c r="T55" s="3">
        <f>IF($A55="","",IF($B55="","",IF(TODAY()&lt;$B55+240,"-",SUMPRODUCT(('Picked Students (raw)'!$B$2:$B$824=$A55)*('Picked Students (raw)'!$E$2:$E$824="Fresher")*('Picked Students (raw)'!$C$2:$C$824&lt;&gt;"")*(('Picked Students (raw)'!$C$2:$C$824-$B55)&lt;240)))))</f>
        <v/>
      </c>
      <c r="U55" s="5">
        <f>IF($A55="","",IF(T55="-","-",IF($D55=0,0,T55/$D55)))</f>
        <v/>
      </c>
      <c r="V55" s="3">
        <f>IF($A55="","",IF($B55="","",IF(TODAY()&lt;$B55+270,"-",SUMPRODUCT(('Picked Students (raw)'!$B$2:$B$824=$A55)*('Picked Students (raw)'!$E$2:$E$824="Fresher")*('Picked Students (raw)'!$C$2:$C$824&lt;&gt;"")*(('Picked Students (raw)'!$C$2:$C$824-$B55)&lt;270)))))</f>
        <v/>
      </c>
      <c r="W55" s="5">
        <f>IF($A55="","",IF(V55="-","-",IF($D55=0,0,V55/$D55)))</f>
        <v/>
      </c>
      <c r="X55" s="3">
        <f>IF($A55="","",IF($B55="","",IF(TODAY()&lt;$B55+300,"-",SUMPRODUCT(('Picked Students (raw)'!$B$2:$B$824=$A55)*('Picked Students (raw)'!$E$2:$E$824="Fresher")*('Picked Students (raw)'!$C$2:$C$824&lt;&gt;"")*(('Picked Students (raw)'!$C$2:$C$824-$B55)&lt;300)))))</f>
        <v/>
      </c>
      <c r="Y55" s="5">
        <f>IF($A55="","",IF(X55="-","-",IF($D55=0,0,X55/$D55)))</f>
        <v/>
      </c>
      <c r="Z55" s="3">
        <f>IF($A55="","",IF($B55="","",IF(TODAY()&lt;$B55+330,"-",SUMPRODUCT(('Picked Students (raw)'!$B$2:$B$824=$A55)*('Picked Students (raw)'!$E$2:$E$824="Fresher")*('Picked Students (raw)'!$C$2:$C$824&lt;&gt;"")*(('Picked Students (raw)'!$C$2:$C$824-$B55)&lt;330)))))</f>
        <v/>
      </c>
      <c r="AA55" s="5">
        <f>IF($A55="","",IF(Z55="-","-",IF($D55=0,0,Z55/$D55)))</f>
        <v/>
      </c>
      <c r="AB55" s="3">
        <f>IF($A55="","",IF($B55="","",IF(TODAY()&lt;$B55+360,"-",SUMPRODUCT(('Picked Students (raw)'!$B$2:$B$824=$A55)*('Picked Students (raw)'!$E$2:$E$824="Fresher")*('Picked Students (raw)'!$C$2:$C$824&lt;&gt;"")*(('Picked Students (raw)'!$C$2:$C$824-$B55)&lt;360)))))</f>
        <v/>
      </c>
      <c r="AC55" s="5">
        <f>IF($A55="","",IF(AB55="-","-",IF($D55=0,0,AB55/$D55)))</f>
        <v/>
      </c>
      <c r="AD55" s="3">
        <f>IF($A55="","",IF($B55="","",IF(TODAY()&lt;$B55+390,"-",SUMPRODUCT(('Picked Students (raw)'!$B$2:$B$824=$A55)*('Picked Students (raw)'!$E$2:$E$824="Fresher")*('Picked Students (raw)'!$C$2:$C$824&lt;&gt;"")*(('Picked Students (raw)'!$C$2:$C$824-$B55)&lt;390)))))</f>
        <v/>
      </c>
      <c r="AE55" s="5">
        <f>IF($A55="","",IF(AD55="-","-",IF($D55=0,0,AD55/$D55)))</f>
        <v/>
      </c>
      <c r="AF55" s="3">
        <f>IF($A55="","",IF($B55="","",IF(TODAY()&lt;$B55+420,"-",SUMPRODUCT(('Picked Students (raw)'!$B$2:$B$824=$A55)*('Picked Students (raw)'!$E$2:$E$824="Fresher")*('Picked Students (raw)'!$C$2:$C$824&lt;&gt;"")*(('Picked Students (raw)'!$C$2:$C$824-$B55)&lt;420)))))</f>
        <v/>
      </c>
      <c r="AG55" s="5">
        <f>IF($A55="","",IF(AF55="-","-",IF($D55=0,0,AF55/$D55)))</f>
        <v/>
      </c>
      <c r="AH55" s="3">
        <f>IF($A55="","",IF($B55="","",IF(TODAY()&lt;$B55+450,"-",SUMPRODUCT(('Picked Students (raw)'!$B$2:$B$824=$A55)*('Picked Students (raw)'!$E$2:$E$824="Fresher")*('Picked Students (raw)'!$C$2:$C$824&lt;&gt;"")*(('Picked Students (raw)'!$C$2:$C$824-$B55)&lt;450)))))</f>
        <v/>
      </c>
      <c r="AI55" s="5">
        <f>IF($A55="","",IF(AH55="-","-",IF($D55=0,0,AH55/$D55)))</f>
        <v/>
      </c>
      <c r="AJ55" s="3">
        <f>IF($A55="","",IF($B55="","",IF(TODAY()&lt;$B55+480,"-",SUMPRODUCT(('Picked Students (raw)'!$B$2:$B$824=$A55)*('Picked Students (raw)'!$E$2:$E$824="Fresher")*('Picked Students (raw)'!$C$2:$C$824&lt;&gt;"")*(('Picked Students (raw)'!$C$2:$C$824-$B55)&lt;480)))))</f>
        <v/>
      </c>
      <c r="AK55" s="5">
        <f>IF($A55="","",IF(AJ55="-","-",IF($D55=0,0,AJ55/$D55)))</f>
        <v/>
      </c>
      <c r="AL55" s="3">
        <f>IF($A55="","",IF($B55="","",IF(TODAY()&lt;$B55+510,"-",SUMPRODUCT(('Picked Students (raw)'!$B$2:$B$824=$A55)*('Picked Students (raw)'!$E$2:$E$824="Fresher")*('Picked Students (raw)'!$C$2:$C$824&lt;&gt;"")*(('Picked Students (raw)'!$C$2:$C$824-$B55)&lt;510)))))</f>
        <v/>
      </c>
      <c r="AM55" s="5">
        <f>IF($A55="","",IF(AL55="-","-",IF($D55=0,0,AL55/$D55)))</f>
        <v/>
      </c>
      <c r="AN55" s="3">
        <f>IF($A55="","",IF($B55="","",IF(TODAY()&lt;$B55+540,"-",SUMPRODUCT(('Picked Students (raw)'!$B$2:$B$824=$A55)*('Picked Students (raw)'!$E$2:$E$824="Fresher")*('Picked Students (raw)'!$C$2:$C$824&lt;&gt;"")*(('Picked Students (raw)'!$C$2:$C$824-$B55)&lt;540)))))</f>
        <v/>
      </c>
      <c r="AO55" s="5">
        <f>IF($A55="","",IF(AN55="-","-",IF($D55=0,0,AN55/$D55)))</f>
        <v/>
      </c>
      <c r="AP55" s="3">
        <f>IF($A55="","",IF(AN55="-","-",$E55-AN55))</f>
        <v/>
      </c>
    </row>
    <row r="56">
      <c r="A56" s="3" t="n"/>
      <c r="B56" s="4">
        <f>IF($A56="","",IFERROR(INDEX('Batch Enrollment (Metabase)'!$D$2:$D$47,MATCH($A56,'Batch Enrollment (Metabase)'!$A$2:$A$47,0)),""))</f>
        <v/>
      </c>
      <c r="C56" s="3">
        <f>IF($A56="","",IFERROR(INDEX('Batch Enrollment (Metabase)'!$E$2:$E$47,MATCH($A56,'Batch Enrollment (Metabase)'!$A$2:$A$47,0)),""))</f>
        <v/>
      </c>
      <c r="D56" s="3">
        <f>IF($A56="","",IFERROR(INDEX('Batch Enrollment (Metabase)'!$F$2:$F$47,MATCH($A56,'Batch Enrollment (Metabase)'!$A$2:$A$47,0)),""))</f>
        <v/>
      </c>
      <c r="E56" s="3">
        <f>IF($A56="","",COUNTIFS('Picked Students (raw)'!$B$2:$B$824,$A56,'Picked Students (raw)'!$E$2:$E$824,"Fresher"))</f>
        <v/>
      </c>
      <c r="F56" s="3">
        <f>IF($A56="","",IF($B56="","",IF(TODAY()&lt;$B56+30,"-",SUMPRODUCT(('Picked Students (raw)'!$B$2:$B$824=$A56)*('Picked Students (raw)'!$E$2:$E$824="Fresher")*('Picked Students (raw)'!$C$2:$C$824&lt;&gt;"")*(('Picked Students (raw)'!$C$2:$C$824-$B56)&lt;30)))))</f>
        <v/>
      </c>
      <c r="G56" s="5">
        <f>IF($A56="","",IF(F56="-","-",IF($D56=0,0,F56/$D56)))</f>
        <v/>
      </c>
      <c r="H56" s="3">
        <f>IF($A56="","",IF($B56="","",IF(TODAY()&lt;$B56+60,"-",SUMPRODUCT(('Picked Students (raw)'!$B$2:$B$824=$A56)*('Picked Students (raw)'!$E$2:$E$824="Fresher")*('Picked Students (raw)'!$C$2:$C$824&lt;&gt;"")*(('Picked Students (raw)'!$C$2:$C$824-$B56)&lt;60)))))</f>
        <v/>
      </c>
      <c r="I56" s="5">
        <f>IF($A56="","",IF(H56="-","-",IF($D56=0,0,H56/$D56)))</f>
        <v/>
      </c>
      <c r="J56" s="3">
        <f>IF($A56="","",IF($B56="","",IF(TODAY()&lt;$B56+90,"-",SUMPRODUCT(('Picked Students (raw)'!$B$2:$B$824=$A56)*('Picked Students (raw)'!$E$2:$E$824="Fresher")*('Picked Students (raw)'!$C$2:$C$824&lt;&gt;"")*(('Picked Students (raw)'!$C$2:$C$824-$B56)&lt;90)))))</f>
        <v/>
      </c>
      <c r="K56" s="5">
        <f>IF($A56="","",IF(J56="-","-",IF($D56=0,0,J56/$D56)))</f>
        <v/>
      </c>
      <c r="L56" s="3">
        <f>IF($A56="","",IF($B56="","",IF(TODAY()&lt;$B56+120,"-",SUMPRODUCT(('Picked Students (raw)'!$B$2:$B$824=$A56)*('Picked Students (raw)'!$E$2:$E$824="Fresher")*('Picked Students (raw)'!$C$2:$C$824&lt;&gt;"")*(('Picked Students (raw)'!$C$2:$C$824-$B56)&lt;120)))))</f>
        <v/>
      </c>
      <c r="M56" s="5">
        <f>IF($A56="","",IF(L56="-","-",IF($D56=0,0,L56/$D56)))</f>
        <v/>
      </c>
      <c r="N56" s="3">
        <f>IF($A56="","",IF($B56="","",IF(TODAY()&lt;$B56+150,"-",SUMPRODUCT(('Picked Students (raw)'!$B$2:$B$824=$A56)*('Picked Students (raw)'!$E$2:$E$824="Fresher")*('Picked Students (raw)'!$C$2:$C$824&lt;&gt;"")*(('Picked Students (raw)'!$C$2:$C$824-$B56)&lt;150)))))</f>
        <v/>
      </c>
      <c r="O56" s="5">
        <f>IF($A56="","",IF(N56="-","-",IF($D56=0,0,N56/$D56)))</f>
        <v/>
      </c>
      <c r="P56" s="3">
        <f>IF($A56="","",IF($B56="","",IF(TODAY()&lt;$B56+180,"-",SUMPRODUCT(('Picked Students (raw)'!$B$2:$B$824=$A56)*('Picked Students (raw)'!$E$2:$E$824="Fresher")*('Picked Students (raw)'!$C$2:$C$824&lt;&gt;"")*(('Picked Students (raw)'!$C$2:$C$824-$B56)&lt;180)))))</f>
        <v/>
      </c>
      <c r="Q56" s="5">
        <f>IF($A56="","",IF(P56="-","-",IF($D56=0,0,P56/$D56)))</f>
        <v/>
      </c>
      <c r="R56" s="3">
        <f>IF($A56="","",IF($B56="","",IF(TODAY()&lt;$B56+210,"-",SUMPRODUCT(('Picked Students (raw)'!$B$2:$B$824=$A56)*('Picked Students (raw)'!$E$2:$E$824="Fresher")*('Picked Students (raw)'!$C$2:$C$824&lt;&gt;"")*(('Picked Students (raw)'!$C$2:$C$824-$B56)&lt;210)))))</f>
        <v/>
      </c>
      <c r="S56" s="5">
        <f>IF($A56="","",IF(R56="-","-",IF($D56=0,0,R56/$D56)))</f>
        <v/>
      </c>
      <c r="T56" s="3">
        <f>IF($A56="","",IF($B56="","",IF(TODAY()&lt;$B56+240,"-",SUMPRODUCT(('Picked Students (raw)'!$B$2:$B$824=$A56)*('Picked Students (raw)'!$E$2:$E$824="Fresher")*('Picked Students (raw)'!$C$2:$C$824&lt;&gt;"")*(('Picked Students (raw)'!$C$2:$C$824-$B56)&lt;240)))))</f>
        <v/>
      </c>
      <c r="U56" s="5">
        <f>IF($A56="","",IF(T56="-","-",IF($D56=0,0,T56/$D56)))</f>
        <v/>
      </c>
      <c r="V56" s="3">
        <f>IF($A56="","",IF($B56="","",IF(TODAY()&lt;$B56+270,"-",SUMPRODUCT(('Picked Students (raw)'!$B$2:$B$824=$A56)*('Picked Students (raw)'!$E$2:$E$824="Fresher")*('Picked Students (raw)'!$C$2:$C$824&lt;&gt;"")*(('Picked Students (raw)'!$C$2:$C$824-$B56)&lt;270)))))</f>
        <v/>
      </c>
      <c r="W56" s="5">
        <f>IF($A56="","",IF(V56="-","-",IF($D56=0,0,V56/$D56)))</f>
        <v/>
      </c>
      <c r="X56" s="3">
        <f>IF($A56="","",IF($B56="","",IF(TODAY()&lt;$B56+300,"-",SUMPRODUCT(('Picked Students (raw)'!$B$2:$B$824=$A56)*('Picked Students (raw)'!$E$2:$E$824="Fresher")*('Picked Students (raw)'!$C$2:$C$824&lt;&gt;"")*(('Picked Students (raw)'!$C$2:$C$824-$B56)&lt;300)))))</f>
        <v/>
      </c>
      <c r="Y56" s="5">
        <f>IF($A56="","",IF(X56="-","-",IF($D56=0,0,X56/$D56)))</f>
        <v/>
      </c>
      <c r="Z56" s="3">
        <f>IF($A56="","",IF($B56="","",IF(TODAY()&lt;$B56+330,"-",SUMPRODUCT(('Picked Students (raw)'!$B$2:$B$824=$A56)*('Picked Students (raw)'!$E$2:$E$824="Fresher")*('Picked Students (raw)'!$C$2:$C$824&lt;&gt;"")*(('Picked Students (raw)'!$C$2:$C$824-$B56)&lt;330)))))</f>
        <v/>
      </c>
      <c r="AA56" s="5">
        <f>IF($A56="","",IF(Z56="-","-",IF($D56=0,0,Z56/$D56)))</f>
        <v/>
      </c>
      <c r="AB56" s="3">
        <f>IF($A56="","",IF($B56="","",IF(TODAY()&lt;$B56+360,"-",SUMPRODUCT(('Picked Students (raw)'!$B$2:$B$824=$A56)*('Picked Students (raw)'!$E$2:$E$824="Fresher")*('Picked Students (raw)'!$C$2:$C$824&lt;&gt;"")*(('Picked Students (raw)'!$C$2:$C$824-$B56)&lt;360)))))</f>
        <v/>
      </c>
      <c r="AC56" s="5">
        <f>IF($A56="","",IF(AB56="-","-",IF($D56=0,0,AB56/$D56)))</f>
        <v/>
      </c>
      <c r="AD56" s="3">
        <f>IF($A56="","",IF($B56="","",IF(TODAY()&lt;$B56+390,"-",SUMPRODUCT(('Picked Students (raw)'!$B$2:$B$824=$A56)*('Picked Students (raw)'!$E$2:$E$824="Fresher")*('Picked Students (raw)'!$C$2:$C$824&lt;&gt;"")*(('Picked Students (raw)'!$C$2:$C$824-$B56)&lt;390)))))</f>
        <v/>
      </c>
      <c r="AE56" s="5">
        <f>IF($A56="","",IF(AD56="-","-",IF($D56=0,0,AD56/$D56)))</f>
        <v/>
      </c>
      <c r="AF56" s="3">
        <f>IF($A56="","",IF($B56="","",IF(TODAY()&lt;$B56+420,"-",SUMPRODUCT(('Picked Students (raw)'!$B$2:$B$824=$A56)*('Picked Students (raw)'!$E$2:$E$824="Fresher")*('Picked Students (raw)'!$C$2:$C$824&lt;&gt;"")*(('Picked Students (raw)'!$C$2:$C$824-$B56)&lt;420)))))</f>
        <v/>
      </c>
      <c r="AG56" s="5">
        <f>IF($A56="","",IF(AF56="-","-",IF($D56=0,0,AF56/$D56)))</f>
        <v/>
      </c>
      <c r="AH56" s="3">
        <f>IF($A56="","",IF($B56="","",IF(TODAY()&lt;$B56+450,"-",SUMPRODUCT(('Picked Students (raw)'!$B$2:$B$824=$A56)*('Picked Students (raw)'!$E$2:$E$824="Fresher")*('Picked Students (raw)'!$C$2:$C$824&lt;&gt;"")*(('Picked Students (raw)'!$C$2:$C$824-$B56)&lt;450)))))</f>
        <v/>
      </c>
      <c r="AI56" s="5">
        <f>IF($A56="","",IF(AH56="-","-",IF($D56=0,0,AH56/$D56)))</f>
        <v/>
      </c>
      <c r="AJ56" s="3">
        <f>IF($A56="","",IF($B56="","",IF(TODAY()&lt;$B56+480,"-",SUMPRODUCT(('Picked Students (raw)'!$B$2:$B$824=$A56)*('Picked Students (raw)'!$E$2:$E$824="Fresher")*('Picked Students (raw)'!$C$2:$C$824&lt;&gt;"")*(('Picked Students (raw)'!$C$2:$C$824-$B56)&lt;480)))))</f>
        <v/>
      </c>
      <c r="AK56" s="5">
        <f>IF($A56="","",IF(AJ56="-","-",IF($D56=0,0,AJ56/$D56)))</f>
        <v/>
      </c>
      <c r="AL56" s="3">
        <f>IF($A56="","",IF($B56="","",IF(TODAY()&lt;$B56+510,"-",SUMPRODUCT(('Picked Students (raw)'!$B$2:$B$824=$A56)*('Picked Students (raw)'!$E$2:$E$824="Fresher")*('Picked Students (raw)'!$C$2:$C$824&lt;&gt;"")*(('Picked Students (raw)'!$C$2:$C$824-$B56)&lt;510)))))</f>
        <v/>
      </c>
      <c r="AM56" s="5">
        <f>IF($A56="","",IF(AL56="-","-",IF($D56=0,0,AL56/$D56)))</f>
        <v/>
      </c>
      <c r="AN56" s="3">
        <f>IF($A56="","",IF($B56="","",IF(TODAY()&lt;$B56+540,"-",SUMPRODUCT(('Picked Students (raw)'!$B$2:$B$824=$A56)*('Picked Students (raw)'!$E$2:$E$824="Fresher")*('Picked Students (raw)'!$C$2:$C$824&lt;&gt;"")*(('Picked Students (raw)'!$C$2:$C$824-$B56)&lt;540)))))</f>
        <v/>
      </c>
      <c r="AO56" s="5">
        <f>IF($A56="","",IF(AN56="-","-",IF($D56=0,0,AN56/$D56)))</f>
        <v/>
      </c>
      <c r="AP56" s="3">
        <f>IF($A56="","",IF(AN56="-","-",$E56-AN56))</f>
        <v/>
      </c>
    </row>
    <row r="57">
      <c r="A57" s="6" t="inlineStr">
        <is>
          <t>TOTAL</t>
        </is>
      </c>
      <c r="C57" s="6">
        <f>SUM(C2:C56)</f>
        <v/>
      </c>
      <c r="D57" s="6">
        <f>SUM(D2:D56)</f>
        <v/>
      </c>
      <c r="E57" s="6">
        <f>SUM(E2:E56)</f>
        <v/>
      </c>
      <c r="F57" s="6">
        <f>SUM(F2:F56)</f>
        <v/>
      </c>
      <c r="G57" s="7">
        <f>IF(SUM($D$2:$D$56)=0,0,F57/SUM($D$2:$D$56))</f>
        <v/>
      </c>
      <c r="H57" s="6">
        <f>SUM(H2:H56)</f>
        <v/>
      </c>
      <c r="I57" s="7">
        <f>IF(SUM($D$2:$D$56)=0,0,H57/SUM($D$2:$D$56))</f>
        <v/>
      </c>
      <c r="J57" s="6">
        <f>SUM(J2:J56)</f>
        <v/>
      </c>
      <c r="K57" s="7">
        <f>IF(SUM($D$2:$D$56)=0,0,J57/SUM($D$2:$D$56))</f>
        <v/>
      </c>
      <c r="L57" s="6">
        <f>SUM(L2:L56)</f>
        <v/>
      </c>
      <c r="M57" s="7">
        <f>IF(SUM($D$2:$D$56)=0,0,L57/SUM($D$2:$D$56))</f>
        <v/>
      </c>
      <c r="N57" s="6">
        <f>SUM(N2:N56)</f>
        <v/>
      </c>
      <c r="O57" s="7">
        <f>IF(SUM($D$2:$D$56)=0,0,N57/SUM($D$2:$D$56))</f>
        <v/>
      </c>
      <c r="P57" s="6">
        <f>SUM(P2:P56)</f>
        <v/>
      </c>
      <c r="Q57" s="7">
        <f>IF(SUM($D$2:$D$56)=0,0,P57/SUM($D$2:$D$56))</f>
        <v/>
      </c>
      <c r="R57" s="6">
        <f>SUM(R2:R56)</f>
        <v/>
      </c>
      <c r="S57" s="7">
        <f>IF(SUM($D$2:$D$56)=0,0,R57/SUM($D$2:$D$56))</f>
        <v/>
      </c>
      <c r="T57" s="6">
        <f>SUM(T2:T56)</f>
        <v/>
      </c>
      <c r="U57" s="7">
        <f>IF(SUM($D$2:$D$56)=0,0,T57/SUM($D$2:$D$56))</f>
        <v/>
      </c>
      <c r="V57" s="6">
        <f>SUM(V2:V56)</f>
        <v/>
      </c>
      <c r="W57" s="7">
        <f>IF(SUM($D$2:$D$56)=0,0,V57/SUM($D$2:$D$56))</f>
        <v/>
      </c>
      <c r="X57" s="6">
        <f>SUM(X2:X56)</f>
        <v/>
      </c>
      <c r="Y57" s="7">
        <f>IF(SUM($D$2:$D$56)=0,0,X57/SUM($D$2:$D$56))</f>
        <v/>
      </c>
      <c r="Z57" s="6">
        <f>SUM(Z2:Z56)</f>
        <v/>
      </c>
      <c r="AA57" s="7">
        <f>IF(SUM($D$2:$D$56)=0,0,Z57/SUM($D$2:$D$56))</f>
        <v/>
      </c>
      <c r="AB57" s="6">
        <f>SUM(AB2:AB56)</f>
        <v/>
      </c>
      <c r="AC57" s="7">
        <f>IF(SUM($D$2:$D$56)=0,0,AB57/SUM($D$2:$D$56))</f>
        <v/>
      </c>
      <c r="AD57" s="6">
        <f>SUM(AD2:AD56)</f>
        <v/>
      </c>
      <c r="AE57" s="7">
        <f>IF(SUM($D$2:$D$56)=0,0,AD57/SUM($D$2:$D$56))</f>
        <v/>
      </c>
      <c r="AF57" s="6">
        <f>SUM(AF2:AF56)</f>
        <v/>
      </c>
      <c r="AG57" s="7">
        <f>IF(SUM($D$2:$D$56)=0,0,AF57/SUM($D$2:$D$56))</f>
        <v/>
      </c>
      <c r="AH57" s="6">
        <f>SUM(AH2:AH56)</f>
        <v/>
      </c>
      <c r="AI57" s="7">
        <f>IF(SUM($D$2:$D$56)=0,0,AH57/SUM($D$2:$D$56))</f>
        <v/>
      </c>
      <c r="AJ57" s="6">
        <f>SUM(AJ2:AJ56)</f>
        <v/>
      </c>
      <c r="AK57" s="7">
        <f>IF(SUM($D$2:$D$56)=0,0,AJ57/SUM($D$2:$D$56))</f>
        <v/>
      </c>
      <c r="AL57" s="6">
        <f>SUM(AL2:AL56)</f>
        <v/>
      </c>
      <c r="AM57" s="7">
        <f>IF(SUM($D$2:$D$56)=0,0,AL57/SUM($D$2:$D$56))</f>
        <v/>
      </c>
      <c r="AN57" s="6">
        <f>SUM(AN2:AN56)</f>
        <v/>
      </c>
      <c r="AO57" s="7">
        <f>IF(SUM($D$2:$D$56)=0,0,AN57/SUM($D$2:$D$56))</f>
        <v/>
      </c>
      <c r="AP57" s="6">
        <f>E57-AN57</f>
        <v/>
      </c>
    </row>
  </sheetData>
  <conditionalFormatting sqref="G2:G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5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5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5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6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56">
    <cfRule type="colorScale" priority="20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Batch</t>
        </is>
      </c>
      <c r="B1" s="1" t="inlineStr">
        <is>
          <t>Batch Start Date</t>
        </is>
      </c>
      <c r="C1" s="1" t="inlineStr">
        <is>
          <t>Initially Enrolled</t>
        </is>
      </c>
      <c r="D1" s="1" t="inlineStr">
        <is>
          <t>Currently Enrolled</t>
        </is>
      </c>
      <c r="E1" s="1" t="inlineStr">
        <is>
          <t>Picked Students</t>
        </is>
      </c>
      <c r="F1" s="1" t="inlineStr">
        <is>
          <t>Within 30 Days</t>
        </is>
      </c>
      <c r="G1" s="1" t="inlineStr">
        <is>
          <t>% of Currently Enrolled</t>
        </is>
      </c>
      <c r="H1" s="1" t="inlineStr">
        <is>
          <t>Within 60 Days</t>
        </is>
      </c>
      <c r="I1" s="1" t="inlineStr">
        <is>
          <t>% of Currently Enrolled</t>
        </is>
      </c>
      <c r="J1" s="1" t="inlineStr">
        <is>
          <t>Within 90 Days</t>
        </is>
      </c>
      <c r="K1" s="1" t="inlineStr">
        <is>
          <t>% of Currently Enrolled</t>
        </is>
      </c>
      <c r="L1" s="1" t="inlineStr">
        <is>
          <t>Within 120 Days</t>
        </is>
      </c>
      <c r="M1" s="1" t="inlineStr">
        <is>
          <t>% of Currently Enrolled</t>
        </is>
      </c>
      <c r="N1" s="1" t="inlineStr">
        <is>
          <t>Within 150 Days</t>
        </is>
      </c>
      <c r="O1" s="1" t="inlineStr">
        <is>
          <t>% of Currently Enrolled</t>
        </is>
      </c>
      <c r="P1" s="1" t="inlineStr">
        <is>
          <t>Within 180 Days</t>
        </is>
      </c>
      <c r="Q1" s="1" t="inlineStr">
        <is>
          <t>% of Currently Enrolled</t>
        </is>
      </c>
      <c r="R1" s="1" t="inlineStr">
        <is>
          <t>Within 210 Days</t>
        </is>
      </c>
      <c r="S1" s="1" t="inlineStr">
        <is>
          <t>% of Currently Enrolled</t>
        </is>
      </c>
      <c r="T1" s="1" t="inlineStr">
        <is>
          <t>Within 240 Days</t>
        </is>
      </c>
      <c r="U1" s="1" t="inlineStr">
        <is>
          <t>% of Currently Enrolled</t>
        </is>
      </c>
      <c r="V1" s="1" t="inlineStr">
        <is>
          <t>Within 270 Days</t>
        </is>
      </c>
      <c r="W1" s="1" t="inlineStr">
        <is>
          <t>% of Currently Enrolled</t>
        </is>
      </c>
      <c r="X1" s="1" t="inlineStr">
        <is>
          <t>Within 300 Days</t>
        </is>
      </c>
      <c r="Y1" s="1" t="inlineStr">
        <is>
          <t>% of Currently Enrolled</t>
        </is>
      </c>
      <c r="Z1" s="1" t="inlineStr">
        <is>
          <t>Within 330 Days</t>
        </is>
      </c>
      <c r="AA1" s="1" t="inlineStr">
        <is>
          <t>% of Currently Enrolled</t>
        </is>
      </c>
      <c r="AB1" s="1" t="inlineStr">
        <is>
          <t>Within 360 Days</t>
        </is>
      </c>
      <c r="AC1" s="1" t="inlineStr">
        <is>
          <t>% of Currently Enrolled</t>
        </is>
      </c>
      <c r="AD1" s="1" t="inlineStr">
        <is>
          <t>Within 390 Days</t>
        </is>
      </c>
      <c r="AE1" s="1" t="inlineStr">
        <is>
          <t>% of Currently Enrolled</t>
        </is>
      </c>
      <c r="AF1" s="1" t="inlineStr">
        <is>
          <t>Within 420 Days</t>
        </is>
      </c>
      <c r="AG1" s="1" t="inlineStr">
        <is>
          <t>% of Currently Enrolled</t>
        </is>
      </c>
      <c r="AH1" s="1" t="inlineStr">
        <is>
          <t>Within 450 Days</t>
        </is>
      </c>
      <c r="AI1" s="1" t="inlineStr">
        <is>
          <t>% of Currently Enrolled</t>
        </is>
      </c>
      <c r="AJ1" s="1" t="inlineStr">
        <is>
          <t>Within 480 Days</t>
        </is>
      </c>
      <c r="AK1" s="1" t="inlineStr">
        <is>
          <t>% of Currently Enrolled</t>
        </is>
      </c>
      <c r="AL1" s="1" t="inlineStr">
        <is>
          <t>Within 510 Days</t>
        </is>
      </c>
      <c r="AM1" s="1" t="inlineStr">
        <is>
          <t>% of Currently Enrolled</t>
        </is>
      </c>
      <c r="AN1" s="1" t="inlineStr">
        <is>
          <t>Within 540 Days</t>
        </is>
      </c>
      <c r="AO1" s="1" t="inlineStr">
        <is>
          <t>% of Currently Enrolled</t>
        </is>
      </c>
      <c r="AP1" s="1" t="inlineStr">
        <is>
          <t>Not Placed yet</t>
        </is>
      </c>
      <c r="AR1" s="2" t="inlineStr">
        <is>
          <t>Filtered to Picked Students where "Type of Experience" = "Career Gap/ Non Working" (FlyWheel column I). Same "-" and % of Currently Enrolled logic as the main tab.</t>
        </is>
      </c>
    </row>
    <row r="2">
      <c r="A2" s="3" t="inlineStr">
        <is>
          <t>Professional Certificate Course In Data Science - April 2023</t>
        </is>
      </c>
      <c r="B2" s="4">
        <f>IF($A2="","",IFERROR(INDEX('Batch Enrollment (Metabase)'!$D$2:$D$47,MATCH($A2,'Batch Enrollment (Metabase)'!$A$2:$A$47,0)),""))</f>
        <v/>
      </c>
      <c r="C2" s="3">
        <f>IF($A2="","",IFERROR(INDEX('Batch Enrollment (Metabase)'!$E$2:$E$47,MATCH($A2,'Batch Enrollment (Metabase)'!$A$2:$A$47,0)),""))</f>
        <v/>
      </c>
      <c r="D2" s="3">
        <f>IF($A2="","",IFERROR(INDEX('Batch Enrollment (Metabase)'!$F$2:$F$47,MATCH($A2,'Batch Enrollment (Metabase)'!$A$2:$A$47,0)),""))</f>
        <v/>
      </c>
      <c r="E2" s="3">
        <f>IF($A2="","",COUNTIFS('Picked Students (raw)'!$B$2:$B$824,$A2,'Picked Students (raw)'!$E$2:$E$824,"Career Gap/ Non Working"))</f>
        <v/>
      </c>
      <c r="F2" s="3">
        <f>IF($A2="","",IF($B2="","",IF(TODAY()&lt;$B2+30,"-",SUMPRODUCT(('Picked Students (raw)'!$B$2:$B$824=$A2)*('Picked Students (raw)'!$E$2:$E$824="Career Gap/ Non Working")*('Picked Students (raw)'!$C$2:$C$824&lt;&gt;"")*(('Picked Students (raw)'!$C$2:$C$824-$B2)&lt;30)))))</f>
        <v/>
      </c>
      <c r="G2" s="5">
        <f>IF($A2="","",IF(F2="-","-",IF($D2=0,0,F2/$D2)))</f>
        <v/>
      </c>
      <c r="H2" s="3">
        <f>IF($A2="","",IF($B2="","",IF(TODAY()&lt;$B2+60,"-",SUMPRODUCT(('Picked Students (raw)'!$B$2:$B$824=$A2)*('Picked Students (raw)'!$E$2:$E$824="Career Gap/ Non Working")*('Picked Students (raw)'!$C$2:$C$824&lt;&gt;"")*(('Picked Students (raw)'!$C$2:$C$824-$B2)&lt;60)))))</f>
        <v/>
      </c>
      <c r="I2" s="5">
        <f>IF($A2="","",IF(H2="-","-",IF($D2=0,0,H2/$D2)))</f>
        <v/>
      </c>
      <c r="J2" s="3">
        <f>IF($A2="","",IF($B2="","",IF(TODAY()&lt;$B2+90,"-",SUMPRODUCT(('Picked Students (raw)'!$B$2:$B$824=$A2)*('Picked Students (raw)'!$E$2:$E$824="Career Gap/ Non Working")*('Picked Students (raw)'!$C$2:$C$824&lt;&gt;"")*(('Picked Students (raw)'!$C$2:$C$824-$B2)&lt;90)))))</f>
        <v/>
      </c>
      <c r="K2" s="5">
        <f>IF($A2="","",IF(J2="-","-",IF($D2=0,0,J2/$D2)))</f>
        <v/>
      </c>
      <c r="L2" s="3">
        <f>IF($A2="","",IF($B2="","",IF(TODAY()&lt;$B2+120,"-",SUMPRODUCT(('Picked Students (raw)'!$B$2:$B$824=$A2)*('Picked Students (raw)'!$E$2:$E$824="Career Gap/ Non Working")*('Picked Students (raw)'!$C$2:$C$824&lt;&gt;"")*(('Picked Students (raw)'!$C$2:$C$824-$B2)&lt;120)))))</f>
        <v/>
      </c>
      <c r="M2" s="5">
        <f>IF($A2="","",IF(L2="-","-",IF($D2=0,0,L2/$D2)))</f>
        <v/>
      </c>
      <c r="N2" s="3">
        <f>IF($A2="","",IF($B2="","",IF(TODAY()&lt;$B2+150,"-",SUMPRODUCT(('Picked Students (raw)'!$B$2:$B$824=$A2)*('Picked Students (raw)'!$E$2:$E$824="Career Gap/ Non Working")*('Picked Students (raw)'!$C$2:$C$824&lt;&gt;"")*(('Picked Students (raw)'!$C$2:$C$824-$B2)&lt;150)))))</f>
        <v/>
      </c>
      <c r="O2" s="5">
        <f>IF($A2="","",IF(N2="-","-",IF($D2=0,0,N2/$D2)))</f>
        <v/>
      </c>
      <c r="P2" s="3">
        <f>IF($A2="","",IF($B2="","",IF(TODAY()&lt;$B2+180,"-",SUMPRODUCT(('Picked Students (raw)'!$B$2:$B$824=$A2)*('Picked Students (raw)'!$E$2:$E$824="Career Gap/ Non Working")*('Picked Students (raw)'!$C$2:$C$824&lt;&gt;"")*(('Picked Students (raw)'!$C$2:$C$824-$B2)&lt;180)))))</f>
        <v/>
      </c>
      <c r="Q2" s="5">
        <f>IF($A2="","",IF(P2="-","-",IF($D2=0,0,P2/$D2)))</f>
        <v/>
      </c>
      <c r="R2" s="3">
        <f>IF($A2="","",IF($B2="","",IF(TODAY()&lt;$B2+210,"-",SUMPRODUCT(('Picked Students (raw)'!$B$2:$B$824=$A2)*('Picked Students (raw)'!$E$2:$E$824="Career Gap/ Non Working")*('Picked Students (raw)'!$C$2:$C$824&lt;&gt;"")*(('Picked Students (raw)'!$C$2:$C$824-$B2)&lt;210)))))</f>
        <v/>
      </c>
      <c r="S2" s="5">
        <f>IF($A2="","",IF(R2="-","-",IF($D2=0,0,R2/$D2)))</f>
        <v/>
      </c>
      <c r="T2" s="3">
        <f>IF($A2="","",IF($B2="","",IF(TODAY()&lt;$B2+240,"-",SUMPRODUCT(('Picked Students (raw)'!$B$2:$B$824=$A2)*('Picked Students (raw)'!$E$2:$E$824="Career Gap/ Non Working")*('Picked Students (raw)'!$C$2:$C$824&lt;&gt;"")*(('Picked Students (raw)'!$C$2:$C$824-$B2)&lt;240)))))</f>
        <v/>
      </c>
      <c r="U2" s="5">
        <f>IF($A2="","",IF(T2="-","-",IF($D2=0,0,T2/$D2)))</f>
        <v/>
      </c>
      <c r="V2" s="3">
        <f>IF($A2="","",IF($B2="","",IF(TODAY()&lt;$B2+270,"-",SUMPRODUCT(('Picked Students (raw)'!$B$2:$B$824=$A2)*('Picked Students (raw)'!$E$2:$E$824="Career Gap/ Non Working")*('Picked Students (raw)'!$C$2:$C$824&lt;&gt;"")*(('Picked Students (raw)'!$C$2:$C$824-$B2)&lt;270)))))</f>
        <v/>
      </c>
      <c r="W2" s="5">
        <f>IF($A2="","",IF(V2="-","-",IF($D2=0,0,V2/$D2)))</f>
        <v/>
      </c>
      <c r="X2" s="3">
        <f>IF($A2="","",IF($B2="","",IF(TODAY()&lt;$B2+300,"-",SUMPRODUCT(('Picked Students (raw)'!$B$2:$B$824=$A2)*('Picked Students (raw)'!$E$2:$E$824="Career Gap/ Non Working")*('Picked Students (raw)'!$C$2:$C$824&lt;&gt;"")*(('Picked Students (raw)'!$C$2:$C$824-$B2)&lt;300)))))</f>
        <v/>
      </c>
      <c r="Y2" s="5">
        <f>IF($A2="","",IF(X2="-","-",IF($D2=0,0,X2/$D2)))</f>
        <v/>
      </c>
      <c r="Z2" s="3">
        <f>IF($A2="","",IF($B2="","",IF(TODAY()&lt;$B2+330,"-",SUMPRODUCT(('Picked Students (raw)'!$B$2:$B$824=$A2)*('Picked Students (raw)'!$E$2:$E$824="Career Gap/ Non Working")*('Picked Students (raw)'!$C$2:$C$824&lt;&gt;"")*(('Picked Students (raw)'!$C$2:$C$824-$B2)&lt;330)))))</f>
        <v/>
      </c>
      <c r="AA2" s="5">
        <f>IF($A2="","",IF(Z2="-","-",IF($D2=0,0,Z2/$D2)))</f>
        <v/>
      </c>
      <c r="AB2" s="3">
        <f>IF($A2="","",IF($B2="","",IF(TODAY()&lt;$B2+360,"-",SUMPRODUCT(('Picked Students (raw)'!$B$2:$B$824=$A2)*('Picked Students (raw)'!$E$2:$E$824="Career Gap/ Non Working")*('Picked Students (raw)'!$C$2:$C$824&lt;&gt;"")*(('Picked Students (raw)'!$C$2:$C$824-$B2)&lt;360)))))</f>
        <v/>
      </c>
      <c r="AC2" s="5">
        <f>IF($A2="","",IF(AB2="-","-",IF($D2=0,0,AB2/$D2)))</f>
        <v/>
      </c>
      <c r="AD2" s="3">
        <f>IF($A2="","",IF($B2="","",IF(TODAY()&lt;$B2+390,"-",SUMPRODUCT(('Picked Students (raw)'!$B$2:$B$824=$A2)*('Picked Students (raw)'!$E$2:$E$824="Career Gap/ Non Working")*('Picked Students (raw)'!$C$2:$C$824&lt;&gt;"")*(('Picked Students (raw)'!$C$2:$C$824-$B2)&lt;390)))))</f>
        <v/>
      </c>
      <c r="AE2" s="5">
        <f>IF($A2="","",IF(AD2="-","-",IF($D2=0,0,AD2/$D2)))</f>
        <v/>
      </c>
      <c r="AF2" s="3">
        <f>IF($A2="","",IF($B2="","",IF(TODAY()&lt;$B2+420,"-",SUMPRODUCT(('Picked Students (raw)'!$B$2:$B$824=$A2)*('Picked Students (raw)'!$E$2:$E$824="Career Gap/ Non Working")*('Picked Students (raw)'!$C$2:$C$824&lt;&gt;"")*(('Picked Students (raw)'!$C$2:$C$824-$B2)&lt;420)))))</f>
        <v/>
      </c>
      <c r="AG2" s="5">
        <f>IF($A2="","",IF(AF2="-","-",IF($D2=0,0,AF2/$D2)))</f>
        <v/>
      </c>
      <c r="AH2" s="3">
        <f>IF($A2="","",IF($B2="","",IF(TODAY()&lt;$B2+450,"-",SUMPRODUCT(('Picked Students (raw)'!$B$2:$B$824=$A2)*('Picked Students (raw)'!$E$2:$E$824="Career Gap/ Non Working")*('Picked Students (raw)'!$C$2:$C$824&lt;&gt;"")*(('Picked Students (raw)'!$C$2:$C$824-$B2)&lt;450)))))</f>
        <v/>
      </c>
      <c r="AI2" s="5">
        <f>IF($A2="","",IF(AH2="-","-",IF($D2=0,0,AH2/$D2)))</f>
        <v/>
      </c>
      <c r="AJ2" s="3">
        <f>IF($A2="","",IF($B2="","",IF(TODAY()&lt;$B2+480,"-",SUMPRODUCT(('Picked Students (raw)'!$B$2:$B$824=$A2)*('Picked Students (raw)'!$E$2:$E$824="Career Gap/ Non Working")*('Picked Students (raw)'!$C$2:$C$824&lt;&gt;"")*(('Picked Students (raw)'!$C$2:$C$824-$B2)&lt;480)))))</f>
        <v/>
      </c>
      <c r="AK2" s="5">
        <f>IF($A2="","",IF(AJ2="-","-",IF($D2=0,0,AJ2/$D2)))</f>
        <v/>
      </c>
      <c r="AL2" s="3">
        <f>IF($A2="","",IF($B2="","",IF(TODAY()&lt;$B2+510,"-",SUMPRODUCT(('Picked Students (raw)'!$B$2:$B$824=$A2)*('Picked Students (raw)'!$E$2:$E$824="Career Gap/ Non Working")*('Picked Students (raw)'!$C$2:$C$824&lt;&gt;"")*(('Picked Students (raw)'!$C$2:$C$824-$B2)&lt;510)))))</f>
        <v/>
      </c>
      <c r="AM2" s="5">
        <f>IF($A2="","",IF(AL2="-","-",IF($D2=0,0,AL2/$D2)))</f>
        <v/>
      </c>
      <c r="AN2" s="3">
        <f>IF($A2="","",IF($B2="","",IF(TODAY()&lt;$B2+540,"-",SUMPRODUCT(('Picked Students (raw)'!$B$2:$B$824=$A2)*('Picked Students (raw)'!$E$2:$E$824="Career Gap/ Non Working")*('Picked Students (raw)'!$C$2:$C$824&lt;&gt;"")*(('Picked Students (raw)'!$C$2:$C$824-$B2)&lt;540)))))</f>
        <v/>
      </c>
      <c r="AO2" s="5">
        <f>IF($A2="","",IF(AN2="-","-",IF($D2=0,0,AN2/$D2)))</f>
        <v/>
      </c>
      <c r="AP2" s="3">
        <f>IF($A2="","",IF(AN2="-","-",$E2-AN2))</f>
        <v/>
      </c>
    </row>
    <row r="3">
      <c r="A3" s="3" t="inlineStr">
        <is>
          <t>Professional Certificate Course In Data Science - May 2023</t>
        </is>
      </c>
      <c r="B3" s="4">
        <f>IF($A3="","",IFERROR(INDEX('Batch Enrollment (Metabase)'!$D$2:$D$47,MATCH($A3,'Batch Enrollment (Metabase)'!$A$2:$A$47,0)),""))</f>
        <v/>
      </c>
      <c r="C3" s="3">
        <f>IF($A3="","",IFERROR(INDEX('Batch Enrollment (Metabase)'!$E$2:$E$47,MATCH($A3,'Batch Enrollment (Metabase)'!$A$2:$A$47,0)),""))</f>
        <v/>
      </c>
      <c r="D3" s="3">
        <f>IF($A3="","",IFERROR(INDEX('Batch Enrollment (Metabase)'!$F$2:$F$47,MATCH($A3,'Batch Enrollment (Metabase)'!$A$2:$A$47,0)),""))</f>
        <v/>
      </c>
      <c r="E3" s="3">
        <f>IF($A3="","",COUNTIFS('Picked Students (raw)'!$B$2:$B$824,$A3,'Picked Students (raw)'!$E$2:$E$824,"Career Gap/ Non Working"))</f>
        <v/>
      </c>
      <c r="F3" s="3">
        <f>IF($A3="","",IF($B3="","",IF(TODAY()&lt;$B3+30,"-",SUMPRODUCT(('Picked Students (raw)'!$B$2:$B$824=$A3)*('Picked Students (raw)'!$E$2:$E$824="Career Gap/ Non Working")*('Picked Students (raw)'!$C$2:$C$824&lt;&gt;"")*(('Picked Students (raw)'!$C$2:$C$824-$B3)&lt;30)))))</f>
        <v/>
      </c>
      <c r="G3" s="5">
        <f>IF($A3="","",IF(F3="-","-",IF($D3=0,0,F3/$D3)))</f>
        <v/>
      </c>
      <c r="H3" s="3">
        <f>IF($A3="","",IF($B3="","",IF(TODAY()&lt;$B3+60,"-",SUMPRODUCT(('Picked Students (raw)'!$B$2:$B$824=$A3)*('Picked Students (raw)'!$E$2:$E$824="Career Gap/ Non Working")*('Picked Students (raw)'!$C$2:$C$824&lt;&gt;"")*(('Picked Students (raw)'!$C$2:$C$824-$B3)&lt;60)))))</f>
        <v/>
      </c>
      <c r="I3" s="5">
        <f>IF($A3="","",IF(H3="-","-",IF($D3=0,0,H3/$D3)))</f>
        <v/>
      </c>
      <c r="J3" s="3">
        <f>IF($A3="","",IF($B3="","",IF(TODAY()&lt;$B3+90,"-",SUMPRODUCT(('Picked Students (raw)'!$B$2:$B$824=$A3)*('Picked Students (raw)'!$E$2:$E$824="Career Gap/ Non Working")*('Picked Students (raw)'!$C$2:$C$824&lt;&gt;"")*(('Picked Students (raw)'!$C$2:$C$824-$B3)&lt;90)))))</f>
        <v/>
      </c>
      <c r="K3" s="5">
        <f>IF($A3="","",IF(J3="-","-",IF($D3=0,0,J3/$D3)))</f>
        <v/>
      </c>
      <c r="L3" s="3">
        <f>IF($A3="","",IF($B3="","",IF(TODAY()&lt;$B3+120,"-",SUMPRODUCT(('Picked Students (raw)'!$B$2:$B$824=$A3)*('Picked Students (raw)'!$E$2:$E$824="Career Gap/ Non Working")*('Picked Students (raw)'!$C$2:$C$824&lt;&gt;"")*(('Picked Students (raw)'!$C$2:$C$824-$B3)&lt;120)))))</f>
        <v/>
      </c>
      <c r="M3" s="5">
        <f>IF($A3="","",IF(L3="-","-",IF($D3=0,0,L3/$D3)))</f>
        <v/>
      </c>
      <c r="N3" s="3">
        <f>IF($A3="","",IF($B3="","",IF(TODAY()&lt;$B3+150,"-",SUMPRODUCT(('Picked Students (raw)'!$B$2:$B$824=$A3)*('Picked Students (raw)'!$E$2:$E$824="Career Gap/ Non Working")*('Picked Students (raw)'!$C$2:$C$824&lt;&gt;"")*(('Picked Students (raw)'!$C$2:$C$824-$B3)&lt;150)))))</f>
        <v/>
      </c>
      <c r="O3" s="5">
        <f>IF($A3="","",IF(N3="-","-",IF($D3=0,0,N3/$D3)))</f>
        <v/>
      </c>
      <c r="P3" s="3">
        <f>IF($A3="","",IF($B3="","",IF(TODAY()&lt;$B3+180,"-",SUMPRODUCT(('Picked Students (raw)'!$B$2:$B$824=$A3)*('Picked Students (raw)'!$E$2:$E$824="Career Gap/ Non Working")*('Picked Students (raw)'!$C$2:$C$824&lt;&gt;"")*(('Picked Students (raw)'!$C$2:$C$824-$B3)&lt;180)))))</f>
        <v/>
      </c>
      <c r="Q3" s="5">
        <f>IF($A3="","",IF(P3="-","-",IF($D3=0,0,P3/$D3)))</f>
        <v/>
      </c>
      <c r="R3" s="3">
        <f>IF($A3="","",IF($B3="","",IF(TODAY()&lt;$B3+210,"-",SUMPRODUCT(('Picked Students (raw)'!$B$2:$B$824=$A3)*('Picked Students (raw)'!$E$2:$E$824="Career Gap/ Non Working")*('Picked Students (raw)'!$C$2:$C$824&lt;&gt;"")*(('Picked Students (raw)'!$C$2:$C$824-$B3)&lt;210)))))</f>
        <v/>
      </c>
      <c r="S3" s="5">
        <f>IF($A3="","",IF(R3="-","-",IF($D3=0,0,R3/$D3)))</f>
        <v/>
      </c>
      <c r="T3" s="3">
        <f>IF($A3="","",IF($B3="","",IF(TODAY()&lt;$B3+240,"-",SUMPRODUCT(('Picked Students (raw)'!$B$2:$B$824=$A3)*('Picked Students (raw)'!$E$2:$E$824="Career Gap/ Non Working")*('Picked Students (raw)'!$C$2:$C$824&lt;&gt;"")*(('Picked Students (raw)'!$C$2:$C$824-$B3)&lt;240)))))</f>
        <v/>
      </c>
      <c r="U3" s="5">
        <f>IF($A3="","",IF(T3="-","-",IF($D3=0,0,T3/$D3)))</f>
        <v/>
      </c>
      <c r="V3" s="3">
        <f>IF($A3="","",IF($B3="","",IF(TODAY()&lt;$B3+270,"-",SUMPRODUCT(('Picked Students (raw)'!$B$2:$B$824=$A3)*('Picked Students (raw)'!$E$2:$E$824="Career Gap/ Non Working")*('Picked Students (raw)'!$C$2:$C$824&lt;&gt;"")*(('Picked Students (raw)'!$C$2:$C$824-$B3)&lt;270)))))</f>
        <v/>
      </c>
      <c r="W3" s="5">
        <f>IF($A3="","",IF(V3="-","-",IF($D3=0,0,V3/$D3)))</f>
        <v/>
      </c>
      <c r="X3" s="3">
        <f>IF($A3="","",IF($B3="","",IF(TODAY()&lt;$B3+300,"-",SUMPRODUCT(('Picked Students (raw)'!$B$2:$B$824=$A3)*('Picked Students (raw)'!$E$2:$E$824="Career Gap/ Non Working")*('Picked Students (raw)'!$C$2:$C$824&lt;&gt;"")*(('Picked Students (raw)'!$C$2:$C$824-$B3)&lt;300)))))</f>
        <v/>
      </c>
      <c r="Y3" s="5">
        <f>IF($A3="","",IF(X3="-","-",IF($D3=0,0,X3/$D3)))</f>
        <v/>
      </c>
      <c r="Z3" s="3">
        <f>IF($A3="","",IF($B3="","",IF(TODAY()&lt;$B3+330,"-",SUMPRODUCT(('Picked Students (raw)'!$B$2:$B$824=$A3)*('Picked Students (raw)'!$E$2:$E$824="Career Gap/ Non Working")*('Picked Students (raw)'!$C$2:$C$824&lt;&gt;"")*(('Picked Students (raw)'!$C$2:$C$824-$B3)&lt;330)))))</f>
        <v/>
      </c>
      <c r="AA3" s="5">
        <f>IF($A3="","",IF(Z3="-","-",IF($D3=0,0,Z3/$D3)))</f>
        <v/>
      </c>
      <c r="AB3" s="3">
        <f>IF($A3="","",IF($B3="","",IF(TODAY()&lt;$B3+360,"-",SUMPRODUCT(('Picked Students (raw)'!$B$2:$B$824=$A3)*('Picked Students (raw)'!$E$2:$E$824="Career Gap/ Non Working")*('Picked Students (raw)'!$C$2:$C$824&lt;&gt;"")*(('Picked Students (raw)'!$C$2:$C$824-$B3)&lt;360)))))</f>
        <v/>
      </c>
      <c r="AC3" s="5">
        <f>IF($A3="","",IF(AB3="-","-",IF($D3=0,0,AB3/$D3)))</f>
        <v/>
      </c>
      <c r="AD3" s="3">
        <f>IF($A3="","",IF($B3="","",IF(TODAY()&lt;$B3+390,"-",SUMPRODUCT(('Picked Students (raw)'!$B$2:$B$824=$A3)*('Picked Students (raw)'!$E$2:$E$824="Career Gap/ Non Working")*('Picked Students (raw)'!$C$2:$C$824&lt;&gt;"")*(('Picked Students (raw)'!$C$2:$C$824-$B3)&lt;390)))))</f>
        <v/>
      </c>
      <c r="AE3" s="5">
        <f>IF($A3="","",IF(AD3="-","-",IF($D3=0,0,AD3/$D3)))</f>
        <v/>
      </c>
      <c r="AF3" s="3">
        <f>IF($A3="","",IF($B3="","",IF(TODAY()&lt;$B3+420,"-",SUMPRODUCT(('Picked Students (raw)'!$B$2:$B$824=$A3)*('Picked Students (raw)'!$E$2:$E$824="Career Gap/ Non Working")*('Picked Students (raw)'!$C$2:$C$824&lt;&gt;"")*(('Picked Students (raw)'!$C$2:$C$824-$B3)&lt;420)))))</f>
        <v/>
      </c>
      <c r="AG3" s="5">
        <f>IF($A3="","",IF(AF3="-","-",IF($D3=0,0,AF3/$D3)))</f>
        <v/>
      </c>
      <c r="AH3" s="3">
        <f>IF($A3="","",IF($B3="","",IF(TODAY()&lt;$B3+450,"-",SUMPRODUCT(('Picked Students (raw)'!$B$2:$B$824=$A3)*('Picked Students (raw)'!$E$2:$E$824="Career Gap/ Non Working")*('Picked Students (raw)'!$C$2:$C$824&lt;&gt;"")*(('Picked Students (raw)'!$C$2:$C$824-$B3)&lt;450)))))</f>
        <v/>
      </c>
      <c r="AI3" s="5">
        <f>IF($A3="","",IF(AH3="-","-",IF($D3=0,0,AH3/$D3)))</f>
        <v/>
      </c>
      <c r="AJ3" s="3">
        <f>IF($A3="","",IF($B3="","",IF(TODAY()&lt;$B3+480,"-",SUMPRODUCT(('Picked Students (raw)'!$B$2:$B$824=$A3)*('Picked Students (raw)'!$E$2:$E$824="Career Gap/ Non Working")*('Picked Students (raw)'!$C$2:$C$824&lt;&gt;"")*(('Picked Students (raw)'!$C$2:$C$824-$B3)&lt;480)))))</f>
        <v/>
      </c>
      <c r="AK3" s="5">
        <f>IF($A3="","",IF(AJ3="-","-",IF($D3=0,0,AJ3/$D3)))</f>
        <v/>
      </c>
      <c r="AL3" s="3">
        <f>IF($A3="","",IF($B3="","",IF(TODAY()&lt;$B3+510,"-",SUMPRODUCT(('Picked Students (raw)'!$B$2:$B$824=$A3)*('Picked Students (raw)'!$E$2:$E$824="Career Gap/ Non Working")*('Picked Students (raw)'!$C$2:$C$824&lt;&gt;"")*(('Picked Students (raw)'!$C$2:$C$824-$B3)&lt;510)))))</f>
        <v/>
      </c>
      <c r="AM3" s="5">
        <f>IF($A3="","",IF(AL3="-","-",IF($D3=0,0,AL3/$D3)))</f>
        <v/>
      </c>
      <c r="AN3" s="3">
        <f>IF($A3="","",IF($B3="","",IF(TODAY()&lt;$B3+540,"-",SUMPRODUCT(('Picked Students (raw)'!$B$2:$B$824=$A3)*('Picked Students (raw)'!$E$2:$E$824="Career Gap/ Non Working")*('Picked Students (raw)'!$C$2:$C$824&lt;&gt;"")*(('Picked Students (raw)'!$C$2:$C$824-$B3)&lt;540)))))</f>
        <v/>
      </c>
      <c r="AO3" s="5">
        <f>IF($A3="","",IF(AN3="-","-",IF($D3=0,0,AN3/$D3)))</f>
        <v/>
      </c>
      <c r="AP3" s="3">
        <f>IF($A3="","",IF(AN3="-","-",$E3-AN3))</f>
        <v/>
      </c>
    </row>
    <row r="4">
      <c r="A4" s="3" t="inlineStr">
        <is>
          <t>Professional Certificate Course In Data Science - June 2023</t>
        </is>
      </c>
      <c r="B4" s="4">
        <f>IF($A4="","",IFERROR(INDEX('Batch Enrollment (Metabase)'!$D$2:$D$47,MATCH($A4,'Batch Enrollment (Metabase)'!$A$2:$A$47,0)),""))</f>
        <v/>
      </c>
      <c r="C4" s="3">
        <f>IF($A4="","",IFERROR(INDEX('Batch Enrollment (Metabase)'!$E$2:$E$47,MATCH($A4,'Batch Enrollment (Metabase)'!$A$2:$A$47,0)),""))</f>
        <v/>
      </c>
      <c r="D4" s="3">
        <f>IF($A4="","",IFERROR(INDEX('Batch Enrollment (Metabase)'!$F$2:$F$47,MATCH($A4,'Batch Enrollment (Metabase)'!$A$2:$A$47,0)),""))</f>
        <v/>
      </c>
      <c r="E4" s="3">
        <f>IF($A4="","",COUNTIFS('Picked Students (raw)'!$B$2:$B$824,$A4,'Picked Students (raw)'!$E$2:$E$824,"Career Gap/ Non Working"))</f>
        <v/>
      </c>
      <c r="F4" s="3">
        <f>IF($A4="","",IF($B4="","",IF(TODAY()&lt;$B4+30,"-",SUMPRODUCT(('Picked Students (raw)'!$B$2:$B$824=$A4)*('Picked Students (raw)'!$E$2:$E$824="Career Gap/ Non Working")*('Picked Students (raw)'!$C$2:$C$824&lt;&gt;"")*(('Picked Students (raw)'!$C$2:$C$824-$B4)&lt;30)))))</f>
        <v/>
      </c>
      <c r="G4" s="5">
        <f>IF($A4="","",IF(F4="-","-",IF($D4=0,0,F4/$D4)))</f>
        <v/>
      </c>
      <c r="H4" s="3">
        <f>IF($A4="","",IF($B4="","",IF(TODAY()&lt;$B4+60,"-",SUMPRODUCT(('Picked Students (raw)'!$B$2:$B$824=$A4)*('Picked Students (raw)'!$E$2:$E$824="Career Gap/ Non Working")*('Picked Students (raw)'!$C$2:$C$824&lt;&gt;"")*(('Picked Students (raw)'!$C$2:$C$824-$B4)&lt;60)))))</f>
        <v/>
      </c>
      <c r="I4" s="5">
        <f>IF($A4="","",IF(H4="-","-",IF($D4=0,0,H4/$D4)))</f>
        <v/>
      </c>
      <c r="J4" s="3">
        <f>IF($A4="","",IF($B4="","",IF(TODAY()&lt;$B4+90,"-",SUMPRODUCT(('Picked Students (raw)'!$B$2:$B$824=$A4)*('Picked Students (raw)'!$E$2:$E$824="Career Gap/ Non Working")*('Picked Students (raw)'!$C$2:$C$824&lt;&gt;"")*(('Picked Students (raw)'!$C$2:$C$824-$B4)&lt;90)))))</f>
        <v/>
      </c>
      <c r="K4" s="5">
        <f>IF($A4="","",IF(J4="-","-",IF($D4=0,0,J4/$D4)))</f>
        <v/>
      </c>
      <c r="L4" s="3">
        <f>IF($A4="","",IF($B4="","",IF(TODAY()&lt;$B4+120,"-",SUMPRODUCT(('Picked Students (raw)'!$B$2:$B$824=$A4)*('Picked Students (raw)'!$E$2:$E$824="Career Gap/ Non Working")*('Picked Students (raw)'!$C$2:$C$824&lt;&gt;"")*(('Picked Students (raw)'!$C$2:$C$824-$B4)&lt;120)))))</f>
        <v/>
      </c>
      <c r="M4" s="5">
        <f>IF($A4="","",IF(L4="-","-",IF($D4=0,0,L4/$D4)))</f>
        <v/>
      </c>
      <c r="N4" s="3">
        <f>IF($A4="","",IF($B4="","",IF(TODAY()&lt;$B4+150,"-",SUMPRODUCT(('Picked Students (raw)'!$B$2:$B$824=$A4)*('Picked Students (raw)'!$E$2:$E$824="Career Gap/ Non Working")*('Picked Students (raw)'!$C$2:$C$824&lt;&gt;"")*(('Picked Students (raw)'!$C$2:$C$824-$B4)&lt;150)))))</f>
        <v/>
      </c>
      <c r="O4" s="5">
        <f>IF($A4="","",IF(N4="-","-",IF($D4=0,0,N4/$D4)))</f>
        <v/>
      </c>
      <c r="P4" s="3">
        <f>IF($A4="","",IF($B4="","",IF(TODAY()&lt;$B4+180,"-",SUMPRODUCT(('Picked Students (raw)'!$B$2:$B$824=$A4)*('Picked Students (raw)'!$E$2:$E$824="Career Gap/ Non Working")*('Picked Students (raw)'!$C$2:$C$824&lt;&gt;"")*(('Picked Students (raw)'!$C$2:$C$824-$B4)&lt;180)))))</f>
        <v/>
      </c>
      <c r="Q4" s="5">
        <f>IF($A4="","",IF(P4="-","-",IF($D4=0,0,P4/$D4)))</f>
        <v/>
      </c>
      <c r="R4" s="3">
        <f>IF($A4="","",IF($B4="","",IF(TODAY()&lt;$B4+210,"-",SUMPRODUCT(('Picked Students (raw)'!$B$2:$B$824=$A4)*('Picked Students (raw)'!$E$2:$E$824="Career Gap/ Non Working")*('Picked Students (raw)'!$C$2:$C$824&lt;&gt;"")*(('Picked Students (raw)'!$C$2:$C$824-$B4)&lt;210)))))</f>
        <v/>
      </c>
      <c r="S4" s="5">
        <f>IF($A4="","",IF(R4="-","-",IF($D4=0,0,R4/$D4)))</f>
        <v/>
      </c>
      <c r="T4" s="3">
        <f>IF($A4="","",IF($B4="","",IF(TODAY()&lt;$B4+240,"-",SUMPRODUCT(('Picked Students (raw)'!$B$2:$B$824=$A4)*('Picked Students (raw)'!$E$2:$E$824="Career Gap/ Non Working")*('Picked Students (raw)'!$C$2:$C$824&lt;&gt;"")*(('Picked Students (raw)'!$C$2:$C$824-$B4)&lt;240)))))</f>
        <v/>
      </c>
      <c r="U4" s="5">
        <f>IF($A4="","",IF(T4="-","-",IF($D4=0,0,T4/$D4)))</f>
        <v/>
      </c>
      <c r="V4" s="3">
        <f>IF($A4="","",IF($B4="","",IF(TODAY()&lt;$B4+270,"-",SUMPRODUCT(('Picked Students (raw)'!$B$2:$B$824=$A4)*('Picked Students (raw)'!$E$2:$E$824="Career Gap/ Non Working")*('Picked Students (raw)'!$C$2:$C$824&lt;&gt;"")*(('Picked Students (raw)'!$C$2:$C$824-$B4)&lt;270)))))</f>
        <v/>
      </c>
      <c r="W4" s="5">
        <f>IF($A4="","",IF(V4="-","-",IF($D4=0,0,V4/$D4)))</f>
        <v/>
      </c>
      <c r="X4" s="3">
        <f>IF($A4="","",IF($B4="","",IF(TODAY()&lt;$B4+300,"-",SUMPRODUCT(('Picked Students (raw)'!$B$2:$B$824=$A4)*('Picked Students (raw)'!$E$2:$E$824="Career Gap/ Non Working")*('Picked Students (raw)'!$C$2:$C$824&lt;&gt;"")*(('Picked Students (raw)'!$C$2:$C$824-$B4)&lt;300)))))</f>
        <v/>
      </c>
      <c r="Y4" s="5">
        <f>IF($A4="","",IF(X4="-","-",IF($D4=0,0,X4/$D4)))</f>
        <v/>
      </c>
      <c r="Z4" s="3">
        <f>IF($A4="","",IF($B4="","",IF(TODAY()&lt;$B4+330,"-",SUMPRODUCT(('Picked Students (raw)'!$B$2:$B$824=$A4)*('Picked Students (raw)'!$E$2:$E$824="Career Gap/ Non Working")*('Picked Students (raw)'!$C$2:$C$824&lt;&gt;"")*(('Picked Students (raw)'!$C$2:$C$824-$B4)&lt;330)))))</f>
        <v/>
      </c>
      <c r="AA4" s="5">
        <f>IF($A4="","",IF(Z4="-","-",IF($D4=0,0,Z4/$D4)))</f>
        <v/>
      </c>
      <c r="AB4" s="3">
        <f>IF($A4="","",IF($B4="","",IF(TODAY()&lt;$B4+360,"-",SUMPRODUCT(('Picked Students (raw)'!$B$2:$B$824=$A4)*('Picked Students (raw)'!$E$2:$E$824="Career Gap/ Non Working")*('Picked Students (raw)'!$C$2:$C$824&lt;&gt;"")*(('Picked Students (raw)'!$C$2:$C$824-$B4)&lt;360)))))</f>
        <v/>
      </c>
      <c r="AC4" s="5">
        <f>IF($A4="","",IF(AB4="-","-",IF($D4=0,0,AB4/$D4)))</f>
        <v/>
      </c>
      <c r="AD4" s="3">
        <f>IF($A4="","",IF($B4="","",IF(TODAY()&lt;$B4+390,"-",SUMPRODUCT(('Picked Students (raw)'!$B$2:$B$824=$A4)*('Picked Students (raw)'!$E$2:$E$824="Career Gap/ Non Working")*('Picked Students (raw)'!$C$2:$C$824&lt;&gt;"")*(('Picked Students (raw)'!$C$2:$C$824-$B4)&lt;390)))))</f>
        <v/>
      </c>
      <c r="AE4" s="5">
        <f>IF($A4="","",IF(AD4="-","-",IF($D4=0,0,AD4/$D4)))</f>
        <v/>
      </c>
      <c r="AF4" s="3">
        <f>IF($A4="","",IF($B4="","",IF(TODAY()&lt;$B4+420,"-",SUMPRODUCT(('Picked Students (raw)'!$B$2:$B$824=$A4)*('Picked Students (raw)'!$E$2:$E$824="Career Gap/ Non Working")*('Picked Students (raw)'!$C$2:$C$824&lt;&gt;"")*(('Picked Students (raw)'!$C$2:$C$824-$B4)&lt;420)))))</f>
        <v/>
      </c>
      <c r="AG4" s="5">
        <f>IF($A4="","",IF(AF4="-","-",IF($D4=0,0,AF4/$D4)))</f>
        <v/>
      </c>
      <c r="AH4" s="3">
        <f>IF($A4="","",IF($B4="","",IF(TODAY()&lt;$B4+450,"-",SUMPRODUCT(('Picked Students (raw)'!$B$2:$B$824=$A4)*('Picked Students (raw)'!$E$2:$E$824="Career Gap/ Non Working")*('Picked Students (raw)'!$C$2:$C$824&lt;&gt;"")*(('Picked Students (raw)'!$C$2:$C$824-$B4)&lt;450)))))</f>
        <v/>
      </c>
      <c r="AI4" s="5">
        <f>IF($A4="","",IF(AH4="-","-",IF($D4=0,0,AH4/$D4)))</f>
        <v/>
      </c>
      <c r="AJ4" s="3">
        <f>IF($A4="","",IF($B4="","",IF(TODAY()&lt;$B4+480,"-",SUMPRODUCT(('Picked Students (raw)'!$B$2:$B$824=$A4)*('Picked Students (raw)'!$E$2:$E$824="Career Gap/ Non Working")*('Picked Students (raw)'!$C$2:$C$824&lt;&gt;"")*(('Picked Students (raw)'!$C$2:$C$824-$B4)&lt;480)))))</f>
        <v/>
      </c>
      <c r="AK4" s="5">
        <f>IF($A4="","",IF(AJ4="-","-",IF($D4=0,0,AJ4/$D4)))</f>
        <v/>
      </c>
      <c r="AL4" s="3">
        <f>IF($A4="","",IF($B4="","",IF(TODAY()&lt;$B4+510,"-",SUMPRODUCT(('Picked Students (raw)'!$B$2:$B$824=$A4)*('Picked Students (raw)'!$E$2:$E$824="Career Gap/ Non Working")*('Picked Students (raw)'!$C$2:$C$824&lt;&gt;"")*(('Picked Students (raw)'!$C$2:$C$824-$B4)&lt;510)))))</f>
        <v/>
      </c>
      <c r="AM4" s="5">
        <f>IF($A4="","",IF(AL4="-","-",IF($D4=0,0,AL4/$D4)))</f>
        <v/>
      </c>
      <c r="AN4" s="3">
        <f>IF($A4="","",IF($B4="","",IF(TODAY()&lt;$B4+540,"-",SUMPRODUCT(('Picked Students (raw)'!$B$2:$B$824=$A4)*('Picked Students (raw)'!$E$2:$E$824="Career Gap/ Non Working")*('Picked Students (raw)'!$C$2:$C$824&lt;&gt;"")*(('Picked Students (raw)'!$C$2:$C$824-$B4)&lt;540)))))</f>
        <v/>
      </c>
      <c r="AO4" s="5">
        <f>IF($A4="","",IF(AN4="-","-",IF($D4=0,0,AN4/$D4)))</f>
        <v/>
      </c>
      <c r="AP4" s="3">
        <f>IF($A4="","",IF(AN4="-","-",$E4-AN4))</f>
        <v/>
      </c>
    </row>
    <row r="5">
      <c r="A5" s="3" t="inlineStr">
        <is>
          <t>Professional Certificate Course In Data Science - July 2023</t>
        </is>
      </c>
      <c r="B5" s="4">
        <f>IF($A5="","",IFERROR(INDEX('Batch Enrollment (Metabase)'!$D$2:$D$47,MATCH($A5,'Batch Enrollment (Metabase)'!$A$2:$A$47,0)),""))</f>
        <v/>
      </c>
      <c r="C5" s="3">
        <f>IF($A5="","",IFERROR(INDEX('Batch Enrollment (Metabase)'!$E$2:$E$47,MATCH($A5,'Batch Enrollment (Metabase)'!$A$2:$A$47,0)),""))</f>
        <v/>
      </c>
      <c r="D5" s="3">
        <f>IF($A5="","",IFERROR(INDEX('Batch Enrollment (Metabase)'!$F$2:$F$47,MATCH($A5,'Batch Enrollment (Metabase)'!$A$2:$A$47,0)),""))</f>
        <v/>
      </c>
      <c r="E5" s="3">
        <f>IF($A5="","",COUNTIFS('Picked Students (raw)'!$B$2:$B$824,$A5,'Picked Students (raw)'!$E$2:$E$824,"Career Gap/ Non Working"))</f>
        <v/>
      </c>
      <c r="F5" s="3">
        <f>IF($A5="","",IF($B5="","",IF(TODAY()&lt;$B5+30,"-",SUMPRODUCT(('Picked Students (raw)'!$B$2:$B$824=$A5)*('Picked Students (raw)'!$E$2:$E$824="Career Gap/ Non Working")*('Picked Students (raw)'!$C$2:$C$824&lt;&gt;"")*(('Picked Students (raw)'!$C$2:$C$824-$B5)&lt;30)))))</f>
        <v/>
      </c>
      <c r="G5" s="5">
        <f>IF($A5="","",IF(F5="-","-",IF($D5=0,0,F5/$D5)))</f>
        <v/>
      </c>
      <c r="H5" s="3">
        <f>IF($A5="","",IF($B5="","",IF(TODAY()&lt;$B5+60,"-",SUMPRODUCT(('Picked Students (raw)'!$B$2:$B$824=$A5)*('Picked Students (raw)'!$E$2:$E$824="Career Gap/ Non Working")*('Picked Students (raw)'!$C$2:$C$824&lt;&gt;"")*(('Picked Students (raw)'!$C$2:$C$824-$B5)&lt;60)))))</f>
        <v/>
      </c>
      <c r="I5" s="5">
        <f>IF($A5="","",IF(H5="-","-",IF($D5=0,0,H5/$D5)))</f>
        <v/>
      </c>
      <c r="J5" s="3">
        <f>IF($A5="","",IF($B5="","",IF(TODAY()&lt;$B5+90,"-",SUMPRODUCT(('Picked Students (raw)'!$B$2:$B$824=$A5)*('Picked Students (raw)'!$E$2:$E$824="Career Gap/ Non Working")*('Picked Students (raw)'!$C$2:$C$824&lt;&gt;"")*(('Picked Students (raw)'!$C$2:$C$824-$B5)&lt;90)))))</f>
        <v/>
      </c>
      <c r="K5" s="5">
        <f>IF($A5="","",IF(J5="-","-",IF($D5=0,0,J5/$D5)))</f>
        <v/>
      </c>
      <c r="L5" s="3">
        <f>IF($A5="","",IF($B5="","",IF(TODAY()&lt;$B5+120,"-",SUMPRODUCT(('Picked Students (raw)'!$B$2:$B$824=$A5)*('Picked Students (raw)'!$E$2:$E$824="Career Gap/ Non Working")*('Picked Students (raw)'!$C$2:$C$824&lt;&gt;"")*(('Picked Students (raw)'!$C$2:$C$824-$B5)&lt;120)))))</f>
        <v/>
      </c>
      <c r="M5" s="5">
        <f>IF($A5="","",IF(L5="-","-",IF($D5=0,0,L5/$D5)))</f>
        <v/>
      </c>
      <c r="N5" s="3">
        <f>IF($A5="","",IF($B5="","",IF(TODAY()&lt;$B5+150,"-",SUMPRODUCT(('Picked Students (raw)'!$B$2:$B$824=$A5)*('Picked Students (raw)'!$E$2:$E$824="Career Gap/ Non Working")*('Picked Students (raw)'!$C$2:$C$824&lt;&gt;"")*(('Picked Students (raw)'!$C$2:$C$824-$B5)&lt;150)))))</f>
        <v/>
      </c>
      <c r="O5" s="5">
        <f>IF($A5="","",IF(N5="-","-",IF($D5=0,0,N5/$D5)))</f>
        <v/>
      </c>
      <c r="P5" s="3">
        <f>IF($A5="","",IF($B5="","",IF(TODAY()&lt;$B5+180,"-",SUMPRODUCT(('Picked Students (raw)'!$B$2:$B$824=$A5)*('Picked Students (raw)'!$E$2:$E$824="Career Gap/ Non Working")*('Picked Students (raw)'!$C$2:$C$824&lt;&gt;"")*(('Picked Students (raw)'!$C$2:$C$824-$B5)&lt;180)))))</f>
        <v/>
      </c>
      <c r="Q5" s="5">
        <f>IF($A5="","",IF(P5="-","-",IF($D5=0,0,P5/$D5)))</f>
        <v/>
      </c>
      <c r="R5" s="3">
        <f>IF($A5="","",IF($B5="","",IF(TODAY()&lt;$B5+210,"-",SUMPRODUCT(('Picked Students (raw)'!$B$2:$B$824=$A5)*('Picked Students (raw)'!$E$2:$E$824="Career Gap/ Non Working")*('Picked Students (raw)'!$C$2:$C$824&lt;&gt;"")*(('Picked Students (raw)'!$C$2:$C$824-$B5)&lt;210)))))</f>
        <v/>
      </c>
      <c r="S5" s="5">
        <f>IF($A5="","",IF(R5="-","-",IF($D5=0,0,R5/$D5)))</f>
        <v/>
      </c>
      <c r="T5" s="3">
        <f>IF($A5="","",IF($B5="","",IF(TODAY()&lt;$B5+240,"-",SUMPRODUCT(('Picked Students (raw)'!$B$2:$B$824=$A5)*('Picked Students (raw)'!$E$2:$E$824="Career Gap/ Non Working")*('Picked Students (raw)'!$C$2:$C$824&lt;&gt;"")*(('Picked Students (raw)'!$C$2:$C$824-$B5)&lt;240)))))</f>
        <v/>
      </c>
      <c r="U5" s="5">
        <f>IF($A5="","",IF(T5="-","-",IF($D5=0,0,T5/$D5)))</f>
        <v/>
      </c>
      <c r="V5" s="3">
        <f>IF($A5="","",IF($B5="","",IF(TODAY()&lt;$B5+270,"-",SUMPRODUCT(('Picked Students (raw)'!$B$2:$B$824=$A5)*('Picked Students (raw)'!$E$2:$E$824="Career Gap/ Non Working")*('Picked Students (raw)'!$C$2:$C$824&lt;&gt;"")*(('Picked Students (raw)'!$C$2:$C$824-$B5)&lt;270)))))</f>
        <v/>
      </c>
      <c r="W5" s="5">
        <f>IF($A5="","",IF(V5="-","-",IF($D5=0,0,V5/$D5)))</f>
        <v/>
      </c>
      <c r="X5" s="3">
        <f>IF($A5="","",IF($B5="","",IF(TODAY()&lt;$B5+300,"-",SUMPRODUCT(('Picked Students (raw)'!$B$2:$B$824=$A5)*('Picked Students (raw)'!$E$2:$E$824="Career Gap/ Non Working")*('Picked Students (raw)'!$C$2:$C$824&lt;&gt;"")*(('Picked Students (raw)'!$C$2:$C$824-$B5)&lt;300)))))</f>
        <v/>
      </c>
      <c r="Y5" s="5">
        <f>IF($A5="","",IF(X5="-","-",IF($D5=0,0,X5/$D5)))</f>
        <v/>
      </c>
      <c r="Z5" s="3">
        <f>IF($A5="","",IF($B5="","",IF(TODAY()&lt;$B5+330,"-",SUMPRODUCT(('Picked Students (raw)'!$B$2:$B$824=$A5)*('Picked Students (raw)'!$E$2:$E$824="Career Gap/ Non Working")*('Picked Students (raw)'!$C$2:$C$824&lt;&gt;"")*(('Picked Students (raw)'!$C$2:$C$824-$B5)&lt;330)))))</f>
        <v/>
      </c>
      <c r="AA5" s="5">
        <f>IF($A5="","",IF(Z5="-","-",IF($D5=0,0,Z5/$D5)))</f>
        <v/>
      </c>
      <c r="AB5" s="3">
        <f>IF($A5="","",IF($B5="","",IF(TODAY()&lt;$B5+360,"-",SUMPRODUCT(('Picked Students (raw)'!$B$2:$B$824=$A5)*('Picked Students (raw)'!$E$2:$E$824="Career Gap/ Non Working")*('Picked Students (raw)'!$C$2:$C$824&lt;&gt;"")*(('Picked Students (raw)'!$C$2:$C$824-$B5)&lt;360)))))</f>
        <v/>
      </c>
      <c r="AC5" s="5">
        <f>IF($A5="","",IF(AB5="-","-",IF($D5=0,0,AB5/$D5)))</f>
        <v/>
      </c>
      <c r="AD5" s="3">
        <f>IF($A5="","",IF($B5="","",IF(TODAY()&lt;$B5+390,"-",SUMPRODUCT(('Picked Students (raw)'!$B$2:$B$824=$A5)*('Picked Students (raw)'!$E$2:$E$824="Career Gap/ Non Working")*('Picked Students (raw)'!$C$2:$C$824&lt;&gt;"")*(('Picked Students (raw)'!$C$2:$C$824-$B5)&lt;390)))))</f>
        <v/>
      </c>
      <c r="AE5" s="5">
        <f>IF($A5="","",IF(AD5="-","-",IF($D5=0,0,AD5/$D5)))</f>
        <v/>
      </c>
      <c r="AF5" s="3">
        <f>IF($A5="","",IF($B5="","",IF(TODAY()&lt;$B5+420,"-",SUMPRODUCT(('Picked Students (raw)'!$B$2:$B$824=$A5)*('Picked Students (raw)'!$E$2:$E$824="Career Gap/ Non Working")*('Picked Students (raw)'!$C$2:$C$824&lt;&gt;"")*(('Picked Students (raw)'!$C$2:$C$824-$B5)&lt;420)))))</f>
        <v/>
      </c>
      <c r="AG5" s="5">
        <f>IF($A5="","",IF(AF5="-","-",IF($D5=0,0,AF5/$D5)))</f>
        <v/>
      </c>
      <c r="AH5" s="3">
        <f>IF($A5="","",IF($B5="","",IF(TODAY()&lt;$B5+450,"-",SUMPRODUCT(('Picked Students (raw)'!$B$2:$B$824=$A5)*('Picked Students (raw)'!$E$2:$E$824="Career Gap/ Non Working")*('Picked Students (raw)'!$C$2:$C$824&lt;&gt;"")*(('Picked Students (raw)'!$C$2:$C$824-$B5)&lt;450)))))</f>
        <v/>
      </c>
      <c r="AI5" s="5">
        <f>IF($A5="","",IF(AH5="-","-",IF($D5=0,0,AH5/$D5)))</f>
        <v/>
      </c>
      <c r="AJ5" s="3">
        <f>IF($A5="","",IF($B5="","",IF(TODAY()&lt;$B5+480,"-",SUMPRODUCT(('Picked Students (raw)'!$B$2:$B$824=$A5)*('Picked Students (raw)'!$E$2:$E$824="Career Gap/ Non Working")*('Picked Students (raw)'!$C$2:$C$824&lt;&gt;"")*(('Picked Students (raw)'!$C$2:$C$824-$B5)&lt;480)))))</f>
        <v/>
      </c>
      <c r="AK5" s="5">
        <f>IF($A5="","",IF(AJ5="-","-",IF($D5=0,0,AJ5/$D5)))</f>
        <v/>
      </c>
      <c r="AL5" s="3">
        <f>IF($A5="","",IF($B5="","",IF(TODAY()&lt;$B5+510,"-",SUMPRODUCT(('Picked Students (raw)'!$B$2:$B$824=$A5)*('Picked Students (raw)'!$E$2:$E$824="Career Gap/ Non Working")*('Picked Students (raw)'!$C$2:$C$824&lt;&gt;"")*(('Picked Students (raw)'!$C$2:$C$824-$B5)&lt;510)))))</f>
        <v/>
      </c>
      <c r="AM5" s="5">
        <f>IF($A5="","",IF(AL5="-","-",IF($D5=0,0,AL5/$D5)))</f>
        <v/>
      </c>
      <c r="AN5" s="3">
        <f>IF($A5="","",IF($B5="","",IF(TODAY()&lt;$B5+540,"-",SUMPRODUCT(('Picked Students (raw)'!$B$2:$B$824=$A5)*('Picked Students (raw)'!$E$2:$E$824="Career Gap/ Non Working")*('Picked Students (raw)'!$C$2:$C$824&lt;&gt;"")*(('Picked Students (raw)'!$C$2:$C$824-$B5)&lt;540)))))</f>
        <v/>
      </c>
      <c r="AO5" s="5">
        <f>IF($A5="","",IF(AN5="-","-",IF($D5=0,0,AN5/$D5)))</f>
        <v/>
      </c>
      <c r="AP5" s="3">
        <f>IF($A5="","",IF(AN5="-","-",$E5-AN5))</f>
        <v/>
      </c>
    </row>
    <row r="6">
      <c r="A6" s="3" t="inlineStr">
        <is>
          <t>Professional Certificate Course In Data Science - July 2023 - August 2023</t>
        </is>
      </c>
      <c r="B6" s="4">
        <f>IF($A6="","",IFERROR(INDEX('Batch Enrollment (Metabase)'!$D$2:$D$47,MATCH($A6,'Batch Enrollment (Metabase)'!$A$2:$A$47,0)),""))</f>
        <v/>
      </c>
      <c r="C6" s="3">
        <f>IF($A6="","",IFERROR(INDEX('Batch Enrollment (Metabase)'!$E$2:$E$47,MATCH($A6,'Batch Enrollment (Metabase)'!$A$2:$A$47,0)),""))</f>
        <v/>
      </c>
      <c r="D6" s="3">
        <f>IF($A6="","",IFERROR(INDEX('Batch Enrollment (Metabase)'!$F$2:$F$47,MATCH($A6,'Batch Enrollment (Metabase)'!$A$2:$A$47,0)),""))</f>
        <v/>
      </c>
      <c r="E6" s="3">
        <f>IF($A6="","",COUNTIFS('Picked Students (raw)'!$B$2:$B$824,$A6,'Picked Students (raw)'!$E$2:$E$824,"Career Gap/ Non Working"))</f>
        <v/>
      </c>
      <c r="F6" s="3">
        <f>IF($A6="","",IF($B6="","",IF(TODAY()&lt;$B6+30,"-",SUMPRODUCT(('Picked Students (raw)'!$B$2:$B$824=$A6)*('Picked Students (raw)'!$E$2:$E$824="Career Gap/ Non Working")*('Picked Students (raw)'!$C$2:$C$824&lt;&gt;"")*(('Picked Students (raw)'!$C$2:$C$824-$B6)&lt;30)))))</f>
        <v/>
      </c>
      <c r="G6" s="5">
        <f>IF($A6="","",IF(F6="-","-",IF($D6=0,0,F6/$D6)))</f>
        <v/>
      </c>
      <c r="H6" s="3">
        <f>IF($A6="","",IF($B6="","",IF(TODAY()&lt;$B6+60,"-",SUMPRODUCT(('Picked Students (raw)'!$B$2:$B$824=$A6)*('Picked Students (raw)'!$E$2:$E$824="Career Gap/ Non Working")*('Picked Students (raw)'!$C$2:$C$824&lt;&gt;"")*(('Picked Students (raw)'!$C$2:$C$824-$B6)&lt;60)))))</f>
        <v/>
      </c>
      <c r="I6" s="5">
        <f>IF($A6="","",IF(H6="-","-",IF($D6=0,0,H6/$D6)))</f>
        <v/>
      </c>
      <c r="J6" s="3">
        <f>IF($A6="","",IF($B6="","",IF(TODAY()&lt;$B6+90,"-",SUMPRODUCT(('Picked Students (raw)'!$B$2:$B$824=$A6)*('Picked Students (raw)'!$E$2:$E$824="Career Gap/ Non Working")*('Picked Students (raw)'!$C$2:$C$824&lt;&gt;"")*(('Picked Students (raw)'!$C$2:$C$824-$B6)&lt;90)))))</f>
        <v/>
      </c>
      <c r="K6" s="5">
        <f>IF($A6="","",IF(J6="-","-",IF($D6=0,0,J6/$D6)))</f>
        <v/>
      </c>
      <c r="L6" s="3">
        <f>IF($A6="","",IF($B6="","",IF(TODAY()&lt;$B6+120,"-",SUMPRODUCT(('Picked Students (raw)'!$B$2:$B$824=$A6)*('Picked Students (raw)'!$E$2:$E$824="Career Gap/ Non Working")*('Picked Students (raw)'!$C$2:$C$824&lt;&gt;"")*(('Picked Students (raw)'!$C$2:$C$824-$B6)&lt;120)))))</f>
        <v/>
      </c>
      <c r="M6" s="5">
        <f>IF($A6="","",IF(L6="-","-",IF($D6=0,0,L6/$D6)))</f>
        <v/>
      </c>
      <c r="N6" s="3">
        <f>IF($A6="","",IF($B6="","",IF(TODAY()&lt;$B6+150,"-",SUMPRODUCT(('Picked Students (raw)'!$B$2:$B$824=$A6)*('Picked Students (raw)'!$E$2:$E$824="Career Gap/ Non Working")*('Picked Students (raw)'!$C$2:$C$824&lt;&gt;"")*(('Picked Students (raw)'!$C$2:$C$824-$B6)&lt;150)))))</f>
        <v/>
      </c>
      <c r="O6" s="5">
        <f>IF($A6="","",IF(N6="-","-",IF($D6=0,0,N6/$D6)))</f>
        <v/>
      </c>
      <c r="P6" s="3">
        <f>IF($A6="","",IF($B6="","",IF(TODAY()&lt;$B6+180,"-",SUMPRODUCT(('Picked Students (raw)'!$B$2:$B$824=$A6)*('Picked Students (raw)'!$E$2:$E$824="Career Gap/ Non Working")*('Picked Students (raw)'!$C$2:$C$824&lt;&gt;"")*(('Picked Students (raw)'!$C$2:$C$824-$B6)&lt;180)))))</f>
        <v/>
      </c>
      <c r="Q6" s="5">
        <f>IF($A6="","",IF(P6="-","-",IF($D6=0,0,P6/$D6)))</f>
        <v/>
      </c>
      <c r="R6" s="3">
        <f>IF($A6="","",IF($B6="","",IF(TODAY()&lt;$B6+210,"-",SUMPRODUCT(('Picked Students (raw)'!$B$2:$B$824=$A6)*('Picked Students (raw)'!$E$2:$E$824="Career Gap/ Non Working")*('Picked Students (raw)'!$C$2:$C$824&lt;&gt;"")*(('Picked Students (raw)'!$C$2:$C$824-$B6)&lt;210)))))</f>
        <v/>
      </c>
      <c r="S6" s="5">
        <f>IF($A6="","",IF(R6="-","-",IF($D6=0,0,R6/$D6)))</f>
        <v/>
      </c>
      <c r="T6" s="3">
        <f>IF($A6="","",IF($B6="","",IF(TODAY()&lt;$B6+240,"-",SUMPRODUCT(('Picked Students (raw)'!$B$2:$B$824=$A6)*('Picked Students (raw)'!$E$2:$E$824="Career Gap/ Non Working")*('Picked Students (raw)'!$C$2:$C$824&lt;&gt;"")*(('Picked Students (raw)'!$C$2:$C$824-$B6)&lt;240)))))</f>
        <v/>
      </c>
      <c r="U6" s="5">
        <f>IF($A6="","",IF(T6="-","-",IF($D6=0,0,T6/$D6)))</f>
        <v/>
      </c>
      <c r="V6" s="3">
        <f>IF($A6="","",IF($B6="","",IF(TODAY()&lt;$B6+270,"-",SUMPRODUCT(('Picked Students (raw)'!$B$2:$B$824=$A6)*('Picked Students (raw)'!$E$2:$E$824="Career Gap/ Non Working")*('Picked Students (raw)'!$C$2:$C$824&lt;&gt;"")*(('Picked Students (raw)'!$C$2:$C$824-$B6)&lt;270)))))</f>
        <v/>
      </c>
      <c r="W6" s="5">
        <f>IF($A6="","",IF(V6="-","-",IF($D6=0,0,V6/$D6)))</f>
        <v/>
      </c>
      <c r="X6" s="3">
        <f>IF($A6="","",IF($B6="","",IF(TODAY()&lt;$B6+300,"-",SUMPRODUCT(('Picked Students (raw)'!$B$2:$B$824=$A6)*('Picked Students (raw)'!$E$2:$E$824="Career Gap/ Non Working")*('Picked Students (raw)'!$C$2:$C$824&lt;&gt;"")*(('Picked Students (raw)'!$C$2:$C$824-$B6)&lt;300)))))</f>
        <v/>
      </c>
      <c r="Y6" s="5">
        <f>IF($A6="","",IF(X6="-","-",IF($D6=0,0,X6/$D6)))</f>
        <v/>
      </c>
      <c r="Z6" s="3">
        <f>IF($A6="","",IF($B6="","",IF(TODAY()&lt;$B6+330,"-",SUMPRODUCT(('Picked Students (raw)'!$B$2:$B$824=$A6)*('Picked Students (raw)'!$E$2:$E$824="Career Gap/ Non Working")*('Picked Students (raw)'!$C$2:$C$824&lt;&gt;"")*(('Picked Students (raw)'!$C$2:$C$824-$B6)&lt;330)))))</f>
        <v/>
      </c>
      <c r="AA6" s="5">
        <f>IF($A6="","",IF(Z6="-","-",IF($D6=0,0,Z6/$D6)))</f>
        <v/>
      </c>
      <c r="AB6" s="3">
        <f>IF($A6="","",IF($B6="","",IF(TODAY()&lt;$B6+360,"-",SUMPRODUCT(('Picked Students (raw)'!$B$2:$B$824=$A6)*('Picked Students (raw)'!$E$2:$E$824="Career Gap/ Non Working")*('Picked Students (raw)'!$C$2:$C$824&lt;&gt;"")*(('Picked Students (raw)'!$C$2:$C$824-$B6)&lt;360)))))</f>
        <v/>
      </c>
      <c r="AC6" s="5">
        <f>IF($A6="","",IF(AB6="-","-",IF($D6=0,0,AB6/$D6)))</f>
        <v/>
      </c>
      <c r="AD6" s="3">
        <f>IF($A6="","",IF($B6="","",IF(TODAY()&lt;$B6+390,"-",SUMPRODUCT(('Picked Students (raw)'!$B$2:$B$824=$A6)*('Picked Students (raw)'!$E$2:$E$824="Career Gap/ Non Working")*('Picked Students (raw)'!$C$2:$C$824&lt;&gt;"")*(('Picked Students (raw)'!$C$2:$C$824-$B6)&lt;390)))))</f>
        <v/>
      </c>
      <c r="AE6" s="5">
        <f>IF($A6="","",IF(AD6="-","-",IF($D6=0,0,AD6/$D6)))</f>
        <v/>
      </c>
      <c r="AF6" s="3">
        <f>IF($A6="","",IF($B6="","",IF(TODAY()&lt;$B6+420,"-",SUMPRODUCT(('Picked Students (raw)'!$B$2:$B$824=$A6)*('Picked Students (raw)'!$E$2:$E$824="Career Gap/ Non Working")*('Picked Students (raw)'!$C$2:$C$824&lt;&gt;"")*(('Picked Students (raw)'!$C$2:$C$824-$B6)&lt;420)))))</f>
        <v/>
      </c>
      <c r="AG6" s="5">
        <f>IF($A6="","",IF(AF6="-","-",IF($D6=0,0,AF6/$D6)))</f>
        <v/>
      </c>
      <c r="AH6" s="3">
        <f>IF($A6="","",IF($B6="","",IF(TODAY()&lt;$B6+450,"-",SUMPRODUCT(('Picked Students (raw)'!$B$2:$B$824=$A6)*('Picked Students (raw)'!$E$2:$E$824="Career Gap/ Non Working")*('Picked Students (raw)'!$C$2:$C$824&lt;&gt;"")*(('Picked Students (raw)'!$C$2:$C$824-$B6)&lt;450)))))</f>
        <v/>
      </c>
      <c r="AI6" s="5">
        <f>IF($A6="","",IF(AH6="-","-",IF($D6=0,0,AH6/$D6)))</f>
        <v/>
      </c>
      <c r="AJ6" s="3">
        <f>IF($A6="","",IF($B6="","",IF(TODAY()&lt;$B6+480,"-",SUMPRODUCT(('Picked Students (raw)'!$B$2:$B$824=$A6)*('Picked Students (raw)'!$E$2:$E$824="Career Gap/ Non Working")*('Picked Students (raw)'!$C$2:$C$824&lt;&gt;"")*(('Picked Students (raw)'!$C$2:$C$824-$B6)&lt;480)))))</f>
        <v/>
      </c>
      <c r="AK6" s="5">
        <f>IF($A6="","",IF(AJ6="-","-",IF($D6=0,0,AJ6/$D6)))</f>
        <v/>
      </c>
      <c r="AL6" s="3">
        <f>IF($A6="","",IF($B6="","",IF(TODAY()&lt;$B6+510,"-",SUMPRODUCT(('Picked Students (raw)'!$B$2:$B$824=$A6)*('Picked Students (raw)'!$E$2:$E$824="Career Gap/ Non Working")*('Picked Students (raw)'!$C$2:$C$824&lt;&gt;"")*(('Picked Students (raw)'!$C$2:$C$824-$B6)&lt;510)))))</f>
        <v/>
      </c>
      <c r="AM6" s="5">
        <f>IF($A6="","",IF(AL6="-","-",IF($D6=0,0,AL6/$D6)))</f>
        <v/>
      </c>
      <c r="AN6" s="3">
        <f>IF($A6="","",IF($B6="","",IF(TODAY()&lt;$B6+540,"-",SUMPRODUCT(('Picked Students (raw)'!$B$2:$B$824=$A6)*('Picked Students (raw)'!$E$2:$E$824="Career Gap/ Non Working")*('Picked Students (raw)'!$C$2:$C$824&lt;&gt;"")*(('Picked Students (raw)'!$C$2:$C$824-$B6)&lt;540)))))</f>
        <v/>
      </c>
      <c r="AO6" s="5">
        <f>IF($A6="","",IF(AN6="-","-",IF($D6=0,0,AN6/$D6)))</f>
        <v/>
      </c>
      <c r="AP6" s="3">
        <f>IF($A6="","",IF(AN6="-","-",$E6-AN6))</f>
        <v/>
      </c>
    </row>
    <row r="7">
      <c r="A7" s="3" t="inlineStr">
        <is>
          <t>Professional Certificate Course In Data Science - August 2023</t>
        </is>
      </c>
      <c r="B7" s="4">
        <f>IF($A7="","",IFERROR(INDEX('Batch Enrollment (Metabase)'!$D$2:$D$47,MATCH($A7,'Batch Enrollment (Metabase)'!$A$2:$A$47,0)),""))</f>
        <v/>
      </c>
      <c r="C7" s="3">
        <f>IF($A7="","",IFERROR(INDEX('Batch Enrollment (Metabase)'!$E$2:$E$47,MATCH($A7,'Batch Enrollment (Metabase)'!$A$2:$A$47,0)),""))</f>
        <v/>
      </c>
      <c r="D7" s="3">
        <f>IF($A7="","",IFERROR(INDEX('Batch Enrollment (Metabase)'!$F$2:$F$47,MATCH($A7,'Batch Enrollment (Metabase)'!$A$2:$A$47,0)),""))</f>
        <v/>
      </c>
      <c r="E7" s="3">
        <f>IF($A7="","",COUNTIFS('Picked Students (raw)'!$B$2:$B$824,$A7,'Picked Students (raw)'!$E$2:$E$824,"Career Gap/ Non Working"))</f>
        <v/>
      </c>
      <c r="F7" s="3">
        <f>IF($A7="","",IF($B7="","",IF(TODAY()&lt;$B7+30,"-",SUMPRODUCT(('Picked Students (raw)'!$B$2:$B$824=$A7)*('Picked Students (raw)'!$E$2:$E$824="Career Gap/ Non Working")*('Picked Students (raw)'!$C$2:$C$824&lt;&gt;"")*(('Picked Students (raw)'!$C$2:$C$824-$B7)&lt;30)))))</f>
        <v/>
      </c>
      <c r="G7" s="5">
        <f>IF($A7="","",IF(F7="-","-",IF($D7=0,0,F7/$D7)))</f>
        <v/>
      </c>
      <c r="H7" s="3">
        <f>IF($A7="","",IF($B7="","",IF(TODAY()&lt;$B7+60,"-",SUMPRODUCT(('Picked Students (raw)'!$B$2:$B$824=$A7)*('Picked Students (raw)'!$E$2:$E$824="Career Gap/ Non Working")*('Picked Students (raw)'!$C$2:$C$824&lt;&gt;"")*(('Picked Students (raw)'!$C$2:$C$824-$B7)&lt;60)))))</f>
        <v/>
      </c>
      <c r="I7" s="5">
        <f>IF($A7="","",IF(H7="-","-",IF($D7=0,0,H7/$D7)))</f>
        <v/>
      </c>
      <c r="J7" s="3">
        <f>IF($A7="","",IF($B7="","",IF(TODAY()&lt;$B7+90,"-",SUMPRODUCT(('Picked Students (raw)'!$B$2:$B$824=$A7)*('Picked Students (raw)'!$E$2:$E$824="Career Gap/ Non Working")*('Picked Students (raw)'!$C$2:$C$824&lt;&gt;"")*(('Picked Students (raw)'!$C$2:$C$824-$B7)&lt;90)))))</f>
        <v/>
      </c>
      <c r="K7" s="5">
        <f>IF($A7="","",IF(J7="-","-",IF($D7=0,0,J7/$D7)))</f>
        <v/>
      </c>
      <c r="L7" s="3">
        <f>IF($A7="","",IF($B7="","",IF(TODAY()&lt;$B7+120,"-",SUMPRODUCT(('Picked Students (raw)'!$B$2:$B$824=$A7)*('Picked Students (raw)'!$E$2:$E$824="Career Gap/ Non Working")*('Picked Students (raw)'!$C$2:$C$824&lt;&gt;"")*(('Picked Students (raw)'!$C$2:$C$824-$B7)&lt;120)))))</f>
        <v/>
      </c>
      <c r="M7" s="5">
        <f>IF($A7="","",IF(L7="-","-",IF($D7=0,0,L7/$D7)))</f>
        <v/>
      </c>
      <c r="N7" s="3">
        <f>IF($A7="","",IF($B7="","",IF(TODAY()&lt;$B7+150,"-",SUMPRODUCT(('Picked Students (raw)'!$B$2:$B$824=$A7)*('Picked Students (raw)'!$E$2:$E$824="Career Gap/ Non Working")*('Picked Students (raw)'!$C$2:$C$824&lt;&gt;"")*(('Picked Students (raw)'!$C$2:$C$824-$B7)&lt;150)))))</f>
        <v/>
      </c>
      <c r="O7" s="5">
        <f>IF($A7="","",IF(N7="-","-",IF($D7=0,0,N7/$D7)))</f>
        <v/>
      </c>
      <c r="P7" s="3">
        <f>IF($A7="","",IF($B7="","",IF(TODAY()&lt;$B7+180,"-",SUMPRODUCT(('Picked Students (raw)'!$B$2:$B$824=$A7)*('Picked Students (raw)'!$E$2:$E$824="Career Gap/ Non Working")*('Picked Students (raw)'!$C$2:$C$824&lt;&gt;"")*(('Picked Students (raw)'!$C$2:$C$824-$B7)&lt;180)))))</f>
        <v/>
      </c>
      <c r="Q7" s="5">
        <f>IF($A7="","",IF(P7="-","-",IF($D7=0,0,P7/$D7)))</f>
        <v/>
      </c>
      <c r="R7" s="3">
        <f>IF($A7="","",IF($B7="","",IF(TODAY()&lt;$B7+210,"-",SUMPRODUCT(('Picked Students (raw)'!$B$2:$B$824=$A7)*('Picked Students (raw)'!$E$2:$E$824="Career Gap/ Non Working")*('Picked Students (raw)'!$C$2:$C$824&lt;&gt;"")*(('Picked Students (raw)'!$C$2:$C$824-$B7)&lt;210)))))</f>
        <v/>
      </c>
      <c r="S7" s="5">
        <f>IF($A7="","",IF(R7="-","-",IF($D7=0,0,R7/$D7)))</f>
        <v/>
      </c>
      <c r="T7" s="3">
        <f>IF($A7="","",IF($B7="","",IF(TODAY()&lt;$B7+240,"-",SUMPRODUCT(('Picked Students (raw)'!$B$2:$B$824=$A7)*('Picked Students (raw)'!$E$2:$E$824="Career Gap/ Non Working")*('Picked Students (raw)'!$C$2:$C$824&lt;&gt;"")*(('Picked Students (raw)'!$C$2:$C$824-$B7)&lt;240)))))</f>
        <v/>
      </c>
      <c r="U7" s="5">
        <f>IF($A7="","",IF(T7="-","-",IF($D7=0,0,T7/$D7)))</f>
        <v/>
      </c>
      <c r="V7" s="3">
        <f>IF($A7="","",IF($B7="","",IF(TODAY()&lt;$B7+270,"-",SUMPRODUCT(('Picked Students (raw)'!$B$2:$B$824=$A7)*('Picked Students (raw)'!$E$2:$E$824="Career Gap/ Non Working")*('Picked Students (raw)'!$C$2:$C$824&lt;&gt;"")*(('Picked Students (raw)'!$C$2:$C$824-$B7)&lt;270)))))</f>
        <v/>
      </c>
      <c r="W7" s="5">
        <f>IF($A7="","",IF(V7="-","-",IF($D7=0,0,V7/$D7)))</f>
        <v/>
      </c>
      <c r="X7" s="3">
        <f>IF($A7="","",IF($B7="","",IF(TODAY()&lt;$B7+300,"-",SUMPRODUCT(('Picked Students (raw)'!$B$2:$B$824=$A7)*('Picked Students (raw)'!$E$2:$E$824="Career Gap/ Non Working")*('Picked Students (raw)'!$C$2:$C$824&lt;&gt;"")*(('Picked Students (raw)'!$C$2:$C$824-$B7)&lt;300)))))</f>
        <v/>
      </c>
      <c r="Y7" s="5">
        <f>IF($A7="","",IF(X7="-","-",IF($D7=0,0,X7/$D7)))</f>
        <v/>
      </c>
      <c r="Z7" s="3">
        <f>IF($A7="","",IF($B7="","",IF(TODAY()&lt;$B7+330,"-",SUMPRODUCT(('Picked Students (raw)'!$B$2:$B$824=$A7)*('Picked Students (raw)'!$E$2:$E$824="Career Gap/ Non Working")*('Picked Students (raw)'!$C$2:$C$824&lt;&gt;"")*(('Picked Students (raw)'!$C$2:$C$824-$B7)&lt;330)))))</f>
        <v/>
      </c>
      <c r="AA7" s="5">
        <f>IF($A7="","",IF(Z7="-","-",IF($D7=0,0,Z7/$D7)))</f>
        <v/>
      </c>
      <c r="AB7" s="3">
        <f>IF($A7="","",IF($B7="","",IF(TODAY()&lt;$B7+360,"-",SUMPRODUCT(('Picked Students (raw)'!$B$2:$B$824=$A7)*('Picked Students (raw)'!$E$2:$E$824="Career Gap/ Non Working")*('Picked Students (raw)'!$C$2:$C$824&lt;&gt;"")*(('Picked Students (raw)'!$C$2:$C$824-$B7)&lt;360)))))</f>
        <v/>
      </c>
      <c r="AC7" s="5">
        <f>IF($A7="","",IF(AB7="-","-",IF($D7=0,0,AB7/$D7)))</f>
        <v/>
      </c>
      <c r="AD7" s="3">
        <f>IF($A7="","",IF($B7="","",IF(TODAY()&lt;$B7+390,"-",SUMPRODUCT(('Picked Students (raw)'!$B$2:$B$824=$A7)*('Picked Students (raw)'!$E$2:$E$824="Career Gap/ Non Working")*('Picked Students (raw)'!$C$2:$C$824&lt;&gt;"")*(('Picked Students (raw)'!$C$2:$C$824-$B7)&lt;390)))))</f>
        <v/>
      </c>
      <c r="AE7" s="5">
        <f>IF($A7="","",IF(AD7="-","-",IF($D7=0,0,AD7/$D7)))</f>
        <v/>
      </c>
      <c r="AF7" s="3">
        <f>IF($A7="","",IF($B7="","",IF(TODAY()&lt;$B7+420,"-",SUMPRODUCT(('Picked Students (raw)'!$B$2:$B$824=$A7)*('Picked Students (raw)'!$E$2:$E$824="Career Gap/ Non Working")*('Picked Students (raw)'!$C$2:$C$824&lt;&gt;"")*(('Picked Students (raw)'!$C$2:$C$824-$B7)&lt;420)))))</f>
        <v/>
      </c>
      <c r="AG7" s="5">
        <f>IF($A7="","",IF(AF7="-","-",IF($D7=0,0,AF7/$D7)))</f>
        <v/>
      </c>
      <c r="AH7" s="3">
        <f>IF($A7="","",IF($B7="","",IF(TODAY()&lt;$B7+450,"-",SUMPRODUCT(('Picked Students (raw)'!$B$2:$B$824=$A7)*('Picked Students (raw)'!$E$2:$E$824="Career Gap/ Non Working")*('Picked Students (raw)'!$C$2:$C$824&lt;&gt;"")*(('Picked Students (raw)'!$C$2:$C$824-$B7)&lt;450)))))</f>
        <v/>
      </c>
      <c r="AI7" s="5">
        <f>IF($A7="","",IF(AH7="-","-",IF($D7=0,0,AH7/$D7)))</f>
        <v/>
      </c>
      <c r="AJ7" s="3">
        <f>IF($A7="","",IF($B7="","",IF(TODAY()&lt;$B7+480,"-",SUMPRODUCT(('Picked Students (raw)'!$B$2:$B$824=$A7)*('Picked Students (raw)'!$E$2:$E$824="Career Gap/ Non Working")*('Picked Students (raw)'!$C$2:$C$824&lt;&gt;"")*(('Picked Students (raw)'!$C$2:$C$824-$B7)&lt;480)))))</f>
        <v/>
      </c>
      <c r="AK7" s="5">
        <f>IF($A7="","",IF(AJ7="-","-",IF($D7=0,0,AJ7/$D7)))</f>
        <v/>
      </c>
      <c r="AL7" s="3">
        <f>IF($A7="","",IF($B7="","",IF(TODAY()&lt;$B7+510,"-",SUMPRODUCT(('Picked Students (raw)'!$B$2:$B$824=$A7)*('Picked Students (raw)'!$E$2:$E$824="Career Gap/ Non Working")*('Picked Students (raw)'!$C$2:$C$824&lt;&gt;"")*(('Picked Students (raw)'!$C$2:$C$824-$B7)&lt;510)))))</f>
        <v/>
      </c>
      <c r="AM7" s="5">
        <f>IF($A7="","",IF(AL7="-","-",IF($D7=0,0,AL7/$D7)))</f>
        <v/>
      </c>
      <c r="AN7" s="3">
        <f>IF($A7="","",IF($B7="","",IF(TODAY()&lt;$B7+540,"-",SUMPRODUCT(('Picked Students (raw)'!$B$2:$B$824=$A7)*('Picked Students (raw)'!$E$2:$E$824="Career Gap/ Non Working")*('Picked Students (raw)'!$C$2:$C$824&lt;&gt;"")*(('Picked Students (raw)'!$C$2:$C$824-$B7)&lt;540)))))</f>
        <v/>
      </c>
      <c r="AO7" s="5">
        <f>IF($A7="","",IF(AN7="-","-",IF($D7=0,0,AN7/$D7)))</f>
        <v/>
      </c>
      <c r="AP7" s="3">
        <f>IF($A7="","",IF(AN7="-","-",$E7-AN7))</f>
        <v/>
      </c>
    </row>
    <row r="8">
      <c r="A8" s="3" t="inlineStr">
        <is>
          <t>Professional Certificate Course In Data Science - September 2023</t>
        </is>
      </c>
      <c r="B8" s="4">
        <f>IF($A8="","",IFERROR(INDEX('Batch Enrollment (Metabase)'!$D$2:$D$47,MATCH($A8,'Batch Enrollment (Metabase)'!$A$2:$A$47,0)),""))</f>
        <v/>
      </c>
      <c r="C8" s="3">
        <f>IF($A8="","",IFERROR(INDEX('Batch Enrollment (Metabase)'!$E$2:$E$47,MATCH($A8,'Batch Enrollment (Metabase)'!$A$2:$A$47,0)),""))</f>
        <v/>
      </c>
      <c r="D8" s="3">
        <f>IF($A8="","",IFERROR(INDEX('Batch Enrollment (Metabase)'!$F$2:$F$47,MATCH($A8,'Batch Enrollment (Metabase)'!$A$2:$A$47,0)),""))</f>
        <v/>
      </c>
      <c r="E8" s="3">
        <f>IF($A8="","",COUNTIFS('Picked Students (raw)'!$B$2:$B$824,$A8,'Picked Students (raw)'!$E$2:$E$824,"Career Gap/ Non Working"))</f>
        <v/>
      </c>
      <c r="F8" s="3">
        <f>IF($A8="","",IF($B8="","",IF(TODAY()&lt;$B8+30,"-",SUMPRODUCT(('Picked Students (raw)'!$B$2:$B$824=$A8)*('Picked Students (raw)'!$E$2:$E$824="Career Gap/ Non Working")*('Picked Students (raw)'!$C$2:$C$824&lt;&gt;"")*(('Picked Students (raw)'!$C$2:$C$824-$B8)&lt;30)))))</f>
        <v/>
      </c>
      <c r="G8" s="5">
        <f>IF($A8="","",IF(F8="-","-",IF($D8=0,0,F8/$D8)))</f>
        <v/>
      </c>
      <c r="H8" s="3">
        <f>IF($A8="","",IF($B8="","",IF(TODAY()&lt;$B8+60,"-",SUMPRODUCT(('Picked Students (raw)'!$B$2:$B$824=$A8)*('Picked Students (raw)'!$E$2:$E$824="Career Gap/ Non Working")*('Picked Students (raw)'!$C$2:$C$824&lt;&gt;"")*(('Picked Students (raw)'!$C$2:$C$824-$B8)&lt;60)))))</f>
        <v/>
      </c>
      <c r="I8" s="5">
        <f>IF($A8="","",IF(H8="-","-",IF($D8=0,0,H8/$D8)))</f>
        <v/>
      </c>
      <c r="J8" s="3">
        <f>IF($A8="","",IF($B8="","",IF(TODAY()&lt;$B8+90,"-",SUMPRODUCT(('Picked Students (raw)'!$B$2:$B$824=$A8)*('Picked Students (raw)'!$E$2:$E$824="Career Gap/ Non Working")*('Picked Students (raw)'!$C$2:$C$824&lt;&gt;"")*(('Picked Students (raw)'!$C$2:$C$824-$B8)&lt;90)))))</f>
        <v/>
      </c>
      <c r="K8" s="5">
        <f>IF($A8="","",IF(J8="-","-",IF($D8=0,0,J8/$D8)))</f>
        <v/>
      </c>
      <c r="L8" s="3">
        <f>IF($A8="","",IF($B8="","",IF(TODAY()&lt;$B8+120,"-",SUMPRODUCT(('Picked Students (raw)'!$B$2:$B$824=$A8)*('Picked Students (raw)'!$E$2:$E$824="Career Gap/ Non Working")*('Picked Students (raw)'!$C$2:$C$824&lt;&gt;"")*(('Picked Students (raw)'!$C$2:$C$824-$B8)&lt;120)))))</f>
        <v/>
      </c>
      <c r="M8" s="5">
        <f>IF($A8="","",IF(L8="-","-",IF($D8=0,0,L8/$D8)))</f>
        <v/>
      </c>
      <c r="N8" s="3">
        <f>IF($A8="","",IF($B8="","",IF(TODAY()&lt;$B8+150,"-",SUMPRODUCT(('Picked Students (raw)'!$B$2:$B$824=$A8)*('Picked Students (raw)'!$E$2:$E$824="Career Gap/ Non Working")*('Picked Students (raw)'!$C$2:$C$824&lt;&gt;"")*(('Picked Students (raw)'!$C$2:$C$824-$B8)&lt;150)))))</f>
        <v/>
      </c>
      <c r="O8" s="5">
        <f>IF($A8="","",IF(N8="-","-",IF($D8=0,0,N8/$D8)))</f>
        <v/>
      </c>
      <c r="P8" s="3">
        <f>IF($A8="","",IF($B8="","",IF(TODAY()&lt;$B8+180,"-",SUMPRODUCT(('Picked Students (raw)'!$B$2:$B$824=$A8)*('Picked Students (raw)'!$E$2:$E$824="Career Gap/ Non Working")*('Picked Students (raw)'!$C$2:$C$824&lt;&gt;"")*(('Picked Students (raw)'!$C$2:$C$824-$B8)&lt;180)))))</f>
        <v/>
      </c>
      <c r="Q8" s="5">
        <f>IF($A8="","",IF(P8="-","-",IF($D8=0,0,P8/$D8)))</f>
        <v/>
      </c>
      <c r="R8" s="3">
        <f>IF($A8="","",IF($B8="","",IF(TODAY()&lt;$B8+210,"-",SUMPRODUCT(('Picked Students (raw)'!$B$2:$B$824=$A8)*('Picked Students (raw)'!$E$2:$E$824="Career Gap/ Non Working")*('Picked Students (raw)'!$C$2:$C$824&lt;&gt;"")*(('Picked Students (raw)'!$C$2:$C$824-$B8)&lt;210)))))</f>
        <v/>
      </c>
      <c r="S8" s="5">
        <f>IF($A8="","",IF(R8="-","-",IF($D8=0,0,R8/$D8)))</f>
        <v/>
      </c>
      <c r="T8" s="3">
        <f>IF($A8="","",IF($B8="","",IF(TODAY()&lt;$B8+240,"-",SUMPRODUCT(('Picked Students (raw)'!$B$2:$B$824=$A8)*('Picked Students (raw)'!$E$2:$E$824="Career Gap/ Non Working")*('Picked Students (raw)'!$C$2:$C$824&lt;&gt;"")*(('Picked Students (raw)'!$C$2:$C$824-$B8)&lt;240)))))</f>
        <v/>
      </c>
      <c r="U8" s="5">
        <f>IF($A8="","",IF(T8="-","-",IF($D8=0,0,T8/$D8)))</f>
        <v/>
      </c>
      <c r="V8" s="3">
        <f>IF($A8="","",IF($B8="","",IF(TODAY()&lt;$B8+270,"-",SUMPRODUCT(('Picked Students (raw)'!$B$2:$B$824=$A8)*('Picked Students (raw)'!$E$2:$E$824="Career Gap/ Non Working")*('Picked Students (raw)'!$C$2:$C$824&lt;&gt;"")*(('Picked Students (raw)'!$C$2:$C$824-$B8)&lt;270)))))</f>
        <v/>
      </c>
      <c r="W8" s="5">
        <f>IF($A8="","",IF(V8="-","-",IF($D8=0,0,V8/$D8)))</f>
        <v/>
      </c>
      <c r="X8" s="3">
        <f>IF($A8="","",IF($B8="","",IF(TODAY()&lt;$B8+300,"-",SUMPRODUCT(('Picked Students (raw)'!$B$2:$B$824=$A8)*('Picked Students (raw)'!$E$2:$E$824="Career Gap/ Non Working")*('Picked Students (raw)'!$C$2:$C$824&lt;&gt;"")*(('Picked Students (raw)'!$C$2:$C$824-$B8)&lt;300)))))</f>
        <v/>
      </c>
      <c r="Y8" s="5">
        <f>IF($A8="","",IF(X8="-","-",IF($D8=0,0,X8/$D8)))</f>
        <v/>
      </c>
      <c r="Z8" s="3">
        <f>IF($A8="","",IF($B8="","",IF(TODAY()&lt;$B8+330,"-",SUMPRODUCT(('Picked Students (raw)'!$B$2:$B$824=$A8)*('Picked Students (raw)'!$E$2:$E$824="Career Gap/ Non Working")*('Picked Students (raw)'!$C$2:$C$824&lt;&gt;"")*(('Picked Students (raw)'!$C$2:$C$824-$B8)&lt;330)))))</f>
        <v/>
      </c>
      <c r="AA8" s="5">
        <f>IF($A8="","",IF(Z8="-","-",IF($D8=0,0,Z8/$D8)))</f>
        <v/>
      </c>
      <c r="AB8" s="3">
        <f>IF($A8="","",IF($B8="","",IF(TODAY()&lt;$B8+360,"-",SUMPRODUCT(('Picked Students (raw)'!$B$2:$B$824=$A8)*('Picked Students (raw)'!$E$2:$E$824="Career Gap/ Non Working")*('Picked Students (raw)'!$C$2:$C$824&lt;&gt;"")*(('Picked Students (raw)'!$C$2:$C$824-$B8)&lt;360)))))</f>
        <v/>
      </c>
      <c r="AC8" s="5">
        <f>IF($A8="","",IF(AB8="-","-",IF($D8=0,0,AB8/$D8)))</f>
        <v/>
      </c>
      <c r="AD8" s="3">
        <f>IF($A8="","",IF($B8="","",IF(TODAY()&lt;$B8+390,"-",SUMPRODUCT(('Picked Students (raw)'!$B$2:$B$824=$A8)*('Picked Students (raw)'!$E$2:$E$824="Career Gap/ Non Working")*('Picked Students (raw)'!$C$2:$C$824&lt;&gt;"")*(('Picked Students (raw)'!$C$2:$C$824-$B8)&lt;390)))))</f>
        <v/>
      </c>
      <c r="AE8" s="5">
        <f>IF($A8="","",IF(AD8="-","-",IF($D8=0,0,AD8/$D8)))</f>
        <v/>
      </c>
      <c r="AF8" s="3">
        <f>IF($A8="","",IF($B8="","",IF(TODAY()&lt;$B8+420,"-",SUMPRODUCT(('Picked Students (raw)'!$B$2:$B$824=$A8)*('Picked Students (raw)'!$E$2:$E$824="Career Gap/ Non Working")*('Picked Students (raw)'!$C$2:$C$824&lt;&gt;"")*(('Picked Students (raw)'!$C$2:$C$824-$B8)&lt;420)))))</f>
        <v/>
      </c>
      <c r="AG8" s="5">
        <f>IF($A8="","",IF(AF8="-","-",IF($D8=0,0,AF8/$D8)))</f>
        <v/>
      </c>
      <c r="AH8" s="3">
        <f>IF($A8="","",IF($B8="","",IF(TODAY()&lt;$B8+450,"-",SUMPRODUCT(('Picked Students (raw)'!$B$2:$B$824=$A8)*('Picked Students (raw)'!$E$2:$E$824="Career Gap/ Non Working")*('Picked Students (raw)'!$C$2:$C$824&lt;&gt;"")*(('Picked Students (raw)'!$C$2:$C$824-$B8)&lt;450)))))</f>
        <v/>
      </c>
      <c r="AI8" s="5">
        <f>IF($A8="","",IF(AH8="-","-",IF($D8=0,0,AH8/$D8)))</f>
        <v/>
      </c>
      <c r="AJ8" s="3">
        <f>IF($A8="","",IF($B8="","",IF(TODAY()&lt;$B8+480,"-",SUMPRODUCT(('Picked Students (raw)'!$B$2:$B$824=$A8)*('Picked Students (raw)'!$E$2:$E$824="Career Gap/ Non Working")*('Picked Students (raw)'!$C$2:$C$824&lt;&gt;"")*(('Picked Students (raw)'!$C$2:$C$824-$B8)&lt;480)))))</f>
        <v/>
      </c>
      <c r="AK8" s="5">
        <f>IF($A8="","",IF(AJ8="-","-",IF($D8=0,0,AJ8/$D8)))</f>
        <v/>
      </c>
      <c r="AL8" s="3">
        <f>IF($A8="","",IF($B8="","",IF(TODAY()&lt;$B8+510,"-",SUMPRODUCT(('Picked Students (raw)'!$B$2:$B$824=$A8)*('Picked Students (raw)'!$E$2:$E$824="Career Gap/ Non Working")*('Picked Students (raw)'!$C$2:$C$824&lt;&gt;"")*(('Picked Students (raw)'!$C$2:$C$824-$B8)&lt;510)))))</f>
        <v/>
      </c>
      <c r="AM8" s="5">
        <f>IF($A8="","",IF(AL8="-","-",IF($D8=0,0,AL8/$D8)))</f>
        <v/>
      </c>
      <c r="AN8" s="3">
        <f>IF($A8="","",IF($B8="","",IF(TODAY()&lt;$B8+540,"-",SUMPRODUCT(('Picked Students (raw)'!$B$2:$B$824=$A8)*('Picked Students (raw)'!$E$2:$E$824="Career Gap/ Non Working")*('Picked Students (raw)'!$C$2:$C$824&lt;&gt;"")*(('Picked Students (raw)'!$C$2:$C$824-$B8)&lt;540)))))</f>
        <v/>
      </c>
      <c r="AO8" s="5">
        <f>IF($A8="","",IF(AN8="-","-",IF($D8=0,0,AN8/$D8)))</f>
        <v/>
      </c>
      <c r="AP8" s="3">
        <f>IF($A8="","",IF(AN8="-","-",$E8-AN8))</f>
        <v/>
      </c>
    </row>
    <row r="9">
      <c r="A9" s="3" t="inlineStr">
        <is>
          <t>Professional Certificate Course In Data Science - October 2023</t>
        </is>
      </c>
      <c r="B9" s="4">
        <f>IF($A9="","",IFERROR(INDEX('Batch Enrollment (Metabase)'!$D$2:$D$47,MATCH($A9,'Batch Enrollment (Metabase)'!$A$2:$A$47,0)),""))</f>
        <v/>
      </c>
      <c r="C9" s="3">
        <f>IF($A9="","",IFERROR(INDEX('Batch Enrollment (Metabase)'!$E$2:$E$47,MATCH($A9,'Batch Enrollment (Metabase)'!$A$2:$A$47,0)),""))</f>
        <v/>
      </c>
      <c r="D9" s="3">
        <f>IF($A9="","",IFERROR(INDEX('Batch Enrollment (Metabase)'!$F$2:$F$47,MATCH($A9,'Batch Enrollment (Metabase)'!$A$2:$A$47,0)),""))</f>
        <v/>
      </c>
      <c r="E9" s="3">
        <f>IF($A9="","",COUNTIFS('Picked Students (raw)'!$B$2:$B$824,$A9,'Picked Students (raw)'!$E$2:$E$824,"Career Gap/ Non Working"))</f>
        <v/>
      </c>
      <c r="F9" s="3">
        <f>IF($A9="","",IF($B9="","",IF(TODAY()&lt;$B9+30,"-",SUMPRODUCT(('Picked Students (raw)'!$B$2:$B$824=$A9)*('Picked Students (raw)'!$E$2:$E$824="Career Gap/ Non Working")*('Picked Students (raw)'!$C$2:$C$824&lt;&gt;"")*(('Picked Students (raw)'!$C$2:$C$824-$B9)&lt;30)))))</f>
        <v/>
      </c>
      <c r="G9" s="5">
        <f>IF($A9="","",IF(F9="-","-",IF($D9=0,0,F9/$D9)))</f>
        <v/>
      </c>
      <c r="H9" s="3">
        <f>IF($A9="","",IF($B9="","",IF(TODAY()&lt;$B9+60,"-",SUMPRODUCT(('Picked Students (raw)'!$B$2:$B$824=$A9)*('Picked Students (raw)'!$E$2:$E$824="Career Gap/ Non Working")*('Picked Students (raw)'!$C$2:$C$824&lt;&gt;"")*(('Picked Students (raw)'!$C$2:$C$824-$B9)&lt;60)))))</f>
        <v/>
      </c>
      <c r="I9" s="5">
        <f>IF($A9="","",IF(H9="-","-",IF($D9=0,0,H9/$D9)))</f>
        <v/>
      </c>
      <c r="J9" s="3">
        <f>IF($A9="","",IF($B9="","",IF(TODAY()&lt;$B9+90,"-",SUMPRODUCT(('Picked Students (raw)'!$B$2:$B$824=$A9)*('Picked Students (raw)'!$E$2:$E$824="Career Gap/ Non Working")*('Picked Students (raw)'!$C$2:$C$824&lt;&gt;"")*(('Picked Students (raw)'!$C$2:$C$824-$B9)&lt;90)))))</f>
        <v/>
      </c>
      <c r="K9" s="5">
        <f>IF($A9="","",IF(J9="-","-",IF($D9=0,0,J9/$D9)))</f>
        <v/>
      </c>
      <c r="L9" s="3">
        <f>IF($A9="","",IF($B9="","",IF(TODAY()&lt;$B9+120,"-",SUMPRODUCT(('Picked Students (raw)'!$B$2:$B$824=$A9)*('Picked Students (raw)'!$E$2:$E$824="Career Gap/ Non Working")*('Picked Students (raw)'!$C$2:$C$824&lt;&gt;"")*(('Picked Students (raw)'!$C$2:$C$824-$B9)&lt;120)))))</f>
        <v/>
      </c>
      <c r="M9" s="5">
        <f>IF($A9="","",IF(L9="-","-",IF($D9=0,0,L9/$D9)))</f>
        <v/>
      </c>
      <c r="N9" s="3">
        <f>IF($A9="","",IF($B9="","",IF(TODAY()&lt;$B9+150,"-",SUMPRODUCT(('Picked Students (raw)'!$B$2:$B$824=$A9)*('Picked Students (raw)'!$E$2:$E$824="Career Gap/ Non Working")*('Picked Students (raw)'!$C$2:$C$824&lt;&gt;"")*(('Picked Students (raw)'!$C$2:$C$824-$B9)&lt;150)))))</f>
        <v/>
      </c>
      <c r="O9" s="5">
        <f>IF($A9="","",IF(N9="-","-",IF($D9=0,0,N9/$D9)))</f>
        <v/>
      </c>
      <c r="P9" s="3">
        <f>IF($A9="","",IF($B9="","",IF(TODAY()&lt;$B9+180,"-",SUMPRODUCT(('Picked Students (raw)'!$B$2:$B$824=$A9)*('Picked Students (raw)'!$E$2:$E$824="Career Gap/ Non Working")*('Picked Students (raw)'!$C$2:$C$824&lt;&gt;"")*(('Picked Students (raw)'!$C$2:$C$824-$B9)&lt;180)))))</f>
        <v/>
      </c>
      <c r="Q9" s="5">
        <f>IF($A9="","",IF(P9="-","-",IF($D9=0,0,P9/$D9)))</f>
        <v/>
      </c>
      <c r="R9" s="3">
        <f>IF($A9="","",IF($B9="","",IF(TODAY()&lt;$B9+210,"-",SUMPRODUCT(('Picked Students (raw)'!$B$2:$B$824=$A9)*('Picked Students (raw)'!$E$2:$E$824="Career Gap/ Non Working")*('Picked Students (raw)'!$C$2:$C$824&lt;&gt;"")*(('Picked Students (raw)'!$C$2:$C$824-$B9)&lt;210)))))</f>
        <v/>
      </c>
      <c r="S9" s="5">
        <f>IF($A9="","",IF(R9="-","-",IF($D9=0,0,R9/$D9)))</f>
        <v/>
      </c>
      <c r="T9" s="3">
        <f>IF($A9="","",IF($B9="","",IF(TODAY()&lt;$B9+240,"-",SUMPRODUCT(('Picked Students (raw)'!$B$2:$B$824=$A9)*('Picked Students (raw)'!$E$2:$E$824="Career Gap/ Non Working")*('Picked Students (raw)'!$C$2:$C$824&lt;&gt;"")*(('Picked Students (raw)'!$C$2:$C$824-$B9)&lt;240)))))</f>
        <v/>
      </c>
      <c r="U9" s="5">
        <f>IF($A9="","",IF(T9="-","-",IF($D9=0,0,T9/$D9)))</f>
        <v/>
      </c>
      <c r="V9" s="3">
        <f>IF($A9="","",IF($B9="","",IF(TODAY()&lt;$B9+270,"-",SUMPRODUCT(('Picked Students (raw)'!$B$2:$B$824=$A9)*('Picked Students (raw)'!$E$2:$E$824="Career Gap/ Non Working")*('Picked Students (raw)'!$C$2:$C$824&lt;&gt;"")*(('Picked Students (raw)'!$C$2:$C$824-$B9)&lt;270)))))</f>
        <v/>
      </c>
      <c r="W9" s="5">
        <f>IF($A9="","",IF(V9="-","-",IF($D9=0,0,V9/$D9)))</f>
        <v/>
      </c>
      <c r="X9" s="3">
        <f>IF($A9="","",IF($B9="","",IF(TODAY()&lt;$B9+300,"-",SUMPRODUCT(('Picked Students (raw)'!$B$2:$B$824=$A9)*('Picked Students (raw)'!$E$2:$E$824="Career Gap/ Non Working")*('Picked Students (raw)'!$C$2:$C$824&lt;&gt;"")*(('Picked Students (raw)'!$C$2:$C$824-$B9)&lt;300)))))</f>
        <v/>
      </c>
      <c r="Y9" s="5">
        <f>IF($A9="","",IF(X9="-","-",IF($D9=0,0,X9/$D9)))</f>
        <v/>
      </c>
      <c r="Z9" s="3">
        <f>IF($A9="","",IF($B9="","",IF(TODAY()&lt;$B9+330,"-",SUMPRODUCT(('Picked Students (raw)'!$B$2:$B$824=$A9)*('Picked Students (raw)'!$E$2:$E$824="Career Gap/ Non Working")*('Picked Students (raw)'!$C$2:$C$824&lt;&gt;"")*(('Picked Students (raw)'!$C$2:$C$824-$B9)&lt;330)))))</f>
        <v/>
      </c>
      <c r="AA9" s="5">
        <f>IF($A9="","",IF(Z9="-","-",IF($D9=0,0,Z9/$D9)))</f>
        <v/>
      </c>
      <c r="AB9" s="3">
        <f>IF($A9="","",IF($B9="","",IF(TODAY()&lt;$B9+360,"-",SUMPRODUCT(('Picked Students (raw)'!$B$2:$B$824=$A9)*('Picked Students (raw)'!$E$2:$E$824="Career Gap/ Non Working")*('Picked Students (raw)'!$C$2:$C$824&lt;&gt;"")*(('Picked Students (raw)'!$C$2:$C$824-$B9)&lt;360)))))</f>
        <v/>
      </c>
      <c r="AC9" s="5">
        <f>IF($A9="","",IF(AB9="-","-",IF($D9=0,0,AB9/$D9)))</f>
        <v/>
      </c>
      <c r="AD9" s="3">
        <f>IF($A9="","",IF($B9="","",IF(TODAY()&lt;$B9+390,"-",SUMPRODUCT(('Picked Students (raw)'!$B$2:$B$824=$A9)*('Picked Students (raw)'!$E$2:$E$824="Career Gap/ Non Working")*('Picked Students (raw)'!$C$2:$C$824&lt;&gt;"")*(('Picked Students (raw)'!$C$2:$C$824-$B9)&lt;390)))))</f>
        <v/>
      </c>
      <c r="AE9" s="5">
        <f>IF($A9="","",IF(AD9="-","-",IF($D9=0,0,AD9/$D9)))</f>
        <v/>
      </c>
      <c r="AF9" s="3">
        <f>IF($A9="","",IF($B9="","",IF(TODAY()&lt;$B9+420,"-",SUMPRODUCT(('Picked Students (raw)'!$B$2:$B$824=$A9)*('Picked Students (raw)'!$E$2:$E$824="Career Gap/ Non Working")*('Picked Students (raw)'!$C$2:$C$824&lt;&gt;"")*(('Picked Students (raw)'!$C$2:$C$824-$B9)&lt;420)))))</f>
        <v/>
      </c>
      <c r="AG9" s="5">
        <f>IF($A9="","",IF(AF9="-","-",IF($D9=0,0,AF9/$D9)))</f>
        <v/>
      </c>
      <c r="AH9" s="3">
        <f>IF($A9="","",IF($B9="","",IF(TODAY()&lt;$B9+450,"-",SUMPRODUCT(('Picked Students (raw)'!$B$2:$B$824=$A9)*('Picked Students (raw)'!$E$2:$E$824="Career Gap/ Non Working")*('Picked Students (raw)'!$C$2:$C$824&lt;&gt;"")*(('Picked Students (raw)'!$C$2:$C$824-$B9)&lt;450)))))</f>
        <v/>
      </c>
      <c r="AI9" s="5">
        <f>IF($A9="","",IF(AH9="-","-",IF($D9=0,0,AH9/$D9)))</f>
        <v/>
      </c>
      <c r="AJ9" s="3">
        <f>IF($A9="","",IF($B9="","",IF(TODAY()&lt;$B9+480,"-",SUMPRODUCT(('Picked Students (raw)'!$B$2:$B$824=$A9)*('Picked Students (raw)'!$E$2:$E$824="Career Gap/ Non Working")*('Picked Students (raw)'!$C$2:$C$824&lt;&gt;"")*(('Picked Students (raw)'!$C$2:$C$824-$B9)&lt;480)))))</f>
        <v/>
      </c>
      <c r="AK9" s="5">
        <f>IF($A9="","",IF(AJ9="-","-",IF($D9=0,0,AJ9/$D9)))</f>
        <v/>
      </c>
      <c r="AL9" s="3">
        <f>IF($A9="","",IF($B9="","",IF(TODAY()&lt;$B9+510,"-",SUMPRODUCT(('Picked Students (raw)'!$B$2:$B$824=$A9)*('Picked Students (raw)'!$E$2:$E$824="Career Gap/ Non Working")*('Picked Students (raw)'!$C$2:$C$824&lt;&gt;"")*(('Picked Students (raw)'!$C$2:$C$824-$B9)&lt;510)))))</f>
        <v/>
      </c>
      <c r="AM9" s="5">
        <f>IF($A9="","",IF(AL9="-","-",IF($D9=0,0,AL9/$D9)))</f>
        <v/>
      </c>
      <c r="AN9" s="3">
        <f>IF($A9="","",IF($B9="","",IF(TODAY()&lt;$B9+540,"-",SUMPRODUCT(('Picked Students (raw)'!$B$2:$B$824=$A9)*('Picked Students (raw)'!$E$2:$E$824="Career Gap/ Non Working")*('Picked Students (raw)'!$C$2:$C$824&lt;&gt;"")*(('Picked Students (raw)'!$C$2:$C$824-$B9)&lt;540)))))</f>
        <v/>
      </c>
      <c r="AO9" s="5">
        <f>IF($A9="","",IF(AN9="-","-",IF($D9=0,0,AN9/$D9)))</f>
        <v/>
      </c>
      <c r="AP9" s="3">
        <f>IF($A9="","",IF(AN9="-","-",$E9-AN9))</f>
        <v/>
      </c>
    </row>
    <row r="10">
      <c r="A10" s="3" t="inlineStr">
        <is>
          <t>Professional Certificate Course In Data Science - November 2023</t>
        </is>
      </c>
      <c r="B10" s="4">
        <f>IF($A10="","",IFERROR(INDEX('Batch Enrollment (Metabase)'!$D$2:$D$47,MATCH($A10,'Batch Enrollment (Metabase)'!$A$2:$A$47,0)),""))</f>
        <v/>
      </c>
      <c r="C10" s="3">
        <f>IF($A10="","",IFERROR(INDEX('Batch Enrollment (Metabase)'!$E$2:$E$47,MATCH($A10,'Batch Enrollment (Metabase)'!$A$2:$A$47,0)),""))</f>
        <v/>
      </c>
      <c r="D10" s="3">
        <f>IF($A10="","",IFERROR(INDEX('Batch Enrollment (Metabase)'!$F$2:$F$47,MATCH($A10,'Batch Enrollment (Metabase)'!$A$2:$A$47,0)),""))</f>
        <v/>
      </c>
      <c r="E10" s="3">
        <f>IF($A10="","",COUNTIFS('Picked Students (raw)'!$B$2:$B$824,$A10,'Picked Students (raw)'!$E$2:$E$824,"Career Gap/ Non Working"))</f>
        <v/>
      </c>
      <c r="F10" s="3">
        <f>IF($A10="","",IF($B10="","",IF(TODAY()&lt;$B10+30,"-",SUMPRODUCT(('Picked Students (raw)'!$B$2:$B$824=$A10)*('Picked Students (raw)'!$E$2:$E$824="Career Gap/ Non Working")*('Picked Students (raw)'!$C$2:$C$824&lt;&gt;"")*(('Picked Students (raw)'!$C$2:$C$824-$B10)&lt;30)))))</f>
        <v/>
      </c>
      <c r="G10" s="5">
        <f>IF($A10="","",IF(F10="-","-",IF($D10=0,0,F10/$D10)))</f>
        <v/>
      </c>
      <c r="H10" s="3">
        <f>IF($A10="","",IF($B10="","",IF(TODAY()&lt;$B10+60,"-",SUMPRODUCT(('Picked Students (raw)'!$B$2:$B$824=$A10)*('Picked Students (raw)'!$E$2:$E$824="Career Gap/ Non Working")*('Picked Students (raw)'!$C$2:$C$824&lt;&gt;"")*(('Picked Students (raw)'!$C$2:$C$824-$B10)&lt;60)))))</f>
        <v/>
      </c>
      <c r="I10" s="5">
        <f>IF($A10="","",IF(H10="-","-",IF($D10=0,0,H10/$D10)))</f>
        <v/>
      </c>
      <c r="J10" s="3">
        <f>IF($A10="","",IF($B10="","",IF(TODAY()&lt;$B10+90,"-",SUMPRODUCT(('Picked Students (raw)'!$B$2:$B$824=$A10)*('Picked Students (raw)'!$E$2:$E$824="Career Gap/ Non Working")*('Picked Students (raw)'!$C$2:$C$824&lt;&gt;"")*(('Picked Students (raw)'!$C$2:$C$824-$B10)&lt;90)))))</f>
        <v/>
      </c>
      <c r="K10" s="5">
        <f>IF($A10="","",IF(J10="-","-",IF($D10=0,0,J10/$D10)))</f>
        <v/>
      </c>
      <c r="L10" s="3">
        <f>IF($A10="","",IF($B10="","",IF(TODAY()&lt;$B10+120,"-",SUMPRODUCT(('Picked Students (raw)'!$B$2:$B$824=$A10)*('Picked Students (raw)'!$E$2:$E$824="Career Gap/ Non Working")*('Picked Students (raw)'!$C$2:$C$824&lt;&gt;"")*(('Picked Students (raw)'!$C$2:$C$824-$B10)&lt;120)))))</f>
        <v/>
      </c>
      <c r="M10" s="5">
        <f>IF($A10="","",IF(L10="-","-",IF($D10=0,0,L10/$D10)))</f>
        <v/>
      </c>
      <c r="N10" s="3">
        <f>IF($A10="","",IF($B10="","",IF(TODAY()&lt;$B10+150,"-",SUMPRODUCT(('Picked Students (raw)'!$B$2:$B$824=$A10)*('Picked Students (raw)'!$E$2:$E$824="Career Gap/ Non Working")*('Picked Students (raw)'!$C$2:$C$824&lt;&gt;"")*(('Picked Students (raw)'!$C$2:$C$824-$B10)&lt;150)))))</f>
        <v/>
      </c>
      <c r="O10" s="5">
        <f>IF($A10="","",IF(N10="-","-",IF($D10=0,0,N10/$D10)))</f>
        <v/>
      </c>
      <c r="P10" s="3">
        <f>IF($A10="","",IF($B10="","",IF(TODAY()&lt;$B10+180,"-",SUMPRODUCT(('Picked Students (raw)'!$B$2:$B$824=$A10)*('Picked Students (raw)'!$E$2:$E$824="Career Gap/ Non Working")*('Picked Students (raw)'!$C$2:$C$824&lt;&gt;"")*(('Picked Students (raw)'!$C$2:$C$824-$B10)&lt;180)))))</f>
        <v/>
      </c>
      <c r="Q10" s="5">
        <f>IF($A10="","",IF(P10="-","-",IF($D10=0,0,P10/$D10)))</f>
        <v/>
      </c>
      <c r="R10" s="3">
        <f>IF($A10="","",IF($B10="","",IF(TODAY()&lt;$B10+210,"-",SUMPRODUCT(('Picked Students (raw)'!$B$2:$B$824=$A10)*('Picked Students (raw)'!$E$2:$E$824="Career Gap/ Non Working")*('Picked Students (raw)'!$C$2:$C$824&lt;&gt;"")*(('Picked Students (raw)'!$C$2:$C$824-$B10)&lt;210)))))</f>
        <v/>
      </c>
      <c r="S10" s="5">
        <f>IF($A10="","",IF(R10="-","-",IF($D10=0,0,R10/$D10)))</f>
        <v/>
      </c>
      <c r="T10" s="3">
        <f>IF($A10="","",IF($B10="","",IF(TODAY()&lt;$B10+240,"-",SUMPRODUCT(('Picked Students (raw)'!$B$2:$B$824=$A10)*('Picked Students (raw)'!$E$2:$E$824="Career Gap/ Non Working")*('Picked Students (raw)'!$C$2:$C$824&lt;&gt;"")*(('Picked Students (raw)'!$C$2:$C$824-$B10)&lt;240)))))</f>
        <v/>
      </c>
      <c r="U10" s="5">
        <f>IF($A10="","",IF(T10="-","-",IF($D10=0,0,T10/$D10)))</f>
        <v/>
      </c>
      <c r="V10" s="3">
        <f>IF($A10="","",IF($B10="","",IF(TODAY()&lt;$B10+270,"-",SUMPRODUCT(('Picked Students (raw)'!$B$2:$B$824=$A10)*('Picked Students (raw)'!$E$2:$E$824="Career Gap/ Non Working")*('Picked Students (raw)'!$C$2:$C$824&lt;&gt;"")*(('Picked Students (raw)'!$C$2:$C$824-$B10)&lt;270)))))</f>
        <v/>
      </c>
      <c r="W10" s="5">
        <f>IF($A10="","",IF(V10="-","-",IF($D10=0,0,V10/$D10)))</f>
        <v/>
      </c>
      <c r="X10" s="3">
        <f>IF($A10="","",IF($B10="","",IF(TODAY()&lt;$B10+300,"-",SUMPRODUCT(('Picked Students (raw)'!$B$2:$B$824=$A10)*('Picked Students (raw)'!$E$2:$E$824="Career Gap/ Non Working")*('Picked Students (raw)'!$C$2:$C$824&lt;&gt;"")*(('Picked Students (raw)'!$C$2:$C$824-$B10)&lt;300)))))</f>
        <v/>
      </c>
      <c r="Y10" s="5">
        <f>IF($A10="","",IF(X10="-","-",IF($D10=0,0,X10/$D10)))</f>
        <v/>
      </c>
      <c r="Z10" s="3">
        <f>IF($A10="","",IF($B10="","",IF(TODAY()&lt;$B10+330,"-",SUMPRODUCT(('Picked Students (raw)'!$B$2:$B$824=$A10)*('Picked Students (raw)'!$E$2:$E$824="Career Gap/ Non Working")*('Picked Students (raw)'!$C$2:$C$824&lt;&gt;"")*(('Picked Students (raw)'!$C$2:$C$824-$B10)&lt;330)))))</f>
        <v/>
      </c>
      <c r="AA10" s="5">
        <f>IF($A10="","",IF(Z10="-","-",IF($D10=0,0,Z10/$D10)))</f>
        <v/>
      </c>
      <c r="AB10" s="3">
        <f>IF($A10="","",IF($B10="","",IF(TODAY()&lt;$B10+360,"-",SUMPRODUCT(('Picked Students (raw)'!$B$2:$B$824=$A10)*('Picked Students (raw)'!$E$2:$E$824="Career Gap/ Non Working")*('Picked Students (raw)'!$C$2:$C$824&lt;&gt;"")*(('Picked Students (raw)'!$C$2:$C$824-$B10)&lt;360)))))</f>
        <v/>
      </c>
      <c r="AC10" s="5">
        <f>IF($A10="","",IF(AB10="-","-",IF($D10=0,0,AB10/$D10)))</f>
        <v/>
      </c>
      <c r="AD10" s="3">
        <f>IF($A10="","",IF($B10="","",IF(TODAY()&lt;$B10+390,"-",SUMPRODUCT(('Picked Students (raw)'!$B$2:$B$824=$A10)*('Picked Students (raw)'!$E$2:$E$824="Career Gap/ Non Working")*('Picked Students (raw)'!$C$2:$C$824&lt;&gt;"")*(('Picked Students (raw)'!$C$2:$C$824-$B10)&lt;390)))))</f>
        <v/>
      </c>
      <c r="AE10" s="5">
        <f>IF($A10="","",IF(AD10="-","-",IF($D10=0,0,AD10/$D10)))</f>
        <v/>
      </c>
      <c r="AF10" s="3">
        <f>IF($A10="","",IF($B10="","",IF(TODAY()&lt;$B10+420,"-",SUMPRODUCT(('Picked Students (raw)'!$B$2:$B$824=$A10)*('Picked Students (raw)'!$E$2:$E$824="Career Gap/ Non Working")*('Picked Students (raw)'!$C$2:$C$824&lt;&gt;"")*(('Picked Students (raw)'!$C$2:$C$824-$B10)&lt;420)))))</f>
        <v/>
      </c>
      <c r="AG10" s="5">
        <f>IF($A10="","",IF(AF10="-","-",IF($D10=0,0,AF10/$D10)))</f>
        <v/>
      </c>
      <c r="AH10" s="3">
        <f>IF($A10="","",IF($B10="","",IF(TODAY()&lt;$B10+450,"-",SUMPRODUCT(('Picked Students (raw)'!$B$2:$B$824=$A10)*('Picked Students (raw)'!$E$2:$E$824="Career Gap/ Non Working")*('Picked Students (raw)'!$C$2:$C$824&lt;&gt;"")*(('Picked Students (raw)'!$C$2:$C$824-$B10)&lt;450)))))</f>
        <v/>
      </c>
      <c r="AI10" s="5">
        <f>IF($A10="","",IF(AH10="-","-",IF($D10=0,0,AH10/$D10)))</f>
        <v/>
      </c>
      <c r="AJ10" s="3">
        <f>IF($A10="","",IF($B10="","",IF(TODAY()&lt;$B10+480,"-",SUMPRODUCT(('Picked Students (raw)'!$B$2:$B$824=$A10)*('Picked Students (raw)'!$E$2:$E$824="Career Gap/ Non Working")*('Picked Students (raw)'!$C$2:$C$824&lt;&gt;"")*(('Picked Students (raw)'!$C$2:$C$824-$B10)&lt;480)))))</f>
        <v/>
      </c>
      <c r="AK10" s="5">
        <f>IF($A10="","",IF(AJ10="-","-",IF($D10=0,0,AJ10/$D10)))</f>
        <v/>
      </c>
      <c r="AL10" s="3">
        <f>IF($A10="","",IF($B10="","",IF(TODAY()&lt;$B10+510,"-",SUMPRODUCT(('Picked Students (raw)'!$B$2:$B$824=$A10)*('Picked Students (raw)'!$E$2:$E$824="Career Gap/ Non Working")*('Picked Students (raw)'!$C$2:$C$824&lt;&gt;"")*(('Picked Students (raw)'!$C$2:$C$824-$B10)&lt;510)))))</f>
        <v/>
      </c>
      <c r="AM10" s="5">
        <f>IF($A10="","",IF(AL10="-","-",IF($D10=0,0,AL10/$D10)))</f>
        <v/>
      </c>
      <c r="AN10" s="3">
        <f>IF($A10="","",IF($B10="","",IF(TODAY()&lt;$B10+540,"-",SUMPRODUCT(('Picked Students (raw)'!$B$2:$B$824=$A10)*('Picked Students (raw)'!$E$2:$E$824="Career Gap/ Non Working")*('Picked Students (raw)'!$C$2:$C$824&lt;&gt;"")*(('Picked Students (raw)'!$C$2:$C$824-$B10)&lt;540)))))</f>
        <v/>
      </c>
      <c r="AO10" s="5">
        <f>IF($A10="","",IF(AN10="-","-",IF($D10=0,0,AN10/$D10)))</f>
        <v/>
      </c>
      <c r="AP10" s="3">
        <f>IF($A10="","",IF(AN10="-","-",$E10-AN10))</f>
        <v/>
      </c>
    </row>
    <row r="11">
      <c r="A11" s="3" t="inlineStr">
        <is>
          <t>Professional Certificate Course In Data Science - May 2023 - LU</t>
        </is>
      </c>
      <c r="B11" s="4">
        <f>IF($A11="","",IFERROR(INDEX('Batch Enrollment (Metabase)'!$D$2:$D$47,MATCH($A11,'Batch Enrollment (Metabase)'!$A$2:$A$47,0)),""))</f>
        <v/>
      </c>
      <c r="C11" s="3">
        <f>IF($A11="","",IFERROR(INDEX('Batch Enrollment (Metabase)'!$E$2:$E$47,MATCH($A11,'Batch Enrollment (Metabase)'!$A$2:$A$47,0)),""))</f>
        <v/>
      </c>
      <c r="D11" s="3">
        <f>IF($A11="","",IFERROR(INDEX('Batch Enrollment (Metabase)'!$F$2:$F$47,MATCH($A11,'Batch Enrollment (Metabase)'!$A$2:$A$47,0)),""))</f>
        <v/>
      </c>
      <c r="E11" s="3">
        <f>IF($A11="","",COUNTIFS('Picked Students (raw)'!$B$2:$B$824,$A11,'Picked Students (raw)'!$E$2:$E$824,"Career Gap/ Non Working"))</f>
        <v/>
      </c>
      <c r="F11" s="3">
        <f>IF($A11="","",IF($B11="","",IF(TODAY()&lt;$B11+30,"-",SUMPRODUCT(('Picked Students (raw)'!$B$2:$B$824=$A11)*('Picked Students (raw)'!$E$2:$E$824="Career Gap/ Non Working")*('Picked Students (raw)'!$C$2:$C$824&lt;&gt;"")*(('Picked Students (raw)'!$C$2:$C$824-$B11)&lt;30)))))</f>
        <v/>
      </c>
      <c r="G11" s="5">
        <f>IF($A11="","",IF(F11="-","-",IF($D11=0,0,F11/$D11)))</f>
        <v/>
      </c>
      <c r="H11" s="3">
        <f>IF($A11="","",IF($B11="","",IF(TODAY()&lt;$B11+60,"-",SUMPRODUCT(('Picked Students (raw)'!$B$2:$B$824=$A11)*('Picked Students (raw)'!$E$2:$E$824="Career Gap/ Non Working")*('Picked Students (raw)'!$C$2:$C$824&lt;&gt;"")*(('Picked Students (raw)'!$C$2:$C$824-$B11)&lt;60)))))</f>
        <v/>
      </c>
      <c r="I11" s="5">
        <f>IF($A11="","",IF(H11="-","-",IF($D11=0,0,H11/$D11)))</f>
        <v/>
      </c>
      <c r="J11" s="3">
        <f>IF($A11="","",IF($B11="","",IF(TODAY()&lt;$B11+90,"-",SUMPRODUCT(('Picked Students (raw)'!$B$2:$B$824=$A11)*('Picked Students (raw)'!$E$2:$E$824="Career Gap/ Non Working")*('Picked Students (raw)'!$C$2:$C$824&lt;&gt;"")*(('Picked Students (raw)'!$C$2:$C$824-$B11)&lt;90)))))</f>
        <v/>
      </c>
      <c r="K11" s="5">
        <f>IF($A11="","",IF(J11="-","-",IF($D11=0,0,J11/$D11)))</f>
        <v/>
      </c>
      <c r="L11" s="3">
        <f>IF($A11="","",IF($B11="","",IF(TODAY()&lt;$B11+120,"-",SUMPRODUCT(('Picked Students (raw)'!$B$2:$B$824=$A11)*('Picked Students (raw)'!$E$2:$E$824="Career Gap/ Non Working")*('Picked Students (raw)'!$C$2:$C$824&lt;&gt;"")*(('Picked Students (raw)'!$C$2:$C$824-$B11)&lt;120)))))</f>
        <v/>
      </c>
      <c r="M11" s="5">
        <f>IF($A11="","",IF(L11="-","-",IF($D11=0,0,L11/$D11)))</f>
        <v/>
      </c>
      <c r="N11" s="3">
        <f>IF($A11="","",IF($B11="","",IF(TODAY()&lt;$B11+150,"-",SUMPRODUCT(('Picked Students (raw)'!$B$2:$B$824=$A11)*('Picked Students (raw)'!$E$2:$E$824="Career Gap/ Non Working")*('Picked Students (raw)'!$C$2:$C$824&lt;&gt;"")*(('Picked Students (raw)'!$C$2:$C$824-$B11)&lt;150)))))</f>
        <v/>
      </c>
      <c r="O11" s="5">
        <f>IF($A11="","",IF(N11="-","-",IF($D11=0,0,N11/$D11)))</f>
        <v/>
      </c>
      <c r="P11" s="3">
        <f>IF($A11="","",IF($B11="","",IF(TODAY()&lt;$B11+180,"-",SUMPRODUCT(('Picked Students (raw)'!$B$2:$B$824=$A11)*('Picked Students (raw)'!$E$2:$E$824="Career Gap/ Non Working")*('Picked Students (raw)'!$C$2:$C$824&lt;&gt;"")*(('Picked Students (raw)'!$C$2:$C$824-$B11)&lt;180)))))</f>
        <v/>
      </c>
      <c r="Q11" s="5">
        <f>IF($A11="","",IF(P11="-","-",IF($D11=0,0,P11/$D11)))</f>
        <v/>
      </c>
      <c r="R11" s="3">
        <f>IF($A11="","",IF($B11="","",IF(TODAY()&lt;$B11+210,"-",SUMPRODUCT(('Picked Students (raw)'!$B$2:$B$824=$A11)*('Picked Students (raw)'!$E$2:$E$824="Career Gap/ Non Working")*('Picked Students (raw)'!$C$2:$C$824&lt;&gt;"")*(('Picked Students (raw)'!$C$2:$C$824-$B11)&lt;210)))))</f>
        <v/>
      </c>
      <c r="S11" s="5">
        <f>IF($A11="","",IF(R11="-","-",IF($D11=0,0,R11/$D11)))</f>
        <v/>
      </c>
      <c r="T11" s="3">
        <f>IF($A11="","",IF($B11="","",IF(TODAY()&lt;$B11+240,"-",SUMPRODUCT(('Picked Students (raw)'!$B$2:$B$824=$A11)*('Picked Students (raw)'!$E$2:$E$824="Career Gap/ Non Working")*('Picked Students (raw)'!$C$2:$C$824&lt;&gt;"")*(('Picked Students (raw)'!$C$2:$C$824-$B11)&lt;240)))))</f>
        <v/>
      </c>
      <c r="U11" s="5">
        <f>IF($A11="","",IF(T11="-","-",IF($D11=0,0,T11/$D11)))</f>
        <v/>
      </c>
      <c r="V11" s="3">
        <f>IF($A11="","",IF($B11="","",IF(TODAY()&lt;$B11+270,"-",SUMPRODUCT(('Picked Students (raw)'!$B$2:$B$824=$A11)*('Picked Students (raw)'!$E$2:$E$824="Career Gap/ Non Working")*('Picked Students (raw)'!$C$2:$C$824&lt;&gt;"")*(('Picked Students (raw)'!$C$2:$C$824-$B11)&lt;270)))))</f>
        <v/>
      </c>
      <c r="W11" s="5">
        <f>IF($A11="","",IF(V11="-","-",IF($D11=0,0,V11/$D11)))</f>
        <v/>
      </c>
      <c r="X11" s="3">
        <f>IF($A11="","",IF($B11="","",IF(TODAY()&lt;$B11+300,"-",SUMPRODUCT(('Picked Students (raw)'!$B$2:$B$824=$A11)*('Picked Students (raw)'!$E$2:$E$824="Career Gap/ Non Working")*('Picked Students (raw)'!$C$2:$C$824&lt;&gt;"")*(('Picked Students (raw)'!$C$2:$C$824-$B11)&lt;300)))))</f>
        <v/>
      </c>
      <c r="Y11" s="5">
        <f>IF($A11="","",IF(X11="-","-",IF($D11=0,0,X11/$D11)))</f>
        <v/>
      </c>
      <c r="Z11" s="3">
        <f>IF($A11="","",IF($B11="","",IF(TODAY()&lt;$B11+330,"-",SUMPRODUCT(('Picked Students (raw)'!$B$2:$B$824=$A11)*('Picked Students (raw)'!$E$2:$E$824="Career Gap/ Non Working")*('Picked Students (raw)'!$C$2:$C$824&lt;&gt;"")*(('Picked Students (raw)'!$C$2:$C$824-$B11)&lt;330)))))</f>
        <v/>
      </c>
      <c r="AA11" s="5">
        <f>IF($A11="","",IF(Z11="-","-",IF($D11=0,0,Z11/$D11)))</f>
        <v/>
      </c>
      <c r="AB11" s="3">
        <f>IF($A11="","",IF($B11="","",IF(TODAY()&lt;$B11+360,"-",SUMPRODUCT(('Picked Students (raw)'!$B$2:$B$824=$A11)*('Picked Students (raw)'!$E$2:$E$824="Career Gap/ Non Working")*('Picked Students (raw)'!$C$2:$C$824&lt;&gt;"")*(('Picked Students (raw)'!$C$2:$C$824-$B11)&lt;360)))))</f>
        <v/>
      </c>
      <c r="AC11" s="5">
        <f>IF($A11="","",IF(AB11="-","-",IF($D11=0,0,AB11/$D11)))</f>
        <v/>
      </c>
      <c r="AD11" s="3">
        <f>IF($A11="","",IF($B11="","",IF(TODAY()&lt;$B11+390,"-",SUMPRODUCT(('Picked Students (raw)'!$B$2:$B$824=$A11)*('Picked Students (raw)'!$E$2:$E$824="Career Gap/ Non Working")*('Picked Students (raw)'!$C$2:$C$824&lt;&gt;"")*(('Picked Students (raw)'!$C$2:$C$824-$B11)&lt;390)))))</f>
        <v/>
      </c>
      <c r="AE11" s="5">
        <f>IF($A11="","",IF(AD11="-","-",IF($D11=0,0,AD11/$D11)))</f>
        <v/>
      </c>
      <c r="AF11" s="3">
        <f>IF($A11="","",IF($B11="","",IF(TODAY()&lt;$B11+420,"-",SUMPRODUCT(('Picked Students (raw)'!$B$2:$B$824=$A11)*('Picked Students (raw)'!$E$2:$E$824="Career Gap/ Non Working")*('Picked Students (raw)'!$C$2:$C$824&lt;&gt;"")*(('Picked Students (raw)'!$C$2:$C$824-$B11)&lt;420)))))</f>
        <v/>
      </c>
      <c r="AG11" s="5">
        <f>IF($A11="","",IF(AF11="-","-",IF($D11=0,0,AF11/$D11)))</f>
        <v/>
      </c>
      <c r="AH11" s="3">
        <f>IF($A11="","",IF($B11="","",IF(TODAY()&lt;$B11+450,"-",SUMPRODUCT(('Picked Students (raw)'!$B$2:$B$824=$A11)*('Picked Students (raw)'!$E$2:$E$824="Career Gap/ Non Working")*('Picked Students (raw)'!$C$2:$C$824&lt;&gt;"")*(('Picked Students (raw)'!$C$2:$C$824-$B11)&lt;450)))))</f>
        <v/>
      </c>
      <c r="AI11" s="5">
        <f>IF($A11="","",IF(AH11="-","-",IF($D11=0,0,AH11/$D11)))</f>
        <v/>
      </c>
      <c r="AJ11" s="3">
        <f>IF($A11="","",IF($B11="","",IF(TODAY()&lt;$B11+480,"-",SUMPRODUCT(('Picked Students (raw)'!$B$2:$B$824=$A11)*('Picked Students (raw)'!$E$2:$E$824="Career Gap/ Non Working")*('Picked Students (raw)'!$C$2:$C$824&lt;&gt;"")*(('Picked Students (raw)'!$C$2:$C$824-$B11)&lt;480)))))</f>
        <v/>
      </c>
      <c r="AK11" s="5">
        <f>IF($A11="","",IF(AJ11="-","-",IF($D11=0,0,AJ11/$D11)))</f>
        <v/>
      </c>
      <c r="AL11" s="3">
        <f>IF($A11="","",IF($B11="","",IF(TODAY()&lt;$B11+510,"-",SUMPRODUCT(('Picked Students (raw)'!$B$2:$B$824=$A11)*('Picked Students (raw)'!$E$2:$E$824="Career Gap/ Non Working")*('Picked Students (raw)'!$C$2:$C$824&lt;&gt;"")*(('Picked Students (raw)'!$C$2:$C$824-$B11)&lt;510)))))</f>
        <v/>
      </c>
      <c r="AM11" s="5">
        <f>IF($A11="","",IF(AL11="-","-",IF($D11=0,0,AL11/$D11)))</f>
        <v/>
      </c>
      <c r="AN11" s="3">
        <f>IF($A11="","",IF($B11="","",IF(TODAY()&lt;$B11+540,"-",SUMPRODUCT(('Picked Students (raw)'!$B$2:$B$824=$A11)*('Picked Students (raw)'!$E$2:$E$824="Career Gap/ Non Working")*('Picked Students (raw)'!$C$2:$C$824&lt;&gt;"")*(('Picked Students (raw)'!$C$2:$C$824-$B11)&lt;540)))))</f>
        <v/>
      </c>
      <c r="AO11" s="5">
        <f>IF($A11="","",IF(AN11="-","-",IF($D11=0,0,AN11/$D11)))</f>
        <v/>
      </c>
      <c r="AP11" s="3">
        <f>IF($A11="","",IF(AN11="-","-",$E11-AN11))</f>
        <v/>
      </c>
    </row>
    <row r="12">
      <c r="A12" s="3" t="inlineStr">
        <is>
          <t>Professional Certificate Course In Data Science - December 2023</t>
        </is>
      </c>
      <c r="B12" s="4">
        <f>IF($A12="","",IFERROR(INDEX('Batch Enrollment (Metabase)'!$D$2:$D$47,MATCH($A12,'Batch Enrollment (Metabase)'!$A$2:$A$47,0)),""))</f>
        <v/>
      </c>
      <c r="C12" s="3">
        <f>IF($A12="","",IFERROR(INDEX('Batch Enrollment (Metabase)'!$E$2:$E$47,MATCH($A12,'Batch Enrollment (Metabase)'!$A$2:$A$47,0)),""))</f>
        <v/>
      </c>
      <c r="D12" s="3">
        <f>IF($A12="","",IFERROR(INDEX('Batch Enrollment (Metabase)'!$F$2:$F$47,MATCH($A12,'Batch Enrollment (Metabase)'!$A$2:$A$47,0)),""))</f>
        <v/>
      </c>
      <c r="E12" s="3">
        <f>IF($A12="","",COUNTIFS('Picked Students (raw)'!$B$2:$B$824,$A12,'Picked Students (raw)'!$E$2:$E$824,"Career Gap/ Non Working"))</f>
        <v/>
      </c>
      <c r="F12" s="3">
        <f>IF($A12="","",IF($B12="","",IF(TODAY()&lt;$B12+30,"-",SUMPRODUCT(('Picked Students (raw)'!$B$2:$B$824=$A12)*('Picked Students (raw)'!$E$2:$E$824="Career Gap/ Non Working")*('Picked Students (raw)'!$C$2:$C$824&lt;&gt;"")*(('Picked Students (raw)'!$C$2:$C$824-$B12)&lt;30)))))</f>
        <v/>
      </c>
      <c r="G12" s="5">
        <f>IF($A12="","",IF(F12="-","-",IF($D12=0,0,F12/$D12)))</f>
        <v/>
      </c>
      <c r="H12" s="3">
        <f>IF($A12="","",IF($B12="","",IF(TODAY()&lt;$B12+60,"-",SUMPRODUCT(('Picked Students (raw)'!$B$2:$B$824=$A12)*('Picked Students (raw)'!$E$2:$E$824="Career Gap/ Non Working")*('Picked Students (raw)'!$C$2:$C$824&lt;&gt;"")*(('Picked Students (raw)'!$C$2:$C$824-$B12)&lt;60)))))</f>
        <v/>
      </c>
      <c r="I12" s="5">
        <f>IF($A12="","",IF(H12="-","-",IF($D12=0,0,H12/$D12)))</f>
        <v/>
      </c>
      <c r="J12" s="3">
        <f>IF($A12="","",IF($B12="","",IF(TODAY()&lt;$B12+90,"-",SUMPRODUCT(('Picked Students (raw)'!$B$2:$B$824=$A12)*('Picked Students (raw)'!$E$2:$E$824="Career Gap/ Non Working")*('Picked Students (raw)'!$C$2:$C$824&lt;&gt;"")*(('Picked Students (raw)'!$C$2:$C$824-$B12)&lt;90)))))</f>
        <v/>
      </c>
      <c r="K12" s="5">
        <f>IF($A12="","",IF(J12="-","-",IF($D12=0,0,J12/$D12)))</f>
        <v/>
      </c>
      <c r="L12" s="3">
        <f>IF($A12="","",IF($B12="","",IF(TODAY()&lt;$B12+120,"-",SUMPRODUCT(('Picked Students (raw)'!$B$2:$B$824=$A12)*('Picked Students (raw)'!$E$2:$E$824="Career Gap/ Non Working")*('Picked Students (raw)'!$C$2:$C$824&lt;&gt;"")*(('Picked Students (raw)'!$C$2:$C$824-$B12)&lt;120)))))</f>
        <v/>
      </c>
      <c r="M12" s="5">
        <f>IF($A12="","",IF(L12="-","-",IF($D12=0,0,L12/$D12)))</f>
        <v/>
      </c>
      <c r="N12" s="3">
        <f>IF($A12="","",IF($B12="","",IF(TODAY()&lt;$B12+150,"-",SUMPRODUCT(('Picked Students (raw)'!$B$2:$B$824=$A12)*('Picked Students (raw)'!$E$2:$E$824="Career Gap/ Non Working")*('Picked Students (raw)'!$C$2:$C$824&lt;&gt;"")*(('Picked Students (raw)'!$C$2:$C$824-$B12)&lt;150)))))</f>
        <v/>
      </c>
      <c r="O12" s="5">
        <f>IF($A12="","",IF(N12="-","-",IF($D12=0,0,N12/$D12)))</f>
        <v/>
      </c>
      <c r="P12" s="3">
        <f>IF($A12="","",IF($B12="","",IF(TODAY()&lt;$B12+180,"-",SUMPRODUCT(('Picked Students (raw)'!$B$2:$B$824=$A12)*('Picked Students (raw)'!$E$2:$E$824="Career Gap/ Non Working")*('Picked Students (raw)'!$C$2:$C$824&lt;&gt;"")*(('Picked Students (raw)'!$C$2:$C$824-$B12)&lt;180)))))</f>
        <v/>
      </c>
      <c r="Q12" s="5">
        <f>IF($A12="","",IF(P12="-","-",IF($D12=0,0,P12/$D12)))</f>
        <v/>
      </c>
      <c r="R12" s="3">
        <f>IF($A12="","",IF($B12="","",IF(TODAY()&lt;$B12+210,"-",SUMPRODUCT(('Picked Students (raw)'!$B$2:$B$824=$A12)*('Picked Students (raw)'!$E$2:$E$824="Career Gap/ Non Working")*('Picked Students (raw)'!$C$2:$C$824&lt;&gt;"")*(('Picked Students (raw)'!$C$2:$C$824-$B12)&lt;210)))))</f>
        <v/>
      </c>
      <c r="S12" s="5">
        <f>IF($A12="","",IF(R12="-","-",IF($D12=0,0,R12/$D12)))</f>
        <v/>
      </c>
      <c r="T12" s="3">
        <f>IF($A12="","",IF($B12="","",IF(TODAY()&lt;$B12+240,"-",SUMPRODUCT(('Picked Students (raw)'!$B$2:$B$824=$A12)*('Picked Students (raw)'!$E$2:$E$824="Career Gap/ Non Working")*('Picked Students (raw)'!$C$2:$C$824&lt;&gt;"")*(('Picked Students (raw)'!$C$2:$C$824-$B12)&lt;240)))))</f>
        <v/>
      </c>
      <c r="U12" s="5">
        <f>IF($A12="","",IF(T12="-","-",IF($D12=0,0,T12/$D12)))</f>
        <v/>
      </c>
      <c r="V12" s="3">
        <f>IF($A12="","",IF($B12="","",IF(TODAY()&lt;$B12+270,"-",SUMPRODUCT(('Picked Students (raw)'!$B$2:$B$824=$A12)*('Picked Students (raw)'!$E$2:$E$824="Career Gap/ Non Working")*('Picked Students (raw)'!$C$2:$C$824&lt;&gt;"")*(('Picked Students (raw)'!$C$2:$C$824-$B12)&lt;270)))))</f>
        <v/>
      </c>
      <c r="W12" s="5">
        <f>IF($A12="","",IF(V12="-","-",IF($D12=0,0,V12/$D12)))</f>
        <v/>
      </c>
      <c r="X12" s="3">
        <f>IF($A12="","",IF($B12="","",IF(TODAY()&lt;$B12+300,"-",SUMPRODUCT(('Picked Students (raw)'!$B$2:$B$824=$A12)*('Picked Students (raw)'!$E$2:$E$824="Career Gap/ Non Working")*('Picked Students (raw)'!$C$2:$C$824&lt;&gt;"")*(('Picked Students (raw)'!$C$2:$C$824-$B12)&lt;300)))))</f>
        <v/>
      </c>
      <c r="Y12" s="5">
        <f>IF($A12="","",IF(X12="-","-",IF($D12=0,0,X12/$D12)))</f>
        <v/>
      </c>
      <c r="Z12" s="3">
        <f>IF($A12="","",IF($B12="","",IF(TODAY()&lt;$B12+330,"-",SUMPRODUCT(('Picked Students (raw)'!$B$2:$B$824=$A12)*('Picked Students (raw)'!$E$2:$E$824="Career Gap/ Non Working")*('Picked Students (raw)'!$C$2:$C$824&lt;&gt;"")*(('Picked Students (raw)'!$C$2:$C$824-$B12)&lt;330)))))</f>
        <v/>
      </c>
      <c r="AA12" s="5">
        <f>IF($A12="","",IF(Z12="-","-",IF($D12=0,0,Z12/$D12)))</f>
        <v/>
      </c>
      <c r="AB12" s="3">
        <f>IF($A12="","",IF($B12="","",IF(TODAY()&lt;$B12+360,"-",SUMPRODUCT(('Picked Students (raw)'!$B$2:$B$824=$A12)*('Picked Students (raw)'!$E$2:$E$824="Career Gap/ Non Working")*('Picked Students (raw)'!$C$2:$C$824&lt;&gt;"")*(('Picked Students (raw)'!$C$2:$C$824-$B12)&lt;360)))))</f>
        <v/>
      </c>
      <c r="AC12" s="5">
        <f>IF($A12="","",IF(AB12="-","-",IF($D12=0,0,AB12/$D12)))</f>
        <v/>
      </c>
      <c r="AD12" s="3">
        <f>IF($A12="","",IF($B12="","",IF(TODAY()&lt;$B12+390,"-",SUMPRODUCT(('Picked Students (raw)'!$B$2:$B$824=$A12)*('Picked Students (raw)'!$E$2:$E$824="Career Gap/ Non Working")*('Picked Students (raw)'!$C$2:$C$824&lt;&gt;"")*(('Picked Students (raw)'!$C$2:$C$824-$B12)&lt;390)))))</f>
        <v/>
      </c>
      <c r="AE12" s="5">
        <f>IF($A12="","",IF(AD12="-","-",IF($D12=0,0,AD12/$D12)))</f>
        <v/>
      </c>
      <c r="AF12" s="3">
        <f>IF($A12="","",IF($B12="","",IF(TODAY()&lt;$B12+420,"-",SUMPRODUCT(('Picked Students (raw)'!$B$2:$B$824=$A12)*('Picked Students (raw)'!$E$2:$E$824="Career Gap/ Non Working")*('Picked Students (raw)'!$C$2:$C$824&lt;&gt;"")*(('Picked Students (raw)'!$C$2:$C$824-$B12)&lt;420)))))</f>
        <v/>
      </c>
      <c r="AG12" s="5">
        <f>IF($A12="","",IF(AF12="-","-",IF($D12=0,0,AF12/$D12)))</f>
        <v/>
      </c>
      <c r="AH12" s="3">
        <f>IF($A12="","",IF($B12="","",IF(TODAY()&lt;$B12+450,"-",SUMPRODUCT(('Picked Students (raw)'!$B$2:$B$824=$A12)*('Picked Students (raw)'!$E$2:$E$824="Career Gap/ Non Working")*('Picked Students (raw)'!$C$2:$C$824&lt;&gt;"")*(('Picked Students (raw)'!$C$2:$C$824-$B12)&lt;450)))))</f>
        <v/>
      </c>
      <c r="AI12" s="5">
        <f>IF($A12="","",IF(AH12="-","-",IF($D12=0,0,AH12/$D12)))</f>
        <v/>
      </c>
      <c r="AJ12" s="3">
        <f>IF($A12="","",IF($B12="","",IF(TODAY()&lt;$B12+480,"-",SUMPRODUCT(('Picked Students (raw)'!$B$2:$B$824=$A12)*('Picked Students (raw)'!$E$2:$E$824="Career Gap/ Non Working")*('Picked Students (raw)'!$C$2:$C$824&lt;&gt;"")*(('Picked Students (raw)'!$C$2:$C$824-$B12)&lt;480)))))</f>
        <v/>
      </c>
      <c r="AK12" s="5">
        <f>IF($A12="","",IF(AJ12="-","-",IF($D12=0,0,AJ12/$D12)))</f>
        <v/>
      </c>
      <c r="AL12" s="3">
        <f>IF($A12="","",IF($B12="","",IF(TODAY()&lt;$B12+510,"-",SUMPRODUCT(('Picked Students (raw)'!$B$2:$B$824=$A12)*('Picked Students (raw)'!$E$2:$E$824="Career Gap/ Non Working")*('Picked Students (raw)'!$C$2:$C$824&lt;&gt;"")*(('Picked Students (raw)'!$C$2:$C$824-$B12)&lt;510)))))</f>
        <v/>
      </c>
      <c r="AM12" s="5">
        <f>IF($A12="","",IF(AL12="-","-",IF($D12=0,0,AL12/$D12)))</f>
        <v/>
      </c>
      <c r="AN12" s="3">
        <f>IF($A12="","",IF($B12="","",IF(TODAY()&lt;$B12+540,"-",SUMPRODUCT(('Picked Students (raw)'!$B$2:$B$824=$A12)*('Picked Students (raw)'!$E$2:$E$824="Career Gap/ Non Working")*('Picked Students (raw)'!$C$2:$C$824&lt;&gt;"")*(('Picked Students (raw)'!$C$2:$C$824-$B12)&lt;540)))))</f>
        <v/>
      </c>
      <c r="AO12" s="5">
        <f>IF($A12="","",IF(AN12="-","-",IF($D12=0,0,AN12/$D12)))</f>
        <v/>
      </c>
      <c r="AP12" s="3">
        <f>IF($A12="","",IF(AN12="-","-",$E12-AN12))</f>
        <v/>
      </c>
    </row>
    <row r="13">
      <c r="A13" s="3" t="inlineStr">
        <is>
          <t>Professional Certificate Course In Data Science - January 2024</t>
        </is>
      </c>
      <c r="B13" s="4">
        <f>IF($A13="","",IFERROR(INDEX('Batch Enrollment (Metabase)'!$D$2:$D$47,MATCH($A13,'Batch Enrollment (Metabase)'!$A$2:$A$47,0)),""))</f>
        <v/>
      </c>
      <c r="C13" s="3">
        <f>IF($A13="","",IFERROR(INDEX('Batch Enrollment (Metabase)'!$E$2:$E$47,MATCH($A13,'Batch Enrollment (Metabase)'!$A$2:$A$47,0)),""))</f>
        <v/>
      </c>
      <c r="D13" s="3">
        <f>IF($A13="","",IFERROR(INDEX('Batch Enrollment (Metabase)'!$F$2:$F$47,MATCH($A13,'Batch Enrollment (Metabase)'!$A$2:$A$47,0)),""))</f>
        <v/>
      </c>
      <c r="E13" s="3">
        <f>IF($A13="","",COUNTIFS('Picked Students (raw)'!$B$2:$B$824,$A13,'Picked Students (raw)'!$E$2:$E$824,"Career Gap/ Non Working"))</f>
        <v/>
      </c>
      <c r="F13" s="3">
        <f>IF($A13="","",IF($B13="","",IF(TODAY()&lt;$B13+30,"-",SUMPRODUCT(('Picked Students (raw)'!$B$2:$B$824=$A13)*('Picked Students (raw)'!$E$2:$E$824="Career Gap/ Non Working")*('Picked Students (raw)'!$C$2:$C$824&lt;&gt;"")*(('Picked Students (raw)'!$C$2:$C$824-$B13)&lt;30)))))</f>
        <v/>
      </c>
      <c r="G13" s="5">
        <f>IF($A13="","",IF(F13="-","-",IF($D13=0,0,F13/$D13)))</f>
        <v/>
      </c>
      <c r="H13" s="3">
        <f>IF($A13="","",IF($B13="","",IF(TODAY()&lt;$B13+60,"-",SUMPRODUCT(('Picked Students (raw)'!$B$2:$B$824=$A13)*('Picked Students (raw)'!$E$2:$E$824="Career Gap/ Non Working")*('Picked Students (raw)'!$C$2:$C$824&lt;&gt;"")*(('Picked Students (raw)'!$C$2:$C$824-$B13)&lt;60)))))</f>
        <v/>
      </c>
      <c r="I13" s="5">
        <f>IF($A13="","",IF(H13="-","-",IF($D13=0,0,H13/$D13)))</f>
        <v/>
      </c>
      <c r="J13" s="3">
        <f>IF($A13="","",IF($B13="","",IF(TODAY()&lt;$B13+90,"-",SUMPRODUCT(('Picked Students (raw)'!$B$2:$B$824=$A13)*('Picked Students (raw)'!$E$2:$E$824="Career Gap/ Non Working")*('Picked Students (raw)'!$C$2:$C$824&lt;&gt;"")*(('Picked Students (raw)'!$C$2:$C$824-$B13)&lt;90)))))</f>
        <v/>
      </c>
      <c r="K13" s="5">
        <f>IF($A13="","",IF(J13="-","-",IF($D13=0,0,J13/$D13)))</f>
        <v/>
      </c>
      <c r="L13" s="3">
        <f>IF($A13="","",IF($B13="","",IF(TODAY()&lt;$B13+120,"-",SUMPRODUCT(('Picked Students (raw)'!$B$2:$B$824=$A13)*('Picked Students (raw)'!$E$2:$E$824="Career Gap/ Non Working")*('Picked Students (raw)'!$C$2:$C$824&lt;&gt;"")*(('Picked Students (raw)'!$C$2:$C$824-$B13)&lt;120)))))</f>
        <v/>
      </c>
      <c r="M13" s="5">
        <f>IF($A13="","",IF(L13="-","-",IF($D13=0,0,L13/$D13)))</f>
        <v/>
      </c>
      <c r="N13" s="3">
        <f>IF($A13="","",IF($B13="","",IF(TODAY()&lt;$B13+150,"-",SUMPRODUCT(('Picked Students (raw)'!$B$2:$B$824=$A13)*('Picked Students (raw)'!$E$2:$E$824="Career Gap/ Non Working")*('Picked Students (raw)'!$C$2:$C$824&lt;&gt;"")*(('Picked Students (raw)'!$C$2:$C$824-$B13)&lt;150)))))</f>
        <v/>
      </c>
      <c r="O13" s="5">
        <f>IF($A13="","",IF(N13="-","-",IF($D13=0,0,N13/$D13)))</f>
        <v/>
      </c>
      <c r="P13" s="3">
        <f>IF($A13="","",IF($B13="","",IF(TODAY()&lt;$B13+180,"-",SUMPRODUCT(('Picked Students (raw)'!$B$2:$B$824=$A13)*('Picked Students (raw)'!$E$2:$E$824="Career Gap/ Non Working")*('Picked Students (raw)'!$C$2:$C$824&lt;&gt;"")*(('Picked Students (raw)'!$C$2:$C$824-$B13)&lt;180)))))</f>
        <v/>
      </c>
      <c r="Q13" s="5">
        <f>IF($A13="","",IF(P13="-","-",IF($D13=0,0,P13/$D13)))</f>
        <v/>
      </c>
      <c r="R13" s="3">
        <f>IF($A13="","",IF($B13="","",IF(TODAY()&lt;$B13+210,"-",SUMPRODUCT(('Picked Students (raw)'!$B$2:$B$824=$A13)*('Picked Students (raw)'!$E$2:$E$824="Career Gap/ Non Working")*('Picked Students (raw)'!$C$2:$C$824&lt;&gt;"")*(('Picked Students (raw)'!$C$2:$C$824-$B13)&lt;210)))))</f>
        <v/>
      </c>
      <c r="S13" s="5">
        <f>IF($A13="","",IF(R13="-","-",IF($D13=0,0,R13/$D13)))</f>
        <v/>
      </c>
      <c r="T13" s="3">
        <f>IF($A13="","",IF($B13="","",IF(TODAY()&lt;$B13+240,"-",SUMPRODUCT(('Picked Students (raw)'!$B$2:$B$824=$A13)*('Picked Students (raw)'!$E$2:$E$824="Career Gap/ Non Working")*('Picked Students (raw)'!$C$2:$C$824&lt;&gt;"")*(('Picked Students (raw)'!$C$2:$C$824-$B13)&lt;240)))))</f>
        <v/>
      </c>
      <c r="U13" s="5">
        <f>IF($A13="","",IF(T13="-","-",IF($D13=0,0,T13/$D13)))</f>
        <v/>
      </c>
      <c r="V13" s="3">
        <f>IF($A13="","",IF($B13="","",IF(TODAY()&lt;$B13+270,"-",SUMPRODUCT(('Picked Students (raw)'!$B$2:$B$824=$A13)*('Picked Students (raw)'!$E$2:$E$824="Career Gap/ Non Working")*('Picked Students (raw)'!$C$2:$C$824&lt;&gt;"")*(('Picked Students (raw)'!$C$2:$C$824-$B13)&lt;270)))))</f>
        <v/>
      </c>
      <c r="W13" s="5">
        <f>IF($A13="","",IF(V13="-","-",IF($D13=0,0,V13/$D13)))</f>
        <v/>
      </c>
      <c r="X13" s="3">
        <f>IF($A13="","",IF($B13="","",IF(TODAY()&lt;$B13+300,"-",SUMPRODUCT(('Picked Students (raw)'!$B$2:$B$824=$A13)*('Picked Students (raw)'!$E$2:$E$824="Career Gap/ Non Working")*('Picked Students (raw)'!$C$2:$C$824&lt;&gt;"")*(('Picked Students (raw)'!$C$2:$C$824-$B13)&lt;300)))))</f>
        <v/>
      </c>
      <c r="Y13" s="5">
        <f>IF($A13="","",IF(X13="-","-",IF($D13=0,0,X13/$D13)))</f>
        <v/>
      </c>
      <c r="Z13" s="3">
        <f>IF($A13="","",IF($B13="","",IF(TODAY()&lt;$B13+330,"-",SUMPRODUCT(('Picked Students (raw)'!$B$2:$B$824=$A13)*('Picked Students (raw)'!$E$2:$E$824="Career Gap/ Non Working")*('Picked Students (raw)'!$C$2:$C$824&lt;&gt;"")*(('Picked Students (raw)'!$C$2:$C$824-$B13)&lt;330)))))</f>
        <v/>
      </c>
      <c r="AA13" s="5">
        <f>IF($A13="","",IF(Z13="-","-",IF($D13=0,0,Z13/$D13)))</f>
        <v/>
      </c>
      <c r="AB13" s="3">
        <f>IF($A13="","",IF($B13="","",IF(TODAY()&lt;$B13+360,"-",SUMPRODUCT(('Picked Students (raw)'!$B$2:$B$824=$A13)*('Picked Students (raw)'!$E$2:$E$824="Career Gap/ Non Working")*('Picked Students (raw)'!$C$2:$C$824&lt;&gt;"")*(('Picked Students (raw)'!$C$2:$C$824-$B13)&lt;360)))))</f>
        <v/>
      </c>
      <c r="AC13" s="5">
        <f>IF($A13="","",IF(AB13="-","-",IF($D13=0,0,AB13/$D13)))</f>
        <v/>
      </c>
      <c r="AD13" s="3">
        <f>IF($A13="","",IF($B13="","",IF(TODAY()&lt;$B13+390,"-",SUMPRODUCT(('Picked Students (raw)'!$B$2:$B$824=$A13)*('Picked Students (raw)'!$E$2:$E$824="Career Gap/ Non Working")*('Picked Students (raw)'!$C$2:$C$824&lt;&gt;"")*(('Picked Students (raw)'!$C$2:$C$824-$B13)&lt;390)))))</f>
        <v/>
      </c>
      <c r="AE13" s="5">
        <f>IF($A13="","",IF(AD13="-","-",IF($D13=0,0,AD13/$D13)))</f>
        <v/>
      </c>
      <c r="AF13" s="3">
        <f>IF($A13="","",IF($B13="","",IF(TODAY()&lt;$B13+420,"-",SUMPRODUCT(('Picked Students (raw)'!$B$2:$B$824=$A13)*('Picked Students (raw)'!$E$2:$E$824="Career Gap/ Non Working")*('Picked Students (raw)'!$C$2:$C$824&lt;&gt;"")*(('Picked Students (raw)'!$C$2:$C$824-$B13)&lt;420)))))</f>
        <v/>
      </c>
      <c r="AG13" s="5">
        <f>IF($A13="","",IF(AF13="-","-",IF($D13=0,0,AF13/$D13)))</f>
        <v/>
      </c>
      <c r="AH13" s="3">
        <f>IF($A13="","",IF($B13="","",IF(TODAY()&lt;$B13+450,"-",SUMPRODUCT(('Picked Students (raw)'!$B$2:$B$824=$A13)*('Picked Students (raw)'!$E$2:$E$824="Career Gap/ Non Working")*('Picked Students (raw)'!$C$2:$C$824&lt;&gt;"")*(('Picked Students (raw)'!$C$2:$C$824-$B13)&lt;450)))))</f>
        <v/>
      </c>
      <c r="AI13" s="5">
        <f>IF($A13="","",IF(AH13="-","-",IF($D13=0,0,AH13/$D13)))</f>
        <v/>
      </c>
      <c r="AJ13" s="3">
        <f>IF($A13="","",IF($B13="","",IF(TODAY()&lt;$B13+480,"-",SUMPRODUCT(('Picked Students (raw)'!$B$2:$B$824=$A13)*('Picked Students (raw)'!$E$2:$E$824="Career Gap/ Non Working")*('Picked Students (raw)'!$C$2:$C$824&lt;&gt;"")*(('Picked Students (raw)'!$C$2:$C$824-$B13)&lt;480)))))</f>
        <v/>
      </c>
      <c r="AK13" s="5">
        <f>IF($A13="","",IF(AJ13="-","-",IF($D13=0,0,AJ13/$D13)))</f>
        <v/>
      </c>
      <c r="AL13" s="3">
        <f>IF($A13="","",IF($B13="","",IF(TODAY()&lt;$B13+510,"-",SUMPRODUCT(('Picked Students (raw)'!$B$2:$B$824=$A13)*('Picked Students (raw)'!$E$2:$E$824="Career Gap/ Non Working")*('Picked Students (raw)'!$C$2:$C$824&lt;&gt;"")*(('Picked Students (raw)'!$C$2:$C$824-$B13)&lt;510)))))</f>
        <v/>
      </c>
      <c r="AM13" s="5">
        <f>IF($A13="","",IF(AL13="-","-",IF($D13=0,0,AL13/$D13)))</f>
        <v/>
      </c>
      <c r="AN13" s="3">
        <f>IF($A13="","",IF($B13="","",IF(TODAY()&lt;$B13+540,"-",SUMPRODUCT(('Picked Students (raw)'!$B$2:$B$824=$A13)*('Picked Students (raw)'!$E$2:$E$824="Career Gap/ Non Working")*('Picked Students (raw)'!$C$2:$C$824&lt;&gt;"")*(('Picked Students (raw)'!$C$2:$C$824-$B13)&lt;540)))))</f>
        <v/>
      </c>
      <c r="AO13" s="5">
        <f>IF($A13="","",IF(AN13="-","-",IF($D13=0,0,AN13/$D13)))</f>
        <v/>
      </c>
      <c r="AP13" s="3">
        <f>IF($A13="","",IF(AN13="-","-",$E13-AN13))</f>
        <v/>
      </c>
    </row>
    <row r="14">
      <c r="A14" s="3" t="inlineStr">
        <is>
          <t>Professional Certificate Course In Data Science - February 2024</t>
        </is>
      </c>
      <c r="B14" s="4">
        <f>IF($A14="","",IFERROR(INDEX('Batch Enrollment (Metabase)'!$D$2:$D$47,MATCH($A14,'Batch Enrollment (Metabase)'!$A$2:$A$47,0)),""))</f>
        <v/>
      </c>
      <c r="C14" s="3">
        <f>IF($A14="","",IFERROR(INDEX('Batch Enrollment (Metabase)'!$E$2:$E$47,MATCH($A14,'Batch Enrollment (Metabase)'!$A$2:$A$47,0)),""))</f>
        <v/>
      </c>
      <c r="D14" s="3">
        <f>IF($A14="","",IFERROR(INDEX('Batch Enrollment (Metabase)'!$F$2:$F$47,MATCH($A14,'Batch Enrollment (Metabase)'!$A$2:$A$47,0)),""))</f>
        <v/>
      </c>
      <c r="E14" s="3">
        <f>IF($A14="","",COUNTIFS('Picked Students (raw)'!$B$2:$B$824,$A14,'Picked Students (raw)'!$E$2:$E$824,"Career Gap/ Non Working"))</f>
        <v/>
      </c>
      <c r="F14" s="3">
        <f>IF($A14="","",IF($B14="","",IF(TODAY()&lt;$B14+30,"-",SUMPRODUCT(('Picked Students (raw)'!$B$2:$B$824=$A14)*('Picked Students (raw)'!$E$2:$E$824="Career Gap/ Non Working")*('Picked Students (raw)'!$C$2:$C$824&lt;&gt;"")*(('Picked Students (raw)'!$C$2:$C$824-$B14)&lt;30)))))</f>
        <v/>
      </c>
      <c r="G14" s="5">
        <f>IF($A14="","",IF(F14="-","-",IF($D14=0,0,F14/$D14)))</f>
        <v/>
      </c>
      <c r="H14" s="3">
        <f>IF($A14="","",IF($B14="","",IF(TODAY()&lt;$B14+60,"-",SUMPRODUCT(('Picked Students (raw)'!$B$2:$B$824=$A14)*('Picked Students (raw)'!$E$2:$E$824="Career Gap/ Non Working")*('Picked Students (raw)'!$C$2:$C$824&lt;&gt;"")*(('Picked Students (raw)'!$C$2:$C$824-$B14)&lt;60)))))</f>
        <v/>
      </c>
      <c r="I14" s="5">
        <f>IF($A14="","",IF(H14="-","-",IF($D14=0,0,H14/$D14)))</f>
        <v/>
      </c>
      <c r="J14" s="3">
        <f>IF($A14="","",IF($B14="","",IF(TODAY()&lt;$B14+90,"-",SUMPRODUCT(('Picked Students (raw)'!$B$2:$B$824=$A14)*('Picked Students (raw)'!$E$2:$E$824="Career Gap/ Non Working")*('Picked Students (raw)'!$C$2:$C$824&lt;&gt;"")*(('Picked Students (raw)'!$C$2:$C$824-$B14)&lt;90)))))</f>
        <v/>
      </c>
      <c r="K14" s="5">
        <f>IF($A14="","",IF(J14="-","-",IF($D14=0,0,J14/$D14)))</f>
        <v/>
      </c>
      <c r="L14" s="3">
        <f>IF($A14="","",IF($B14="","",IF(TODAY()&lt;$B14+120,"-",SUMPRODUCT(('Picked Students (raw)'!$B$2:$B$824=$A14)*('Picked Students (raw)'!$E$2:$E$824="Career Gap/ Non Working")*('Picked Students (raw)'!$C$2:$C$824&lt;&gt;"")*(('Picked Students (raw)'!$C$2:$C$824-$B14)&lt;120)))))</f>
        <v/>
      </c>
      <c r="M14" s="5">
        <f>IF($A14="","",IF(L14="-","-",IF($D14=0,0,L14/$D14)))</f>
        <v/>
      </c>
      <c r="N14" s="3">
        <f>IF($A14="","",IF($B14="","",IF(TODAY()&lt;$B14+150,"-",SUMPRODUCT(('Picked Students (raw)'!$B$2:$B$824=$A14)*('Picked Students (raw)'!$E$2:$E$824="Career Gap/ Non Working")*('Picked Students (raw)'!$C$2:$C$824&lt;&gt;"")*(('Picked Students (raw)'!$C$2:$C$824-$B14)&lt;150)))))</f>
        <v/>
      </c>
      <c r="O14" s="5">
        <f>IF($A14="","",IF(N14="-","-",IF($D14=0,0,N14/$D14)))</f>
        <v/>
      </c>
      <c r="P14" s="3">
        <f>IF($A14="","",IF($B14="","",IF(TODAY()&lt;$B14+180,"-",SUMPRODUCT(('Picked Students (raw)'!$B$2:$B$824=$A14)*('Picked Students (raw)'!$E$2:$E$824="Career Gap/ Non Working")*('Picked Students (raw)'!$C$2:$C$824&lt;&gt;"")*(('Picked Students (raw)'!$C$2:$C$824-$B14)&lt;180)))))</f>
        <v/>
      </c>
      <c r="Q14" s="5">
        <f>IF($A14="","",IF(P14="-","-",IF($D14=0,0,P14/$D14)))</f>
        <v/>
      </c>
      <c r="R14" s="3">
        <f>IF($A14="","",IF($B14="","",IF(TODAY()&lt;$B14+210,"-",SUMPRODUCT(('Picked Students (raw)'!$B$2:$B$824=$A14)*('Picked Students (raw)'!$E$2:$E$824="Career Gap/ Non Working")*('Picked Students (raw)'!$C$2:$C$824&lt;&gt;"")*(('Picked Students (raw)'!$C$2:$C$824-$B14)&lt;210)))))</f>
        <v/>
      </c>
      <c r="S14" s="5">
        <f>IF($A14="","",IF(R14="-","-",IF($D14=0,0,R14/$D14)))</f>
        <v/>
      </c>
      <c r="T14" s="3">
        <f>IF($A14="","",IF($B14="","",IF(TODAY()&lt;$B14+240,"-",SUMPRODUCT(('Picked Students (raw)'!$B$2:$B$824=$A14)*('Picked Students (raw)'!$E$2:$E$824="Career Gap/ Non Working")*('Picked Students (raw)'!$C$2:$C$824&lt;&gt;"")*(('Picked Students (raw)'!$C$2:$C$824-$B14)&lt;240)))))</f>
        <v/>
      </c>
      <c r="U14" s="5">
        <f>IF($A14="","",IF(T14="-","-",IF($D14=0,0,T14/$D14)))</f>
        <v/>
      </c>
      <c r="V14" s="3">
        <f>IF($A14="","",IF($B14="","",IF(TODAY()&lt;$B14+270,"-",SUMPRODUCT(('Picked Students (raw)'!$B$2:$B$824=$A14)*('Picked Students (raw)'!$E$2:$E$824="Career Gap/ Non Working")*('Picked Students (raw)'!$C$2:$C$824&lt;&gt;"")*(('Picked Students (raw)'!$C$2:$C$824-$B14)&lt;270)))))</f>
        <v/>
      </c>
      <c r="W14" s="5">
        <f>IF($A14="","",IF(V14="-","-",IF($D14=0,0,V14/$D14)))</f>
        <v/>
      </c>
      <c r="X14" s="3">
        <f>IF($A14="","",IF($B14="","",IF(TODAY()&lt;$B14+300,"-",SUMPRODUCT(('Picked Students (raw)'!$B$2:$B$824=$A14)*('Picked Students (raw)'!$E$2:$E$824="Career Gap/ Non Working")*('Picked Students (raw)'!$C$2:$C$824&lt;&gt;"")*(('Picked Students (raw)'!$C$2:$C$824-$B14)&lt;300)))))</f>
        <v/>
      </c>
      <c r="Y14" s="5">
        <f>IF($A14="","",IF(X14="-","-",IF($D14=0,0,X14/$D14)))</f>
        <v/>
      </c>
      <c r="Z14" s="3">
        <f>IF($A14="","",IF($B14="","",IF(TODAY()&lt;$B14+330,"-",SUMPRODUCT(('Picked Students (raw)'!$B$2:$B$824=$A14)*('Picked Students (raw)'!$E$2:$E$824="Career Gap/ Non Working")*('Picked Students (raw)'!$C$2:$C$824&lt;&gt;"")*(('Picked Students (raw)'!$C$2:$C$824-$B14)&lt;330)))))</f>
        <v/>
      </c>
      <c r="AA14" s="5">
        <f>IF($A14="","",IF(Z14="-","-",IF($D14=0,0,Z14/$D14)))</f>
        <v/>
      </c>
      <c r="AB14" s="3">
        <f>IF($A14="","",IF($B14="","",IF(TODAY()&lt;$B14+360,"-",SUMPRODUCT(('Picked Students (raw)'!$B$2:$B$824=$A14)*('Picked Students (raw)'!$E$2:$E$824="Career Gap/ Non Working")*('Picked Students (raw)'!$C$2:$C$824&lt;&gt;"")*(('Picked Students (raw)'!$C$2:$C$824-$B14)&lt;360)))))</f>
        <v/>
      </c>
      <c r="AC14" s="5">
        <f>IF($A14="","",IF(AB14="-","-",IF($D14=0,0,AB14/$D14)))</f>
        <v/>
      </c>
      <c r="AD14" s="3">
        <f>IF($A14="","",IF($B14="","",IF(TODAY()&lt;$B14+390,"-",SUMPRODUCT(('Picked Students (raw)'!$B$2:$B$824=$A14)*('Picked Students (raw)'!$E$2:$E$824="Career Gap/ Non Working")*('Picked Students (raw)'!$C$2:$C$824&lt;&gt;"")*(('Picked Students (raw)'!$C$2:$C$824-$B14)&lt;390)))))</f>
        <v/>
      </c>
      <c r="AE14" s="5">
        <f>IF($A14="","",IF(AD14="-","-",IF($D14=0,0,AD14/$D14)))</f>
        <v/>
      </c>
      <c r="AF14" s="3">
        <f>IF($A14="","",IF($B14="","",IF(TODAY()&lt;$B14+420,"-",SUMPRODUCT(('Picked Students (raw)'!$B$2:$B$824=$A14)*('Picked Students (raw)'!$E$2:$E$824="Career Gap/ Non Working")*('Picked Students (raw)'!$C$2:$C$824&lt;&gt;"")*(('Picked Students (raw)'!$C$2:$C$824-$B14)&lt;420)))))</f>
        <v/>
      </c>
      <c r="AG14" s="5">
        <f>IF($A14="","",IF(AF14="-","-",IF($D14=0,0,AF14/$D14)))</f>
        <v/>
      </c>
      <c r="AH14" s="3">
        <f>IF($A14="","",IF($B14="","",IF(TODAY()&lt;$B14+450,"-",SUMPRODUCT(('Picked Students (raw)'!$B$2:$B$824=$A14)*('Picked Students (raw)'!$E$2:$E$824="Career Gap/ Non Working")*('Picked Students (raw)'!$C$2:$C$824&lt;&gt;"")*(('Picked Students (raw)'!$C$2:$C$824-$B14)&lt;450)))))</f>
        <v/>
      </c>
      <c r="AI14" s="5">
        <f>IF($A14="","",IF(AH14="-","-",IF($D14=0,0,AH14/$D14)))</f>
        <v/>
      </c>
      <c r="AJ14" s="3">
        <f>IF($A14="","",IF($B14="","",IF(TODAY()&lt;$B14+480,"-",SUMPRODUCT(('Picked Students (raw)'!$B$2:$B$824=$A14)*('Picked Students (raw)'!$E$2:$E$824="Career Gap/ Non Working")*('Picked Students (raw)'!$C$2:$C$824&lt;&gt;"")*(('Picked Students (raw)'!$C$2:$C$824-$B14)&lt;480)))))</f>
        <v/>
      </c>
      <c r="AK14" s="5">
        <f>IF($A14="","",IF(AJ14="-","-",IF($D14=0,0,AJ14/$D14)))</f>
        <v/>
      </c>
      <c r="AL14" s="3">
        <f>IF($A14="","",IF($B14="","",IF(TODAY()&lt;$B14+510,"-",SUMPRODUCT(('Picked Students (raw)'!$B$2:$B$824=$A14)*('Picked Students (raw)'!$E$2:$E$824="Career Gap/ Non Working")*('Picked Students (raw)'!$C$2:$C$824&lt;&gt;"")*(('Picked Students (raw)'!$C$2:$C$824-$B14)&lt;510)))))</f>
        <v/>
      </c>
      <c r="AM14" s="5">
        <f>IF($A14="","",IF(AL14="-","-",IF($D14=0,0,AL14/$D14)))</f>
        <v/>
      </c>
      <c r="AN14" s="3">
        <f>IF($A14="","",IF($B14="","",IF(TODAY()&lt;$B14+540,"-",SUMPRODUCT(('Picked Students (raw)'!$B$2:$B$824=$A14)*('Picked Students (raw)'!$E$2:$E$824="Career Gap/ Non Working")*('Picked Students (raw)'!$C$2:$C$824&lt;&gt;"")*(('Picked Students (raw)'!$C$2:$C$824-$B14)&lt;540)))))</f>
        <v/>
      </c>
      <c r="AO14" s="5">
        <f>IF($A14="","",IF(AN14="-","-",IF($D14=0,0,AN14/$D14)))</f>
        <v/>
      </c>
      <c r="AP14" s="3">
        <f>IF($A14="","",IF(AN14="-","-",$E14-AN14))</f>
        <v/>
      </c>
    </row>
    <row r="15">
      <c r="A15" s="3" t="inlineStr">
        <is>
          <t>Professional Certificate Course In Data Science - March 2024</t>
        </is>
      </c>
      <c r="B15" s="4">
        <f>IF($A15="","",IFERROR(INDEX('Batch Enrollment (Metabase)'!$D$2:$D$47,MATCH($A15,'Batch Enrollment (Metabase)'!$A$2:$A$47,0)),""))</f>
        <v/>
      </c>
      <c r="C15" s="3">
        <f>IF($A15="","",IFERROR(INDEX('Batch Enrollment (Metabase)'!$E$2:$E$47,MATCH($A15,'Batch Enrollment (Metabase)'!$A$2:$A$47,0)),""))</f>
        <v/>
      </c>
      <c r="D15" s="3">
        <f>IF($A15="","",IFERROR(INDEX('Batch Enrollment (Metabase)'!$F$2:$F$47,MATCH($A15,'Batch Enrollment (Metabase)'!$A$2:$A$47,0)),""))</f>
        <v/>
      </c>
      <c r="E15" s="3">
        <f>IF($A15="","",COUNTIFS('Picked Students (raw)'!$B$2:$B$824,$A15,'Picked Students (raw)'!$E$2:$E$824,"Career Gap/ Non Working"))</f>
        <v/>
      </c>
      <c r="F15" s="3">
        <f>IF($A15="","",IF($B15="","",IF(TODAY()&lt;$B15+30,"-",SUMPRODUCT(('Picked Students (raw)'!$B$2:$B$824=$A15)*('Picked Students (raw)'!$E$2:$E$824="Career Gap/ Non Working")*('Picked Students (raw)'!$C$2:$C$824&lt;&gt;"")*(('Picked Students (raw)'!$C$2:$C$824-$B15)&lt;30)))))</f>
        <v/>
      </c>
      <c r="G15" s="5">
        <f>IF($A15="","",IF(F15="-","-",IF($D15=0,0,F15/$D15)))</f>
        <v/>
      </c>
      <c r="H15" s="3">
        <f>IF($A15="","",IF($B15="","",IF(TODAY()&lt;$B15+60,"-",SUMPRODUCT(('Picked Students (raw)'!$B$2:$B$824=$A15)*('Picked Students (raw)'!$E$2:$E$824="Career Gap/ Non Working")*('Picked Students (raw)'!$C$2:$C$824&lt;&gt;"")*(('Picked Students (raw)'!$C$2:$C$824-$B15)&lt;60)))))</f>
        <v/>
      </c>
      <c r="I15" s="5">
        <f>IF($A15="","",IF(H15="-","-",IF($D15=0,0,H15/$D15)))</f>
        <v/>
      </c>
      <c r="J15" s="3">
        <f>IF($A15="","",IF($B15="","",IF(TODAY()&lt;$B15+90,"-",SUMPRODUCT(('Picked Students (raw)'!$B$2:$B$824=$A15)*('Picked Students (raw)'!$E$2:$E$824="Career Gap/ Non Working")*('Picked Students (raw)'!$C$2:$C$824&lt;&gt;"")*(('Picked Students (raw)'!$C$2:$C$824-$B15)&lt;90)))))</f>
        <v/>
      </c>
      <c r="K15" s="5">
        <f>IF($A15="","",IF(J15="-","-",IF($D15=0,0,J15/$D15)))</f>
        <v/>
      </c>
      <c r="L15" s="3">
        <f>IF($A15="","",IF($B15="","",IF(TODAY()&lt;$B15+120,"-",SUMPRODUCT(('Picked Students (raw)'!$B$2:$B$824=$A15)*('Picked Students (raw)'!$E$2:$E$824="Career Gap/ Non Working")*('Picked Students (raw)'!$C$2:$C$824&lt;&gt;"")*(('Picked Students (raw)'!$C$2:$C$824-$B15)&lt;120)))))</f>
        <v/>
      </c>
      <c r="M15" s="5">
        <f>IF($A15="","",IF(L15="-","-",IF($D15=0,0,L15/$D15)))</f>
        <v/>
      </c>
      <c r="N15" s="3">
        <f>IF($A15="","",IF($B15="","",IF(TODAY()&lt;$B15+150,"-",SUMPRODUCT(('Picked Students (raw)'!$B$2:$B$824=$A15)*('Picked Students (raw)'!$E$2:$E$824="Career Gap/ Non Working")*('Picked Students (raw)'!$C$2:$C$824&lt;&gt;"")*(('Picked Students (raw)'!$C$2:$C$824-$B15)&lt;150)))))</f>
        <v/>
      </c>
      <c r="O15" s="5">
        <f>IF($A15="","",IF(N15="-","-",IF($D15=0,0,N15/$D15)))</f>
        <v/>
      </c>
      <c r="P15" s="3">
        <f>IF($A15="","",IF($B15="","",IF(TODAY()&lt;$B15+180,"-",SUMPRODUCT(('Picked Students (raw)'!$B$2:$B$824=$A15)*('Picked Students (raw)'!$E$2:$E$824="Career Gap/ Non Working")*('Picked Students (raw)'!$C$2:$C$824&lt;&gt;"")*(('Picked Students (raw)'!$C$2:$C$824-$B15)&lt;180)))))</f>
        <v/>
      </c>
      <c r="Q15" s="5">
        <f>IF($A15="","",IF(P15="-","-",IF($D15=0,0,P15/$D15)))</f>
        <v/>
      </c>
      <c r="R15" s="3">
        <f>IF($A15="","",IF($B15="","",IF(TODAY()&lt;$B15+210,"-",SUMPRODUCT(('Picked Students (raw)'!$B$2:$B$824=$A15)*('Picked Students (raw)'!$E$2:$E$824="Career Gap/ Non Working")*('Picked Students (raw)'!$C$2:$C$824&lt;&gt;"")*(('Picked Students (raw)'!$C$2:$C$824-$B15)&lt;210)))))</f>
        <v/>
      </c>
      <c r="S15" s="5">
        <f>IF($A15="","",IF(R15="-","-",IF($D15=0,0,R15/$D15)))</f>
        <v/>
      </c>
      <c r="T15" s="3">
        <f>IF($A15="","",IF($B15="","",IF(TODAY()&lt;$B15+240,"-",SUMPRODUCT(('Picked Students (raw)'!$B$2:$B$824=$A15)*('Picked Students (raw)'!$E$2:$E$824="Career Gap/ Non Working")*('Picked Students (raw)'!$C$2:$C$824&lt;&gt;"")*(('Picked Students (raw)'!$C$2:$C$824-$B15)&lt;240)))))</f>
        <v/>
      </c>
      <c r="U15" s="5">
        <f>IF($A15="","",IF(T15="-","-",IF($D15=0,0,T15/$D15)))</f>
        <v/>
      </c>
      <c r="V15" s="3">
        <f>IF($A15="","",IF($B15="","",IF(TODAY()&lt;$B15+270,"-",SUMPRODUCT(('Picked Students (raw)'!$B$2:$B$824=$A15)*('Picked Students (raw)'!$E$2:$E$824="Career Gap/ Non Working")*('Picked Students (raw)'!$C$2:$C$824&lt;&gt;"")*(('Picked Students (raw)'!$C$2:$C$824-$B15)&lt;270)))))</f>
        <v/>
      </c>
      <c r="W15" s="5">
        <f>IF($A15="","",IF(V15="-","-",IF($D15=0,0,V15/$D15)))</f>
        <v/>
      </c>
      <c r="X15" s="3">
        <f>IF($A15="","",IF($B15="","",IF(TODAY()&lt;$B15+300,"-",SUMPRODUCT(('Picked Students (raw)'!$B$2:$B$824=$A15)*('Picked Students (raw)'!$E$2:$E$824="Career Gap/ Non Working")*('Picked Students (raw)'!$C$2:$C$824&lt;&gt;"")*(('Picked Students (raw)'!$C$2:$C$824-$B15)&lt;300)))))</f>
        <v/>
      </c>
      <c r="Y15" s="5">
        <f>IF($A15="","",IF(X15="-","-",IF($D15=0,0,X15/$D15)))</f>
        <v/>
      </c>
      <c r="Z15" s="3">
        <f>IF($A15="","",IF($B15="","",IF(TODAY()&lt;$B15+330,"-",SUMPRODUCT(('Picked Students (raw)'!$B$2:$B$824=$A15)*('Picked Students (raw)'!$E$2:$E$824="Career Gap/ Non Working")*('Picked Students (raw)'!$C$2:$C$824&lt;&gt;"")*(('Picked Students (raw)'!$C$2:$C$824-$B15)&lt;330)))))</f>
        <v/>
      </c>
      <c r="AA15" s="5">
        <f>IF($A15="","",IF(Z15="-","-",IF($D15=0,0,Z15/$D15)))</f>
        <v/>
      </c>
      <c r="AB15" s="3">
        <f>IF($A15="","",IF($B15="","",IF(TODAY()&lt;$B15+360,"-",SUMPRODUCT(('Picked Students (raw)'!$B$2:$B$824=$A15)*('Picked Students (raw)'!$E$2:$E$824="Career Gap/ Non Working")*('Picked Students (raw)'!$C$2:$C$824&lt;&gt;"")*(('Picked Students (raw)'!$C$2:$C$824-$B15)&lt;360)))))</f>
        <v/>
      </c>
      <c r="AC15" s="5">
        <f>IF($A15="","",IF(AB15="-","-",IF($D15=0,0,AB15/$D15)))</f>
        <v/>
      </c>
      <c r="AD15" s="3">
        <f>IF($A15="","",IF($B15="","",IF(TODAY()&lt;$B15+390,"-",SUMPRODUCT(('Picked Students (raw)'!$B$2:$B$824=$A15)*('Picked Students (raw)'!$E$2:$E$824="Career Gap/ Non Working")*('Picked Students (raw)'!$C$2:$C$824&lt;&gt;"")*(('Picked Students (raw)'!$C$2:$C$824-$B15)&lt;390)))))</f>
        <v/>
      </c>
      <c r="AE15" s="5">
        <f>IF($A15="","",IF(AD15="-","-",IF($D15=0,0,AD15/$D15)))</f>
        <v/>
      </c>
      <c r="AF15" s="3">
        <f>IF($A15="","",IF($B15="","",IF(TODAY()&lt;$B15+420,"-",SUMPRODUCT(('Picked Students (raw)'!$B$2:$B$824=$A15)*('Picked Students (raw)'!$E$2:$E$824="Career Gap/ Non Working")*('Picked Students (raw)'!$C$2:$C$824&lt;&gt;"")*(('Picked Students (raw)'!$C$2:$C$824-$B15)&lt;420)))))</f>
        <v/>
      </c>
      <c r="AG15" s="5">
        <f>IF($A15="","",IF(AF15="-","-",IF($D15=0,0,AF15/$D15)))</f>
        <v/>
      </c>
      <c r="AH15" s="3">
        <f>IF($A15="","",IF($B15="","",IF(TODAY()&lt;$B15+450,"-",SUMPRODUCT(('Picked Students (raw)'!$B$2:$B$824=$A15)*('Picked Students (raw)'!$E$2:$E$824="Career Gap/ Non Working")*('Picked Students (raw)'!$C$2:$C$824&lt;&gt;"")*(('Picked Students (raw)'!$C$2:$C$824-$B15)&lt;450)))))</f>
        <v/>
      </c>
      <c r="AI15" s="5">
        <f>IF($A15="","",IF(AH15="-","-",IF($D15=0,0,AH15/$D15)))</f>
        <v/>
      </c>
      <c r="AJ15" s="3">
        <f>IF($A15="","",IF($B15="","",IF(TODAY()&lt;$B15+480,"-",SUMPRODUCT(('Picked Students (raw)'!$B$2:$B$824=$A15)*('Picked Students (raw)'!$E$2:$E$824="Career Gap/ Non Working")*('Picked Students (raw)'!$C$2:$C$824&lt;&gt;"")*(('Picked Students (raw)'!$C$2:$C$824-$B15)&lt;480)))))</f>
        <v/>
      </c>
      <c r="AK15" s="5">
        <f>IF($A15="","",IF(AJ15="-","-",IF($D15=0,0,AJ15/$D15)))</f>
        <v/>
      </c>
      <c r="AL15" s="3">
        <f>IF($A15="","",IF($B15="","",IF(TODAY()&lt;$B15+510,"-",SUMPRODUCT(('Picked Students (raw)'!$B$2:$B$824=$A15)*('Picked Students (raw)'!$E$2:$E$824="Career Gap/ Non Working")*('Picked Students (raw)'!$C$2:$C$824&lt;&gt;"")*(('Picked Students (raw)'!$C$2:$C$824-$B15)&lt;510)))))</f>
        <v/>
      </c>
      <c r="AM15" s="5">
        <f>IF($A15="","",IF(AL15="-","-",IF($D15=0,0,AL15/$D15)))</f>
        <v/>
      </c>
      <c r="AN15" s="3">
        <f>IF($A15="","",IF($B15="","",IF(TODAY()&lt;$B15+540,"-",SUMPRODUCT(('Picked Students (raw)'!$B$2:$B$824=$A15)*('Picked Students (raw)'!$E$2:$E$824="Career Gap/ Non Working")*('Picked Students (raw)'!$C$2:$C$824&lt;&gt;"")*(('Picked Students (raw)'!$C$2:$C$824-$B15)&lt;540)))))</f>
        <v/>
      </c>
      <c r="AO15" s="5">
        <f>IF($A15="","",IF(AN15="-","-",IF($D15=0,0,AN15/$D15)))</f>
        <v/>
      </c>
      <c r="AP15" s="3">
        <f>IF($A15="","",IF(AN15="-","-",$E15-AN15))</f>
        <v/>
      </c>
    </row>
    <row r="16">
      <c r="A16" s="3" t="inlineStr">
        <is>
          <t>Professional Certificate Course In Data Science - April 2024</t>
        </is>
      </c>
      <c r="B16" s="4">
        <f>IF($A16="","",IFERROR(INDEX('Batch Enrollment (Metabase)'!$D$2:$D$47,MATCH($A16,'Batch Enrollment (Metabase)'!$A$2:$A$47,0)),""))</f>
        <v/>
      </c>
      <c r="C16" s="3">
        <f>IF($A16="","",IFERROR(INDEX('Batch Enrollment (Metabase)'!$E$2:$E$47,MATCH($A16,'Batch Enrollment (Metabase)'!$A$2:$A$47,0)),""))</f>
        <v/>
      </c>
      <c r="D16" s="3">
        <f>IF($A16="","",IFERROR(INDEX('Batch Enrollment (Metabase)'!$F$2:$F$47,MATCH($A16,'Batch Enrollment (Metabase)'!$A$2:$A$47,0)),""))</f>
        <v/>
      </c>
      <c r="E16" s="3">
        <f>IF($A16="","",COUNTIFS('Picked Students (raw)'!$B$2:$B$824,$A16,'Picked Students (raw)'!$E$2:$E$824,"Career Gap/ Non Working"))</f>
        <v/>
      </c>
      <c r="F16" s="3">
        <f>IF($A16="","",IF($B16="","",IF(TODAY()&lt;$B16+30,"-",SUMPRODUCT(('Picked Students (raw)'!$B$2:$B$824=$A16)*('Picked Students (raw)'!$E$2:$E$824="Career Gap/ Non Working")*('Picked Students (raw)'!$C$2:$C$824&lt;&gt;"")*(('Picked Students (raw)'!$C$2:$C$824-$B16)&lt;30)))))</f>
        <v/>
      </c>
      <c r="G16" s="5">
        <f>IF($A16="","",IF(F16="-","-",IF($D16=0,0,F16/$D16)))</f>
        <v/>
      </c>
      <c r="H16" s="3">
        <f>IF($A16="","",IF($B16="","",IF(TODAY()&lt;$B16+60,"-",SUMPRODUCT(('Picked Students (raw)'!$B$2:$B$824=$A16)*('Picked Students (raw)'!$E$2:$E$824="Career Gap/ Non Working")*('Picked Students (raw)'!$C$2:$C$824&lt;&gt;"")*(('Picked Students (raw)'!$C$2:$C$824-$B16)&lt;60)))))</f>
        <v/>
      </c>
      <c r="I16" s="5">
        <f>IF($A16="","",IF(H16="-","-",IF($D16=0,0,H16/$D16)))</f>
        <v/>
      </c>
      <c r="J16" s="3">
        <f>IF($A16="","",IF($B16="","",IF(TODAY()&lt;$B16+90,"-",SUMPRODUCT(('Picked Students (raw)'!$B$2:$B$824=$A16)*('Picked Students (raw)'!$E$2:$E$824="Career Gap/ Non Working")*('Picked Students (raw)'!$C$2:$C$824&lt;&gt;"")*(('Picked Students (raw)'!$C$2:$C$824-$B16)&lt;90)))))</f>
        <v/>
      </c>
      <c r="K16" s="5">
        <f>IF($A16="","",IF(J16="-","-",IF($D16=0,0,J16/$D16)))</f>
        <v/>
      </c>
      <c r="L16" s="3">
        <f>IF($A16="","",IF($B16="","",IF(TODAY()&lt;$B16+120,"-",SUMPRODUCT(('Picked Students (raw)'!$B$2:$B$824=$A16)*('Picked Students (raw)'!$E$2:$E$824="Career Gap/ Non Working")*('Picked Students (raw)'!$C$2:$C$824&lt;&gt;"")*(('Picked Students (raw)'!$C$2:$C$824-$B16)&lt;120)))))</f>
        <v/>
      </c>
      <c r="M16" s="5">
        <f>IF($A16="","",IF(L16="-","-",IF($D16=0,0,L16/$D16)))</f>
        <v/>
      </c>
      <c r="N16" s="3">
        <f>IF($A16="","",IF($B16="","",IF(TODAY()&lt;$B16+150,"-",SUMPRODUCT(('Picked Students (raw)'!$B$2:$B$824=$A16)*('Picked Students (raw)'!$E$2:$E$824="Career Gap/ Non Working")*('Picked Students (raw)'!$C$2:$C$824&lt;&gt;"")*(('Picked Students (raw)'!$C$2:$C$824-$B16)&lt;150)))))</f>
        <v/>
      </c>
      <c r="O16" s="5">
        <f>IF($A16="","",IF(N16="-","-",IF($D16=0,0,N16/$D16)))</f>
        <v/>
      </c>
      <c r="P16" s="3">
        <f>IF($A16="","",IF($B16="","",IF(TODAY()&lt;$B16+180,"-",SUMPRODUCT(('Picked Students (raw)'!$B$2:$B$824=$A16)*('Picked Students (raw)'!$E$2:$E$824="Career Gap/ Non Working")*('Picked Students (raw)'!$C$2:$C$824&lt;&gt;"")*(('Picked Students (raw)'!$C$2:$C$824-$B16)&lt;180)))))</f>
        <v/>
      </c>
      <c r="Q16" s="5">
        <f>IF($A16="","",IF(P16="-","-",IF($D16=0,0,P16/$D16)))</f>
        <v/>
      </c>
      <c r="R16" s="3">
        <f>IF($A16="","",IF($B16="","",IF(TODAY()&lt;$B16+210,"-",SUMPRODUCT(('Picked Students (raw)'!$B$2:$B$824=$A16)*('Picked Students (raw)'!$E$2:$E$824="Career Gap/ Non Working")*('Picked Students (raw)'!$C$2:$C$824&lt;&gt;"")*(('Picked Students (raw)'!$C$2:$C$824-$B16)&lt;210)))))</f>
        <v/>
      </c>
      <c r="S16" s="5">
        <f>IF($A16="","",IF(R16="-","-",IF($D16=0,0,R16/$D16)))</f>
        <v/>
      </c>
      <c r="T16" s="3">
        <f>IF($A16="","",IF($B16="","",IF(TODAY()&lt;$B16+240,"-",SUMPRODUCT(('Picked Students (raw)'!$B$2:$B$824=$A16)*('Picked Students (raw)'!$E$2:$E$824="Career Gap/ Non Working")*('Picked Students (raw)'!$C$2:$C$824&lt;&gt;"")*(('Picked Students (raw)'!$C$2:$C$824-$B16)&lt;240)))))</f>
        <v/>
      </c>
      <c r="U16" s="5">
        <f>IF($A16="","",IF(T16="-","-",IF($D16=0,0,T16/$D16)))</f>
        <v/>
      </c>
      <c r="V16" s="3">
        <f>IF($A16="","",IF($B16="","",IF(TODAY()&lt;$B16+270,"-",SUMPRODUCT(('Picked Students (raw)'!$B$2:$B$824=$A16)*('Picked Students (raw)'!$E$2:$E$824="Career Gap/ Non Working")*('Picked Students (raw)'!$C$2:$C$824&lt;&gt;"")*(('Picked Students (raw)'!$C$2:$C$824-$B16)&lt;270)))))</f>
        <v/>
      </c>
      <c r="W16" s="5">
        <f>IF($A16="","",IF(V16="-","-",IF($D16=0,0,V16/$D16)))</f>
        <v/>
      </c>
      <c r="X16" s="3">
        <f>IF($A16="","",IF($B16="","",IF(TODAY()&lt;$B16+300,"-",SUMPRODUCT(('Picked Students (raw)'!$B$2:$B$824=$A16)*('Picked Students (raw)'!$E$2:$E$824="Career Gap/ Non Working")*('Picked Students (raw)'!$C$2:$C$824&lt;&gt;"")*(('Picked Students (raw)'!$C$2:$C$824-$B16)&lt;300)))))</f>
        <v/>
      </c>
      <c r="Y16" s="5">
        <f>IF($A16="","",IF(X16="-","-",IF($D16=0,0,X16/$D16)))</f>
        <v/>
      </c>
      <c r="Z16" s="3">
        <f>IF($A16="","",IF($B16="","",IF(TODAY()&lt;$B16+330,"-",SUMPRODUCT(('Picked Students (raw)'!$B$2:$B$824=$A16)*('Picked Students (raw)'!$E$2:$E$824="Career Gap/ Non Working")*('Picked Students (raw)'!$C$2:$C$824&lt;&gt;"")*(('Picked Students (raw)'!$C$2:$C$824-$B16)&lt;330)))))</f>
        <v/>
      </c>
      <c r="AA16" s="5">
        <f>IF($A16="","",IF(Z16="-","-",IF($D16=0,0,Z16/$D16)))</f>
        <v/>
      </c>
      <c r="AB16" s="3">
        <f>IF($A16="","",IF($B16="","",IF(TODAY()&lt;$B16+360,"-",SUMPRODUCT(('Picked Students (raw)'!$B$2:$B$824=$A16)*('Picked Students (raw)'!$E$2:$E$824="Career Gap/ Non Working")*('Picked Students (raw)'!$C$2:$C$824&lt;&gt;"")*(('Picked Students (raw)'!$C$2:$C$824-$B16)&lt;360)))))</f>
        <v/>
      </c>
      <c r="AC16" s="5">
        <f>IF($A16="","",IF(AB16="-","-",IF($D16=0,0,AB16/$D16)))</f>
        <v/>
      </c>
      <c r="AD16" s="3">
        <f>IF($A16="","",IF($B16="","",IF(TODAY()&lt;$B16+390,"-",SUMPRODUCT(('Picked Students (raw)'!$B$2:$B$824=$A16)*('Picked Students (raw)'!$E$2:$E$824="Career Gap/ Non Working")*('Picked Students (raw)'!$C$2:$C$824&lt;&gt;"")*(('Picked Students (raw)'!$C$2:$C$824-$B16)&lt;390)))))</f>
        <v/>
      </c>
      <c r="AE16" s="5">
        <f>IF($A16="","",IF(AD16="-","-",IF($D16=0,0,AD16/$D16)))</f>
        <v/>
      </c>
      <c r="AF16" s="3">
        <f>IF($A16="","",IF($B16="","",IF(TODAY()&lt;$B16+420,"-",SUMPRODUCT(('Picked Students (raw)'!$B$2:$B$824=$A16)*('Picked Students (raw)'!$E$2:$E$824="Career Gap/ Non Working")*('Picked Students (raw)'!$C$2:$C$824&lt;&gt;"")*(('Picked Students (raw)'!$C$2:$C$824-$B16)&lt;420)))))</f>
        <v/>
      </c>
      <c r="AG16" s="5">
        <f>IF($A16="","",IF(AF16="-","-",IF($D16=0,0,AF16/$D16)))</f>
        <v/>
      </c>
      <c r="AH16" s="3">
        <f>IF($A16="","",IF($B16="","",IF(TODAY()&lt;$B16+450,"-",SUMPRODUCT(('Picked Students (raw)'!$B$2:$B$824=$A16)*('Picked Students (raw)'!$E$2:$E$824="Career Gap/ Non Working")*('Picked Students (raw)'!$C$2:$C$824&lt;&gt;"")*(('Picked Students (raw)'!$C$2:$C$824-$B16)&lt;450)))))</f>
        <v/>
      </c>
      <c r="AI16" s="5">
        <f>IF($A16="","",IF(AH16="-","-",IF($D16=0,0,AH16/$D16)))</f>
        <v/>
      </c>
      <c r="AJ16" s="3">
        <f>IF($A16="","",IF($B16="","",IF(TODAY()&lt;$B16+480,"-",SUMPRODUCT(('Picked Students (raw)'!$B$2:$B$824=$A16)*('Picked Students (raw)'!$E$2:$E$824="Career Gap/ Non Working")*('Picked Students (raw)'!$C$2:$C$824&lt;&gt;"")*(('Picked Students (raw)'!$C$2:$C$824-$B16)&lt;480)))))</f>
        <v/>
      </c>
      <c r="AK16" s="5">
        <f>IF($A16="","",IF(AJ16="-","-",IF($D16=0,0,AJ16/$D16)))</f>
        <v/>
      </c>
      <c r="AL16" s="3">
        <f>IF($A16="","",IF($B16="","",IF(TODAY()&lt;$B16+510,"-",SUMPRODUCT(('Picked Students (raw)'!$B$2:$B$824=$A16)*('Picked Students (raw)'!$E$2:$E$824="Career Gap/ Non Working")*('Picked Students (raw)'!$C$2:$C$824&lt;&gt;"")*(('Picked Students (raw)'!$C$2:$C$824-$B16)&lt;510)))))</f>
        <v/>
      </c>
      <c r="AM16" s="5">
        <f>IF($A16="","",IF(AL16="-","-",IF($D16=0,0,AL16/$D16)))</f>
        <v/>
      </c>
      <c r="AN16" s="3">
        <f>IF($A16="","",IF($B16="","",IF(TODAY()&lt;$B16+540,"-",SUMPRODUCT(('Picked Students (raw)'!$B$2:$B$824=$A16)*('Picked Students (raw)'!$E$2:$E$824="Career Gap/ Non Working")*('Picked Students (raw)'!$C$2:$C$824&lt;&gt;"")*(('Picked Students (raw)'!$C$2:$C$824-$B16)&lt;540)))))</f>
        <v/>
      </c>
      <c r="AO16" s="5">
        <f>IF($A16="","",IF(AN16="-","-",IF($D16=0,0,AN16/$D16)))</f>
        <v/>
      </c>
      <c r="AP16" s="3">
        <f>IF($A16="","",IF(AN16="-","-",$E16-AN16))</f>
        <v/>
      </c>
    </row>
    <row r="17">
      <c r="A17" s="3" t="inlineStr">
        <is>
          <t>Professional Certificate Course In Data Science - May 2024</t>
        </is>
      </c>
      <c r="B17" s="4">
        <f>IF($A17="","",IFERROR(INDEX('Batch Enrollment (Metabase)'!$D$2:$D$47,MATCH($A17,'Batch Enrollment (Metabase)'!$A$2:$A$47,0)),""))</f>
        <v/>
      </c>
      <c r="C17" s="3">
        <f>IF($A17="","",IFERROR(INDEX('Batch Enrollment (Metabase)'!$E$2:$E$47,MATCH($A17,'Batch Enrollment (Metabase)'!$A$2:$A$47,0)),""))</f>
        <v/>
      </c>
      <c r="D17" s="3">
        <f>IF($A17="","",IFERROR(INDEX('Batch Enrollment (Metabase)'!$F$2:$F$47,MATCH($A17,'Batch Enrollment (Metabase)'!$A$2:$A$47,0)),""))</f>
        <v/>
      </c>
      <c r="E17" s="3">
        <f>IF($A17="","",COUNTIFS('Picked Students (raw)'!$B$2:$B$824,$A17,'Picked Students (raw)'!$E$2:$E$824,"Career Gap/ Non Working"))</f>
        <v/>
      </c>
      <c r="F17" s="3">
        <f>IF($A17="","",IF($B17="","",IF(TODAY()&lt;$B17+30,"-",SUMPRODUCT(('Picked Students (raw)'!$B$2:$B$824=$A17)*('Picked Students (raw)'!$E$2:$E$824="Career Gap/ Non Working")*('Picked Students (raw)'!$C$2:$C$824&lt;&gt;"")*(('Picked Students (raw)'!$C$2:$C$824-$B17)&lt;30)))))</f>
        <v/>
      </c>
      <c r="G17" s="5">
        <f>IF($A17="","",IF(F17="-","-",IF($D17=0,0,F17/$D17)))</f>
        <v/>
      </c>
      <c r="H17" s="3">
        <f>IF($A17="","",IF($B17="","",IF(TODAY()&lt;$B17+60,"-",SUMPRODUCT(('Picked Students (raw)'!$B$2:$B$824=$A17)*('Picked Students (raw)'!$E$2:$E$824="Career Gap/ Non Working")*('Picked Students (raw)'!$C$2:$C$824&lt;&gt;"")*(('Picked Students (raw)'!$C$2:$C$824-$B17)&lt;60)))))</f>
        <v/>
      </c>
      <c r="I17" s="5">
        <f>IF($A17="","",IF(H17="-","-",IF($D17=0,0,H17/$D17)))</f>
        <v/>
      </c>
      <c r="J17" s="3">
        <f>IF($A17="","",IF($B17="","",IF(TODAY()&lt;$B17+90,"-",SUMPRODUCT(('Picked Students (raw)'!$B$2:$B$824=$A17)*('Picked Students (raw)'!$E$2:$E$824="Career Gap/ Non Working")*('Picked Students (raw)'!$C$2:$C$824&lt;&gt;"")*(('Picked Students (raw)'!$C$2:$C$824-$B17)&lt;90)))))</f>
        <v/>
      </c>
      <c r="K17" s="5">
        <f>IF($A17="","",IF(J17="-","-",IF($D17=0,0,J17/$D17)))</f>
        <v/>
      </c>
      <c r="L17" s="3">
        <f>IF($A17="","",IF($B17="","",IF(TODAY()&lt;$B17+120,"-",SUMPRODUCT(('Picked Students (raw)'!$B$2:$B$824=$A17)*('Picked Students (raw)'!$E$2:$E$824="Career Gap/ Non Working")*('Picked Students (raw)'!$C$2:$C$824&lt;&gt;"")*(('Picked Students (raw)'!$C$2:$C$824-$B17)&lt;120)))))</f>
        <v/>
      </c>
      <c r="M17" s="5">
        <f>IF($A17="","",IF(L17="-","-",IF($D17=0,0,L17/$D17)))</f>
        <v/>
      </c>
      <c r="N17" s="3">
        <f>IF($A17="","",IF($B17="","",IF(TODAY()&lt;$B17+150,"-",SUMPRODUCT(('Picked Students (raw)'!$B$2:$B$824=$A17)*('Picked Students (raw)'!$E$2:$E$824="Career Gap/ Non Working")*('Picked Students (raw)'!$C$2:$C$824&lt;&gt;"")*(('Picked Students (raw)'!$C$2:$C$824-$B17)&lt;150)))))</f>
        <v/>
      </c>
      <c r="O17" s="5">
        <f>IF($A17="","",IF(N17="-","-",IF($D17=0,0,N17/$D17)))</f>
        <v/>
      </c>
      <c r="P17" s="3">
        <f>IF($A17="","",IF($B17="","",IF(TODAY()&lt;$B17+180,"-",SUMPRODUCT(('Picked Students (raw)'!$B$2:$B$824=$A17)*('Picked Students (raw)'!$E$2:$E$824="Career Gap/ Non Working")*('Picked Students (raw)'!$C$2:$C$824&lt;&gt;"")*(('Picked Students (raw)'!$C$2:$C$824-$B17)&lt;180)))))</f>
        <v/>
      </c>
      <c r="Q17" s="5">
        <f>IF($A17="","",IF(P17="-","-",IF($D17=0,0,P17/$D17)))</f>
        <v/>
      </c>
      <c r="R17" s="3">
        <f>IF($A17="","",IF($B17="","",IF(TODAY()&lt;$B17+210,"-",SUMPRODUCT(('Picked Students (raw)'!$B$2:$B$824=$A17)*('Picked Students (raw)'!$E$2:$E$824="Career Gap/ Non Working")*('Picked Students (raw)'!$C$2:$C$824&lt;&gt;"")*(('Picked Students (raw)'!$C$2:$C$824-$B17)&lt;210)))))</f>
        <v/>
      </c>
      <c r="S17" s="5">
        <f>IF($A17="","",IF(R17="-","-",IF($D17=0,0,R17/$D17)))</f>
        <v/>
      </c>
      <c r="T17" s="3">
        <f>IF($A17="","",IF($B17="","",IF(TODAY()&lt;$B17+240,"-",SUMPRODUCT(('Picked Students (raw)'!$B$2:$B$824=$A17)*('Picked Students (raw)'!$E$2:$E$824="Career Gap/ Non Working")*('Picked Students (raw)'!$C$2:$C$824&lt;&gt;"")*(('Picked Students (raw)'!$C$2:$C$824-$B17)&lt;240)))))</f>
        <v/>
      </c>
      <c r="U17" s="5">
        <f>IF($A17="","",IF(T17="-","-",IF($D17=0,0,T17/$D17)))</f>
        <v/>
      </c>
      <c r="V17" s="3">
        <f>IF($A17="","",IF($B17="","",IF(TODAY()&lt;$B17+270,"-",SUMPRODUCT(('Picked Students (raw)'!$B$2:$B$824=$A17)*('Picked Students (raw)'!$E$2:$E$824="Career Gap/ Non Working")*('Picked Students (raw)'!$C$2:$C$824&lt;&gt;"")*(('Picked Students (raw)'!$C$2:$C$824-$B17)&lt;270)))))</f>
        <v/>
      </c>
      <c r="W17" s="5">
        <f>IF($A17="","",IF(V17="-","-",IF($D17=0,0,V17/$D17)))</f>
        <v/>
      </c>
      <c r="X17" s="3">
        <f>IF($A17="","",IF($B17="","",IF(TODAY()&lt;$B17+300,"-",SUMPRODUCT(('Picked Students (raw)'!$B$2:$B$824=$A17)*('Picked Students (raw)'!$E$2:$E$824="Career Gap/ Non Working")*('Picked Students (raw)'!$C$2:$C$824&lt;&gt;"")*(('Picked Students (raw)'!$C$2:$C$824-$B17)&lt;300)))))</f>
        <v/>
      </c>
      <c r="Y17" s="5">
        <f>IF($A17="","",IF(X17="-","-",IF($D17=0,0,X17/$D17)))</f>
        <v/>
      </c>
      <c r="Z17" s="3">
        <f>IF($A17="","",IF($B17="","",IF(TODAY()&lt;$B17+330,"-",SUMPRODUCT(('Picked Students (raw)'!$B$2:$B$824=$A17)*('Picked Students (raw)'!$E$2:$E$824="Career Gap/ Non Working")*('Picked Students (raw)'!$C$2:$C$824&lt;&gt;"")*(('Picked Students (raw)'!$C$2:$C$824-$B17)&lt;330)))))</f>
        <v/>
      </c>
      <c r="AA17" s="5">
        <f>IF($A17="","",IF(Z17="-","-",IF($D17=0,0,Z17/$D17)))</f>
        <v/>
      </c>
      <c r="AB17" s="3">
        <f>IF($A17="","",IF($B17="","",IF(TODAY()&lt;$B17+360,"-",SUMPRODUCT(('Picked Students (raw)'!$B$2:$B$824=$A17)*('Picked Students (raw)'!$E$2:$E$824="Career Gap/ Non Working")*('Picked Students (raw)'!$C$2:$C$824&lt;&gt;"")*(('Picked Students (raw)'!$C$2:$C$824-$B17)&lt;360)))))</f>
        <v/>
      </c>
      <c r="AC17" s="5">
        <f>IF($A17="","",IF(AB17="-","-",IF($D17=0,0,AB17/$D17)))</f>
        <v/>
      </c>
      <c r="AD17" s="3">
        <f>IF($A17="","",IF($B17="","",IF(TODAY()&lt;$B17+390,"-",SUMPRODUCT(('Picked Students (raw)'!$B$2:$B$824=$A17)*('Picked Students (raw)'!$E$2:$E$824="Career Gap/ Non Working")*('Picked Students (raw)'!$C$2:$C$824&lt;&gt;"")*(('Picked Students (raw)'!$C$2:$C$824-$B17)&lt;390)))))</f>
        <v/>
      </c>
      <c r="AE17" s="5">
        <f>IF($A17="","",IF(AD17="-","-",IF($D17=0,0,AD17/$D17)))</f>
        <v/>
      </c>
      <c r="AF17" s="3">
        <f>IF($A17="","",IF($B17="","",IF(TODAY()&lt;$B17+420,"-",SUMPRODUCT(('Picked Students (raw)'!$B$2:$B$824=$A17)*('Picked Students (raw)'!$E$2:$E$824="Career Gap/ Non Working")*('Picked Students (raw)'!$C$2:$C$824&lt;&gt;"")*(('Picked Students (raw)'!$C$2:$C$824-$B17)&lt;420)))))</f>
        <v/>
      </c>
      <c r="AG17" s="5">
        <f>IF($A17="","",IF(AF17="-","-",IF($D17=0,0,AF17/$D17)))</f>
        <v/>
      </c>
      <c r="AH17" s="3">
        <f>IF($A17="","",IF($B17="","",IF(TODAY()&lt;$B17+450,"-",SUMPRODUCT(('Picked Students (raw)'!$B$2:$B$824=$A17)*('Picked Students (raw)'!$E$2:$E$824="Career Gap/ Non Working")*('Picked Students (raw)'!$C$2:$C$824&lt;&gt;"")*(('Picked Students (raw)'!$C$2:$C$824-$B17)&lt;450)))))</f>
        <v/>
      </c>
      <c r="AI17" s="5">
        <f>IF($A17="","",IF(AH17="-","-",IF($D17=0,0,AH17/$D17)))</f>
        <v/>
      </c>
      <c r="AJ17" s="3">
        <f>IF($A17="","",IF($B17="","",IF(TODAY()&lt;$B17+480,"-",SUMPRODUCT(('Picked Students (raw)'!$B$2:$B$824=$A17)*('Picked Students (raw)'!$E$2:$E$824="Career Gap/ Non Working")*('Picked Students (raw)'!$C$2:$C$824&lt;&gt;"")*(('Picked Students (raw)'!$C$2:$C$824-$B17)&lt;480)))))</f>
        <v/>
      </c>
      <c r="AK17" s="5">
        <f>IF($A17="","",IF(AJ17="-","-",IF($D17=0,0,AJ17/$D17)))</f>
        <v/>
      </c>
      <c r="AL17" s="3">
        <f>IF($A17="","",IF($B17="","",IF(TODAY()&lt;$B17+510,"-",SUMPRODUCT(('Picked Students (raw)'!$B$2:$B$824=$A17)*('Picked Students (raw)'!$E$2:$E$824="Career Gap/ Non Working")*('Picked Students (raw)'!$C$2:$C$824&lt;&gt;"")*(('Picked Students (raw)'!$C$2:$C$824-$B17)&lt;510)))))</f>
        <v/>
      </c>
      <c r="AM17" s="5">
        <f>IF($A17="","",IF(AL17="-","-",IF($D17=0,0,AL17/$D17)))</f>
        <v/>
      </c>
      <c r="AN17" s="3">
        <f>IF($A17="","",IF($B17="","",IF(TODAY()&lt;$B17+540,"-",SUMPRODUCT(('Picked Students (raw)'!$B$2:$B$824=$A17)*('Picked Students (raw)'!$E$2:$E$824="Career Gap/ Non Working")*('Picked Students (raw)'!$C$2:$C$824&lt;&gt;"")*(('Picked Students (raw)'!$C$2:$C$824-$B17)&lt;540)))))</f>
        <v/>
      </c>
      <c r="AO17" s="5">
        <f>IF($A17="","",IF(AN17="-","-",IF($D17=0,0,AN17/$D17)))</f>
        <v/>
      </c>
      <c r="AP17" s="3">
        <f>IF($A17="","",IF(AN17="-","-",$E17-AN17))</f>
        <v/>
      </c>
    </row>
    <row r="18">
      <c r="A18" s="3" t="inlineStr">
        <is>
          <t>Professional Certificate Course In Data Science - June 2024</t>
        </is>
      </c>
      <c r="B18" s="4">
        <f>IF($A18="","",IFERROR(INDEX('Batch Enrollment (Metabase)'!$D$2:$D$47,MATCH($A18,'Batch Enrollment (Metabase)'!$A$2:$A$47,0)),""))</f>
        <v/>
      </c>
      <c r="C18" s="3">
        <f>IF($A18="","",IFERROR(INDEX('Batch Enrollment (Metabase)'!$E$2:$E$47,MATCH($A18,'Batch Enrollment (Metabase)'!$A$2:$A$47,0)),""))</f>
        <v/>
      </c>
      <c r="D18" s="3">
        <f>IF($A18="","",IFERROR(INDEX('Batch Enrollment (Metabase)'!$F$2:$F$47,MATCH($A18,'Batch Enrollment (Metabase)'!$A$2:$A$47,0)),""))</f>
        <v/>
      </c>
      <c r="E18" s="3">
        <f>IF($A18="","",COUNTIFS('Picked Students (raw)'!$B$2:$B$824,$A18,'Picked Students (raw)'!$E$2:$E$824,"Career Gap/ Non Working"))</f>
        <v/>
      </c>
      <c r="F18" s="3">
        <f>IF($A18="","",IF($B18="","",IF(TODAY()&lt;$B18+30,"-",SUMPRODUCT(('Picked Students (raw)'!$B$2:$B$824=$A18)*('Picked Students (raw)'!$E$2:$E$824="Career Gap/ Non Working")*('Picked Students (raw)'!$C$2:$C$824&lt;&gt;"")*(('Picked Students (raw)'!$C$2:$C$824-$B18)&lt;30)))))</f>
        <v/>
      </c>
      <c r="G18" s="5">
        <f>IF($A18="","",IF(F18="-","-",IF($D18=0,0,F18/$D18)))</f>
        <v/>
      </c>
      <c r="H18" s="3">
        <f>IF($A18="","",IF($B18="","",IF(TODAY()&lt;$B18+60,"-",SUMPRODUCT(('Picked Students (raw)'!$B$2:$B$824=$A18)*('Picked Students (raw)'!$E$2:$E$824="Career Gap/ Non Working")*('Picked Students (raw)'!$C$2:$C$824&lt;&gt;"")*(('Picked Students (raw)'!$C$2:$C$824-$B18)&lt;60)))))</f>
        <v/>
      </c>
      <c r="I18" s="5">
        <f>IF($A18="","",IF(H18="-","-",IF($D18=0,0,H18/$D18)))</f>
        <v/>
      </c>
      <c r="J18" s="3">
        <f>IF($A18="","",IF($B18="","",IF(TODAY()&lt;$B18+90,"-",SUMPRODUCT(('Picked Students (raw)'!$B$2:$B$824=$A18)*('Picked Students (raw)'!$E$2:$E$824="Career Gap/ Non Working")*('Picked Students (raw)'!$C$2:$C$824&lt;&gt;"")*(('Picked Students (raw)'!$C$2:$C$824-$B18)&lt;90)))))</f>
        <v/>
      </c>
      <c r="K18" s="5">
        <f>IF($A18="","",IF(J18="-","-",IF($D18=0,0,J18/$D18)))</f>
        <v/>
      </c>
      <c r="L18" s="3">
        <f>IF($A18="","",IF($B18="","",IF(TODAY()&lt;$B18+120,"-",SUMPRODUCT(('Picked Students (raw)'!$B$2:$B$824=$A18)*('Picked Students (raw)'!$E$2:$E$824="Career Gap/ Non Working")*('Picked Students (raw)'!$C$2:$C$824&lt;&gt;"")*(('Picked Students (raw)'!$C$2:$C$824-$B18)&lt;120)))))</f>
        <v/>
      </c>
      <c r="M18" s="5">
        <f>IF($A18="","",IF(L18="-","-",IF($D18=0,0,L18/$D18)))</f>
        <v/>
      </c>
      <c r="N18" s="3">
        <f>IF($A18="","",IF($B18="","",IF(TODAY()&lt;$B18+150,"-",SUMPRODUCT(('Picked Students (raw)'!$B$2:$B$824=$A18)*('Picked Students (raw)'!$E$2:$E$824="Career Gap/ Non Working")*('Picked Students (raw)'!$C$2:$C$824&lt;&gt;"")*(('Picked Students (raw)'!$C$2:$C$824-$B18)&lt;150)))))</f>
        <v/>
      </c>
      <c r="O18" s="5">
        <f>IF($A18="","",IF(N18="-","-",IF($D18=0,0,N18/$D18)))</f>
        <v/>
      </c>
      <c r="P18" s="3">
        <f>IF($A18="","",IF($B18="","",IF(TODAY()&lt;$B18+180,"-",SUMPRODUCT(('Picked Students (raw)'!$B$2:$B$824=$A18)*('Picked Students (raw)'!$E$2:$E$824="Career Gap/ Non Working")*('Picked Students (raw)'!$C$2:$C$824&lt;&gt;"")*(('Picked Students (raw)'!$C$2:$C$824-$B18)&lt;180)))))</f>
        <v/>
      </c>
      <c r="Q18" s="5">
        <f>IF($A18="","",IF(P18="-","-",IF($D18=0,0,P18/$D18)))</f>
        <v/>
      </c>
      <c r="R18" s="3">
        <f>IF($A18="","",IF($B18="","",IF(TODAY()&lt;$B18+210,"-",SUMPRODUCT(('Picked Students (raw)'!$B$2:$B$824=$A18)*('Picked Students (raw)'!$E$2:$E$824="Career Gap/ Non Working")*('Picked Students (raw)'!$C$2:$C$824&lt;&gt;"")*(('Picked Students (raw)'!$C$2:$C$824-$B18)&lt;210)))))</f>
        <v/>
      </c>
      <c r="S18" s="5">
        <f>IF($A18="","",IF(R18="-","-",IF($D18=0,0,R18/$D18)))</f>
        <v/>
      </c>
      <c r="T18" s="3">
        <f>IF($A18="","",IF($B18="","",IF(TODAY()&lt;$B18+240,"-",SUMPRODUCT(('Picked Students (raw)'!$B$2:$B$824=$A18)*('Picked Students (raw)'!$E$2:$E$824="Career Gap/ Non Working")*('Picked Students (raw)'!$C$2:$C$824&lt;&gt;"")*(('Picked Students (raw)'!$C$2:$C$824-$B18)&lt;240)))))</f>
        <v/>
      </c>
      <c r="U18" s="5">
        <f>IF($A18="","",IF(T18="-","-",IF($D18=0,0,T18/$D18)))</f>
        <v/>
      </c>
      <c r="V18" s="3">
        <f>IF($A18="","",IF($B18="","",IF(TODAY()&lt;$B18+270,"-",SUMPRODUCT(('Picked Students (raw)'!$B$2:$B$824=$A18)*('Picked Students (raw)'!$E$2:$E$824="Career Gap/ Non Working")*('Picked Students (raw)'!$C$2:$C$824&lt;&gt;"")*(('Picked Students (raw)'!$C$2:$C$824-$B18)&lt;270)))))</f>
        <v/>
      </c>
      <c r="W18" s="5">
        <f>IF($A18="","",IF(V18="-","-",IF($D18=0,0,V18/$D18)))</f>
        <v/>
      </c>
      <c r="X18" s="3">
        <f>IF($A18="","",IF($B18="","",IF(TODAY()&lt;$B18+300,"-",SUMPRODUCT(('Picked Students (raw)'!$B$2:$B$824=$A18)*('Picked Students (raw)'!$E$2:$E$824="Career Gap/ Non Working")*('Picked Students (raw)'!$C$2:$C$824&lt;&gt;"")*(('Picked Students (raw)'!$C$2:$C$824-$B18)&lt;300)))))</f>
        <v/>
      </c>
      <c r="Y18" s="5">
        <f>IF($A18="","",IF(X18="-","-",IF($D18=0,0,X18/$D18)))</f>
        <v/>
      </c>
      <c r="Z18" s="3">
        <f>IF($A18="","",IF($B18="","",IF(TODAY()&lt;$B18+330,"-",SUMPRODUCT(('Picked Students (raw)'!$B$2:$B$824=$A18)*('Picked Students (raw)'!$E$2:$E$824="Career Gap/ Non Working")*('Picked Students (raw)'!$C$2:$C$824&lt;&gt;"")*(('Picked Students (raw)'!$C$2:$C$824-$B18)&lt;330)))))</f>
        <v/>
      </c>
      <c r="AA18" s="5">
        <f>IF($A18="","",IF(Z18="-","-",IF($D18=0,0,Z18/$D18)))</f>
        <v/>
      </c>
      <c r="AB18" s="3">
        <f>IF($A18="","",IF($B18="","",IF(TODAY()&lt;$B18+360,"-",SUMPRODUCT(('Picked Students (raw)'!$B$2:$B$824=$A18)*('Picked Students (raw)'!$E$2:$E$824="Career Gap/ Non Working")*('Picked Students (raw)'!$C$2:$C$824&lt;&gt;"")*(('Picked Students (raw)'!$C$2:$C$824-$B18)&lt;360)))))</f>
        <v/>
      </c>
      <c r="AC18" s="5">
        <f>IF($A18="","",IF(AB18="-","-",IF($D18=0,0,AB18/$D18)))</f>
        <v/>
      </c>
      <c r="AD18" s="3">
        <f>IF($A18="","",IF($B18="","",IF(TODAY()&lt;$B18+390,"-",SUMPRODUCT(('Picked Students (raw)'!$B$2:$B$824=$A18)*('Picked Students (raw)'!$E$2:$E$824="Career Gap/ Non Working")*('Picked Students (raw)'!$C$2:$C$824&lt;&gt;"")*(('Picked Students (raw)'!$C$2:$C$824-$B18)&lt;390)))))</f>
        <v/>
      </c>
      <c r="AE18" s="5">
        <f>IF($A18="","",IF(AD18="-","-",IF($D18=0,0,AD18/$D18)))</f>
        <v/>
      </c>
      <c r="AF18" s="3">
        <f>IF($A18="","",IF($B18="","",IF(TODAY()&lt;$B18+420,"-",SUMPRODUCT(('Picked Students (raw)'!$B$2:$B$824=$A18)*('Picked Students (raw)'!$E$2:$E$824="Career Gap/ Non Working")*('Picked Students (raw)'!$C$2:$C$824&lt;&gt;"")*(('Picked Students (raw)'!$C$2:$C$824-$B18)&lt;420)))))</f>
        <v/>
      </c>
      <c r="AG18" s="5">
        <f>IF($A18="","",IF(AF18="-","-",IF($D18=0,0,AF18/$D18)))</f>
        <v/>
      </c>
      <c r="AH18" s="3">
        <f>IF($A18="","",IF($B18="","",IF(TODAY()&lt;$B18+450,"-",SUMPRODUCT(('Picked Students (raw)'!$B$2:$B$824=$A18)*('Picked Students (raw)'!$E$2:$E$824="Career Gap/ Non Working")*('Picked Students (raw)'!$C$2:$C$824&lt;&gt;"")*(('Picked Students (raw)'!$C$2:$C$824-$B18)&lt;450)))))</f>
        <v/>
      </c>
      <c r="AI18" s="5">
        <f>IF($A18="","",IF(AH18="-","-",IF($D18=0,0,AH18/$D18)))</f>
        <v/>
      </c>
      <c r="AJ18" s="3">
        <f>IF($A18="","",IF($B18="","",IF(TODAY()&lt;$B18+480,"-",SUMPRODUCT(('Picked Students (raw)'!$B$2:$B$824=$A18)*('Picked Students (raw)'!$E$2:$E$824="Career Gap/ Non Working")*('Picked Students (raw)'!$C$2:$C$824&lt;&gt;"")*(('Picked Students (raw)'!$C$2:$C$824-$B18)&lt;480)))))</f>
        <v/>
      </c>
      <c r="AK18" s="5">
        <f>IF($A18="","",IF(AJ18="-","-",IF($D18=0,0,AJ18/$D18)))</f>
        <v/>
      </c>
      <c r="AL18" s="3">
        <f>IF($A18="","",IF($B18="","",IF(TODAY()&lt;$B18+510,"-",SUMPRODUCT(('Picked Students (raw)'!$B$2:$B$824=$A18)*('Picked Students (raw)'!$E$2:$E$824="Career Gap/ Non Working")*('Picked Students (raw)'!$C$2:$C$824&lt;&gt;"")*(('Picked Students (raw)'!$C$2:$C$824-$B18)&lt;510)))))</f>
        <v/>
      </c>
      <c r="AM18" s="5">
        <f>IF($A18="","",IF(AL18="-","-",IF($D18=0,0,AL18/$D18)))</f>
        <v/>
      </c>
      <c r="AN18" s="3">
        <f>IF($A18="","",IF($B18="","",IF(TODAY()&lt;$B18+540,"-",SUMPRODUCT(('Picked Students (raw)'!$B$2:$B$824=$A18)*('Picked Students (raw)'!$E$2:$E$824="Career Gap/ Non Working")*('Picked Students (raw)'!$C$2:$C$824&lt;&gt;"")*(('Picked Students (raw)'!$C$2:$C$824-$B18)&lt;540)))))</f>
        <v/>
      </c>
      <c r="AO18" s="5">
        <f>IF($A18="","",IF(AN18="-","-",IF($D18=0,0,AN18/$D18)))</f>
        <v/>
      </c>
      <c r="AP18" s="3">
        <f>IF($A18="","",IF(AN18="-","-",$E18-AN18))</f>
        <v/>
      </c>
    </row>
    <row r="19">
      <c r="A19" s="3" t="inlineStr">
        <is>
          <t>Professional Certificate Course In Data Science - July 2024</t>
        </is>
      </c>
      <c r="B19" s="4">
        <f>IF($A19="","",IFERROR(INDEX('Batch Enrollment (Metabase)'!$D$2:$D$47,MATCH($A19,'Batch Enrollment (Metabase)'!$A$2:$A$47,0)),""))</f>
        <v/>
      </c>
      <c r="C19" s="3">
        <f>IF($A19="","",IFERROR(INDEX('Batch Enrollment (Metabase)'!$E$2:$E$47,MATCH($A19,'Batch Enrollment (Metabase)'!$A$2:$A$47,0)),""))</f>
        <v/>
      </c>
      <c r="D19" s="3">
        <f>IF($A19="","",IFERROR(INDEX('Batch Enrollment (Metabase)'!$F$2:$F$47,MATCH($A19,'Batch Enrollment (Metabase)'!$A$2:$A$47,0)),""))</f>
        <v/>
      </c>
      <c r="E19" s="3">
        <f>IF($A19="","",COUNTIFS('Picked Students (raw)'!$B$2:$B$824,$A19,'Picked Students (raw)'!$E$2:$E$824,"Career Gap/ Non Working"))</f>
        <v/>
      </c>
      <c r="F19" s="3">
        <f>IF($A19="","",IF($B19="","",IF(TODAY()&lt;$B19+30,"-",SUMPRODUCT(('Picked Students (raw)'!$B$2:$B$824=$A19)*('Picked Students (raw)'!$E$2:$E$824="Career Gap/ Non Working")*('Picked Students (raw)'!$C$2:$C$824&lt;&gt;"")*(('Picked Students (raw)'!$C$2:$C$824-$B19)&lt;30)))))</f>
        <v/>
      </c>
      <c r="G19" s="5">
        <f>IF($A19="","",IF(F19="-","-",IF($D19=0,0,F19/$D19)))</f>
        <v/>
      </c>
      <c r="H19" s="3">
        <f>IF($A19="","",IF($B19="","",IF(TODAY()&lt;$B19+60,"-",SUMPRODUCT(('Picked Students (raw)'!$B$2:$B$824=$A19)*('Picked Students (raw)'!$E$2:$E$824="Career Gap/ Non Working")*('Picked Students (raw)'!$C$2:$C$824&lt;&gt;"")*(('Picked Students (raw)'!$C$2:$C$824-$B19)&lt;60)))))</f>
        <v/>
      </c>
      <c r="I19" s="5">
        <f>IF($A19="","",IF(H19="-","-",IF($D19=0,0,H19/$D19)))</f>
        <v/>
      </c>
      <c r="J19" s="3">
        <f>IF($A19="","",IF($B19="","",IF(TODAY()&lt;$B19+90,"-",SUMPRODUCT(('Picked Students (raw)'!$B$2:$B$824=$A19)*('Picked Students (raw)'!$E$2:$E$824="Career Gap/ Non Working")*('Picked Students (raw)'!$C$2:$C$824&lt;&gt;"")*(('Picked Students (raw)'!$C$2:$C$824-$B19)&lt;90)))))</f>
        <v/>
      </c>
      <c r="K19" s="5">
        <f>IF($A19="","",IF(J19="-","-",IF($D19=0,0,J19/$D19)))</f>
        <v/>
      </c>
      <c r="L19" s="3">
        <f>IF($A19="","",IF($B19="","",IF(TODAY()&lt;$B19+120,"-",SUMPRODUCT(('Picked Students (raw)'!$B$2:$B$824=$A19)*('Picked Students (raw)'!$E$2:$E$824="Career Gap/ Non Working")*('Picked Students (raw)'!$C$2:$C$824&lt;&gt;"")*(('Picked Students (raw)'!$C$2:$C$824-$B19)&lt;120)))))</f>
        <v/>
      </c>
      <c r="M19" s="5">
        <f>IF($A19="","",IF(L19="-","-",IF($D19=0,0,L19/$D19)))</f>
        <v/>
      </c>
      <c r="N19" s="3">
        <f>IF($A19="","",IF($B19="","",IF(TODAY()&lt;$B19+150,"-",SUMPRODUCT(('Picked Students (raw)'!$B$2:$B$824=$A19)*('Picked Students (raw)'!$E$2:$E$824="Career Gap/ Non Working")*('Picked Students (raw)'!$C$2:$C$824&lt;&gt;"")*(('Picked Students (raw)'!$C$2:$C$824-$B19)&lt;150)))))</f>
        <v/>
      </c>
      <c r="O19" s="5">
        <f>IF($A19="","",IF(N19="-","-",IF($D19=0,0,N19/$D19)))</f>
        <v/>
      </c>
      <c r="P19" s="3">
        <f>IF($A19="","",IF($B19="","",IF(TODAY()&lt;$B19+180,"-",SUMPRODUCT(('Picked Students (raw)'!$B$2:$B$824=$A19)*('Picked Students (raw)'!$E$2:$E$824="Career Gap/ Non Working")*('Picked Students (raw)'!$C$2:$C$824&lt;&gt;"")*(('Picked Students (raw)'!$C$2:$C$824-$B19)&lt;180)))))</f>
        <v/>
      </c>
      <c r="Q19" s="5">
        <f>IF($A19="","",IF(P19="-","-",IF($D19=0,0,P19/$D19)))</f>
        <v/>
      </c>
      <c r="R19" s="3">
        <f>IF($A19="","",IF($B19="","",IF(TODAY()&lt;$B19+210,"-",SUMPRODUCT(('Picked Students (raw)'!$B$2:$B$824=$A19)*('Picked Students (raw)'!$E$2:$E$824="Career Gap/ Non Working")*('Picked Students (raw)'!$C$2:$C$824&lt;&gt;"")*(('Picked Students (raw)'!$C$2:$C$824-$B19)&lt;210)))))</f>
        <v/>
      </c>
      <c r="S19" s="5">
        <f>IF($A19="","",IF(R19="-","-",IF($D19=0,0,R19/$D19)))</f>
        <v/>
      </c>
      <c r="T19" s="3">
        <f>IF($A19="","",IF($B19="","",IF(TODAY()&lt;$B19+240,"-",SUMPRODUCT(('Picked Students (raw)'!$B$2:$B$824=$A19)*('Picked Students (raw)'!$E$2:$E$824="Career Gap/ Non Working")*('Picked Students (raw)'!$C$2:$C$824&lt;&gt;"")*(('Picked Students (raw)'!$C$2:$C$824-$B19)&lt;240)))))</f>
        <v/>
      </c>
      <c r="U19" s="5">
        <f>IF($A19="","",IF(T19="-","-",IF($D19=0,0,T19/$D19)))</f>
        <v/>
      </c>
      <c r="V19" s="3">
        <f>IF($A19="","",IF($B19="","",IF(TODAY()&lt;$B19+270,"-",SUMPRODUCT(('Picked Students (raw)'!$B$2:$B$824=$A19)*('Picked Students (raw)'!$E$2:$E$824="Career Gap/ Non Working")*('Picked Students (raw)'!$C$2:$C$824&lt;&gt;"")*(('Picked Students (raw)'!$C$2:$C$824-$B19)&lt;270)))))</f>
        <v/>
      </c>
      <c r="W19" s="5">
        <f>IF($A19="","",IF(V19="-","-",IF($D19=0,0,V19/$D19)))</f>
        <v/>
      </c>
      <c r="X19" s="3">
        <f>IF($A19="","",IF($B19="","",IF(TODAY()&lt;$B19+300,"-",SUMPRODUCT(('Picked Students (raw)'!$B$2:$B$824=$A19)*('Picked Students (raw)'!$E$2:$E$824="Career Gap/ Non Working")*('Picked Students (raw)'!$C$2:$C$824&lt;&gt;"")*(('Picked Students (raw)'!$C$2:$C$824-$B19)&lt;300)))))</f>
        <v/>
      </c>
      <c r="Y19" s="5">
        <f>IF($A19="","",IF(X19="-","-",IF($D19=0,0,X19/$D19)))</f>
        <v/>
      </c>
      <c r="Z19" s="3">
        <f>IF($A19="","",IF($B19="","",IF(TODAY()&lt;$B19+330,"-",SUMPRODUCT(('Picked Students (raw)'!$B$2:$B$824=$A19)*('Picked Students (raw)'!$E$2:$E$824="Career Gap/ Non Working")*('Picked Students (raw)'!$C$2:$C$824&lt;&gt;"")*(('Picked Students (raw)'!$C$2:$C$824-$B19)&lt;330)))))</f>
        <v/>
      </c>
      <c r="AA19" s="5">
        <f>IF($A19="","",IF(Z19="-","-",IF($D19=0,0,Z19/$D19)))</f>
        <v/>
      </c>
      <c r="AB19" s="3">
        <f>IF($A19="","",IF($B19="","",IF(TODAY()&lt;$B19+360,"-",SUMPRODUCT(('Picked Students (raw)'!$B$2:$B$824=$A19)*('Picked Students (raw)'!$E$2:$E$824="Career Gap/ Non Working")*('Picked Students (raw)'!$C$2:$C$824&lt;&gt;"")*(('Picked Students (raw)'!$C$2:$C$824-$B19)&lt;360)))))</f>
        <v/>
      </c>
      <c r="AC19" s="5">
        <f>IF($A19="","",IF(AB19="-","-",IF($D19=0,0,AB19/$D19)))</f>
        <v/>
      </c>
      <c r="AD19" s="3">
        <f>IF($A19="","",IF($B19="","",IF(TODAY()&lt;$B19+390,"-",SUMPRODUCT(('Picked Students (raw)'!$B$2:$B$824=$A19)*('Picked Students (raw)'!$E$2:$E$824="Career Gap/ Non Working")*('Picked Students (raw)'!$C$2:$C$824&lt;&gt;"")*(('Picked Students (raw)'!$C$2:$C$824-$B19)&lt;390)))))</f>
        <v/>
      </c>
      <c r="AE19" s="5">
        <f>IF($A19="","",IF(AD19="-","-",IF($D19=0,0,AD19/$D19)))</f>
        <v/>
      </c>
      <c r="AF19" s="3">
        <f>IF($A19="","",IF($B19="","",IF(TODAY()&lt;$B19+420,"-",SUMPRODUCT(('Picked Students (raw)'!$B$2:$B$824=$A19)*('Picked Students (raw)'!$E$2:$E$824="Career Gap/ Non Working")*('Picked Students (raw)'!$C$2:$C$824&lt;&gt;"")*(('Picked Students (raw)'!$C$2:$C$824-$B19)&lt;420)))))</f>
        <v/>
      </c>
      <c r="AG19" s="5">
        <f>IF($A19="","",IF(AF19="-","-",IF($D19=0,0,AF19/$D19)))</f>
        <v/>
      </c>
      <c r="AH19" s="3">
        <f>IF($A19="","",IF($B19="","",IF(TODAY()&lt;$B19+450,"-",SUMPRODUCT(('Picked Students (raw)'!$B$2:$B$824=$A19)*('Picked Students (raw)'!$E$2:$E$824="Career Gap/ Non Working")*('Picked Students (raw)'!$C$2:$C$824&lt;&gt;"")*(('Picked Students (raw)'!$C$2:$C$824-$B19)&lt;450)))))</f>
        <v/>
      </c>
      <c r="AI19" s="5">
        <f>IF($A19="","",IF(AH19="-","-",IF($D19=0,0,AH19/$D19)))</f>
        <v/>
      </c>
      <c r="AJ19" s="3">
        <f>IF($A19="","",IF($B19="","",IF(TODAY()&lt;$B19+480,"-",SUMPRODUCT(('Picked Students (raw)'!$B$2:$B$824=$A19)*('Picked Students (raw)'!$E$2:$E$824="Career Gap/ Non Working")*('Picked Students (raw)'!$C$2:$C$824&lt;&gt;"")*(('Picked Students (raw)'!$C$2:$C$824-$B19)&lt;480)))))</f>
        <v/>
      </c>
      <c r="AK19" s="5">
        <f>IF($A19="","",IF(AJ19="-","-",IF($D19=0,0,AJ19/$D19)))</f>
        <v/>
      </c>
      <c r="AL19" s="3">
        <f>IF($A19="","",IF($B19="","",IF(TODAY()&lt;$B19+510,"-",SUMPRODUCT(('Picked Students (raw)'!$B$2:$B$824=$A19)*('Picked Students (raw)'!$E$2:$E$824="Career Gap/ Non Working")*('Picked Students (raw)'!$C$2:$C$824&lt;&gt;"")*(('Picked Students (raw)'!$C$2:$C$824-$B19)&lt;510)))))</f>
        <v/>
      </c>
      <c r="AM19" s="5">
        <f>IF($A19="","",IF(AL19="-","-",IF($D19=0,0,AL19/$D19)))</f>
        <v/>
      </c>
      <c r="AN19" s="3">
        <f>IF($A19="","",IF($B19="","",IF(TODAY()&lt;$B19+540,"-",SUMPRODUCT(('Picked Students (raw)'!$B$2:$B$824=$A19)*('Picked Students (raw)'!$E$2:$E$824="Career Gap/ Non Working")*('Picked Students (raw)'!$C$2:$C$824&lt;&gt;"")*(('Picked Students (raw)'!$C$2:$C$824-$B19)&lt;540)))))</f>
        <v/>
      </c>
      <c r="AO19" s="5">
        <f>IF($A19="","",IF(AN19="-","-",IF($D19=0,0,AN19/$D19)))</f>
        <v/>
      </c>
      <c r="AP19" s="3">
        <f>IF($A19="","",IF(AN19="-","-",$E19-AN19))</f>
        <v/>
      </c>
    </row>
    <row r="20">
      <c r="A20" s="3" t="inlineStr">
        <is>
          <t>Professional Certificate Course In Data Science August 2024 - MC Test</t>
        </is>
      </c>
      <c r="B20" s="4">
        <f>IF($A20="","",IFERROR(INDEX('Batch Enrollment (Metabase)'!$D$2:$D$47,MATCH($A20,'Batch Enrollment (Metabase)'!$A$2:$A$47,0)),""))</f>
        <v/>
      </c>
      <c r="C20" s="3">
        <f>IF($A20="","",IFERROR(INDEX('Batch Enrollment (Metabase)'!$E$2:$E$47,MATCH($A20,'Batch Enrollment (Metabase)'!$A$2:$A$47,0)),""))</f>
        <v/>
      </c>
      <c r="D20" s="3">
        <f>IF($A20="","",IFERROR(INDEX('Batch Enrollment (Metabase)'!$F$2:$F$47,MATCH($A20,'Batch Enrollment (Metabase)'!$A$2:$A$47,0)),""))</f>
        <v/>
      </c>
      <c r="E20" s="3">
        <f>IF($A20="","",COUNTIFS('Picked Students (raw)'!$B$2:$B$824,$A20,'Picked Students (raw)'!$E$2:$E$824,"Career Gap/ Non Working"))</f>
        <v/>
      </c>
      <c r="F20" s="3">
        <f>IF($A20="","",IF($B20="","",IF(TODAY()&lt;$B20+30,"-",SUMPRODUCT(('Picked Students (raw)'!$B$2:$B$824=$A20)*('Picked Students (raw)'!$E$2:$E$824="Career Gap/ Non Working")*('Picked Students (raw)'!$C$2:$C$824&lt;&gt;"")*(('Picked Students (raw)'!$C$2:$C$824-$B20)&lt;30)))))</f>
        <v/>
      </c>
      <c r="G20" s="5">
        <f>IF($A20="","",IF(F20="-","-",IF($D20=0,0,F20/$D20)))</f>
        <v/>
      </c>
      <c r="H20" s="3">
        <f>IF($A20="","",IF($B20="","",IF(TODAY()&lt;$B20+60,"-",SUMPRODUCT(('Picked Students (raw)'!$B$2:$B$824=$A20)*('Picked Students (raw)'!$E$2:$E$824="Career Gap/ Non Working")*('Picked Students (raw)'!$C$2:$C$824&lt;&gt;"")*(('Picked Students (raw)'!$C$2:$C$824-$B20)&lt;60)))))</f>
        <v/>
      </c>
      <c r="I20" s="5">
        <f>IF($A20="","",IF(H20="-","-",IF($D20=0,0,H20/$D20)))</f>
        <v/>
      </c>
      <c r="J20" s="3">
        <f>IF($A20="","",IF($B20="","",IF(TODAY()&lt;$B20+90,"-",SUMPRODUCT(('Picked Students (raw)'!$B$2:$B$824=$A20)*('Picked Students (raw)'!$E$2:$E$824="Career Gap/ Non Working")*('Picked Students (raw)'!$C$2:$C$824&lt;&gt;"")*(('Picked Students (raw)'!$C$2:$C$824-$B20)&lt;90)))))</f>
        <v/>
      </c>
      <c r="K20" s="5">
        <f>IF($A20="","",IF(J20="-","-",IF($D20=0,0,J20/$D20)))</f>
        <v/>
      </c>
      <c r="L20" s="3">
        <f>IF($A20="","",IF($B20="","",IF(TODAY()&lt;$B20+120,"-",SUMPRODUCT(('Picked Students (raw)'!$B$2:$B$824=$A20)*('Picked Students (raw)'!$E$2:$E$824="Career Gap/ Non Working")*('Picked Students (raw)'!$C$2:$C$824&lt;&gt;"")*(('Picked Students (raw)'!$C$2:$C$824-$B20)&lt;120)))))</f>
        <v/>
      </c>
      <c r="M20" s="5">
        <f>IF($A20="","",IF(L20="-","-",IF($D20=0,0,L20/$D20)))</f>
        <v/>
      </c>
      <c r="N20" s="3">
        <f>IF($A20="","",IF($B20="","",IF(TODAY()&lt;$B20+150,"-",SUMPRODUCT(('Picked Students (raw)'!$B$2:$B$824=$A20)*('Picked Students (raw)'!$E$2:$E$824="Career Gap/ Non Working")*('Picked Students (raw)'!$C$2:$C$824&lt;&gt;"")*(('Picked Students (raw)'!$C$2:$C$824-$B20)&lt;150)))))</f>
        <v/>
      </c>
      <c r="O20" s="5">
        <f>IF($A20="","",IF(N20="-","-",IF($D20=0,0,N20/$D20)))</f>
        <v/>
      </c>
      <c r="P20" s="3">
        <f>IF($A20="","",IF($B20="","",IF(TODAY()&lt;$B20+180,"-",SUMPRODUCT(('Picked Students (raw)'!$B$2:$B$824=$A20)*('Picked Students (raw)'!$E$2:$E$824="Career Gap/ Non Working")*('Picked Students (raw)'!$C$2:$C$824&lt;&gt;"")*(('Picked Students (raw)'!$C$2:$C$824-$B20)&lt;180)))))</f>
        <v/>
      </c>
      <c r="Q20" s="5">
        <f>IF($A20="","",IF(P20="-","-",IF($D20=0,0,P20/$D20)))</f>
        <v/>
      </c>
      <c r="R20" s="3">
        <f>IF($A20="","",IF($B20="","",IF(TODAY()&lt;$B20+210,"-",SUMPRODUCT(('Picked Students (raw)'!$B$2:$B$824=$A20)*('Picked Students (raw)'!$E$2:$E$824="Career Gap/ Non Working")*('Picked Students (raw)'!$C$2:$C$824&lt;&gt;"")*(('Picked Students (raw)'!$C$2:$C$824-$B20)&lt;210)))))</f>
        <v/>
      </c>
      <c r="S20" s="5">
        <f>IF($A20="","",IF(R20="-","-",IF($D20=0,0,R20/$D20)))</f>
        <v/>
      </c>
      <c r="T20" s="3">
        <f>IF($A20="","",IF($B20="","",IF(TODAY()&lt;$B20+240,"-",SUMPRODUCT(('Picked Students (raw)'!$B$2:$B$824=$A20)*('Picked Students (raw)'!$E$2:$E$824="Career Gap/ Non Working")*('Picked Students (raw)'!$C$2:$C$824&lt;&gt;"")*(('Picked Students (raw)'!$C$2:$C$824-$B20)&lt;240)))))</f>
        <v/>
      </c>
      <c r="U20" s="5">
        <f>IF($A20="","",IF(T20="-","-",IF($D20=0,0,T20/$D20)))</f>
        <v/>
      </c>
      <c r="V20" s="3">
        <f>IF($A20="","",IF($B20="","",IF(TODAY()&lt;$B20+270,"-",SUMPRODUCT(('Picked Students (raw)'!$B$2:$B$824=$A20)*('Picked Students (raw)'!$E$2:$E$824="Career Gap/ Non Working")*('Picked Students (raw)'!$C$2:$C$824&lt;&gt;"")*(('Picked Students (raw)'!$C$2:$C$824-$B20)&lt;270)))))</f>
        <v/>
      </c>
      <c r="W20" s="5">
        <f>IF($A20="","",IF(V20="-","-",IF($D20=0,0,V20/$D20)))</f>
        <v/>
      </c>
      <c r="X20" s="3">
        <f>IF($A20="","",IF($B20="","",IF(TODAY()&lt;$B20+300,"-",SUMPRODUCT(('Picked Students (raw)'!$B$2:$B$824=$A20)*('Picked Students (raw)'!$E$2:$E$824="Career Gap/ Non Working")*('Picked Students (raw)'!$C$2:$C$824&lt;&gt;"")*(('Picked Students (raw)'!$C$2:$C$824-$B20)&lt;300)))))</f>
        <v/>
      </c>
      <c r="Y20" s="5">
        <f>IF($A20="","",IF(X20="-","-",IF($D20=0,0,X20/$D20)))</f>
        <v/>
      </c>
      <c r="Z20" s="3">
        <f>IF($A20="","",IF($B20="","",IF(TODAY()&lt;$B20+330,"-",SUMPRODUCT(('Picked Students (raw)'!$B$2:$B$824=$A20)*('Picked Students (raw)'!$E$2:$E$824="Career Gap/ Non Working")*('Picked Students (raw)'!$C$2:$C$824&lt;&gt;"")*(('Picked Students (raw)'!$C$2:$C$824-$B20)&lt;330)))))</f>
        <v/>
      </c>
      <c r="AA20" s="5">
        <f>IF($A20="","",IF(Z20="-","-",IF($D20=0,0,Z20/$D20)))</f>
        <v/>
      </c>
      <c r="AB20" s="3">
        <f>IF($A20="","",IF($B20="","",IF(TODAY()&lt;$B20+360,"-",SUMPRODUCT(('Picked Students (raw)'!$B$2:$B$824=$A20)*('Picked Students (raw)'!$E$2:$E$824="Career Gap/ Non Working")*('Picked Students (raw)'!$C$2:$C$824&lt;&gt;"")*(('Picked Students (raw)'!$C$2:$C$824-$B20)&lt;360)))))</f>
        <v/>
      </c>
      <c r="AC20" s="5">
        <f>IF($A20="","",IF(AB20="-","-",IF($D20=0,0,AB20/$D20)))</f>
        <v/>
      </c>
      <c r="AD20" s="3">
        <f>IF($A20="","",IF($B20="","",IF(TODAY()&lt;$B20+390,"-",SUMPRODUCT(('Picked Students (raw)'!$B$2:$B$824=$A20)*('Picked Students (raw)'!$E$2:$E$824="Career Gap/ Non Working")*('Picked Students (raw)'!$C$2:$C$824&lt;&gt;"")*(('Picked Students (raw)'!$C$2:$C$824-$B20)&lt;390)))))</f>
        <v/>
      </c>
      <c r="AE20" s="5">
        <f>IF($A20="","",IF(AD20="-","-",IF($D20=0,0,AD20/$D20)))</f>
        <v/>
      </c>
      <c r="AF20" s="3">
        <f>IF($A20="","",IF($B20="","",IF(TODAY()&lt;$B20+420,"-",SUMPRODUCT(('Picked Students (raw)'!$B$2:$B$824=$A20)*('Picked Students (raw)'!$E$2:$E$824="Career Gap/ Non Working")*('Picked Students (raw)'!$C$2:$C$824&lt;&gt;"")*(('Picked Students (raw)'!$C$2:$C$824-$B20)&lt;420)))))</f>
        <v/>
      </c>
      <c r="AG20" s="5">
        <f>IF($A20="","",IF(AF20="-","-",IF($D20=0,0,AF20/$D20)))</f>
        <v/>
      </c>
      <c r="AH20" s="3">
        <f>IF($A20="","",IF($B20="","",IF(TODAY()&lt;$B20+450,"-",SUMPRODUCT(('Picked Students (raw)'!$B$2:$B$824=$A20)*('Picked Students (raw)'!$E$2:$E$824="Career Gap/ Non Working")*('Picked Students (raw)'!$C$2:$C$824&lt;&gt;"")*(('Picked Students (raw)'!$C$2:$C$824-$B20)&lt;450)))))</f>
        <v/>
      </c>
      <c r="AI20" s="5">
        <f>IF($A20="","",IF(AH20="-","-",IF($D20=0,0,AH20/$D20)))</f>
        <v/>
      </c>
      <c r="AJ20" s="3">
        <f>IF($A20="","",IF($B20="","",IF(TODAY()&lt;$B20+480,"-",SUMPRODUCT(('Picked Students (raw)'!$B$2:$B$824=$A20)*('Picked Students (raw)'!$E$2:$E$824="Career Gap/ Non Working")*('Picked Students (raw)'!$C$2:$C$824&lt;&gt;"")*(('Picked Students (raw)'!$C$2:$C$824-$B20)&lt;480)))))</f>
        <v/>
      </c>
      <c r="AK20" s="5">
        <f>IF($A20="","",IF(AJ20="-","-",IF($D20=0,0,AJ20/$D20)))</f>
        <v/>
      </c>
      <c r="AL20" s="3">
        <f>IF($A20="","",IF($B20="","",IF(TODAY()&lt;$B20+510,"-",SUMPRODUCT(('Picked Students (raw)'!$B$2:$B$824=$A20)*('Picked Students (raw)'!$E$2:$E$824="Career Gap/ Non Working")*('Picked Students (raw)'!$C$2:$C$824&lt;&gt;"")*(('Picked Students (raw)'!$C$2:$C$824-$B20)&lt;510)))))</f>
        <v/>
      </c>
      <c r="AM20" s="5">
        <f>IF($A20="","",IF(AL20="-","-",IF($D20=0,0,AL20/$D20)))</f>
        <v/>
      </c>
      <c r="AN20" s="3">
        <f>IF($A20="","",IF($B20="","",IF(TODAY()&lt;$B20+540,"-",SUMPRODUCT(('Picked Students (raw)'!$B$2:$B$824=$A20)*('Picked Students (raw)'!$E$2:$E$824="Career Gap/ Non Working")*('Picked Students (raw)'!$C$2:$C$824&lt;&gt;"")*(('Picked Students (raw)'!$C$2:$C$824-$B20)&lt;540)))))</f>
        <v/>
      </c>
      <c r="AO20" s="5">
        <f>IF($A20="","",IF(AN20="-","-",IF($D20=0,0,AN20/$D20)))</f>
        <v/>
      </c>
      <c r="AP20" s="3">
        <f>IF($A20="","",IF(AN20="-","-",$E20-AN20))</f>
        <v/>
      </c>
    </row>
    <row r="21">
      <c r="A21" s="3" t="inlineStr">
        <is>
          <t>Professional Certificate Course In Data Science - August 2024</t>
        </is>
      </c>
      <c r="B21" s="4">
        <f>IF($A21="","",IFERROR(INDEX('Batch Enrollment (Metabase)'!$D$2:$D$47,MATCH($A21,'Batch Enrollment (Metabase)'!$A$2:$A$47,0)),""))</f>
        <v/>
      </c>
      <c r="C21" s="3">
        <f>IF($A21="","",IFERROR(INDEX('Batch Enrollment (Metabase)'!$E$2:$E$47,MATCH($A21,'Batch Enrollment (Metabase)'!$A$2:$A$47,0)),""))</f>
        <v/>
      </c>
      <c r="D21" s="3">
        <f>IF($A21="","",IFERROR(INDEX('Batch Enrollment (Metabase)'!$F$2:$F$47,MATCH($A21,'Batch Enrollment (Metabase)'!$A$2:$A$47,0)),""))</f>
        <v/>
      </c>
      <c r="E21" s="3">
        <f>IF($A21="","",COUNTIFS('Picked Students (raw)'!$B$2:$B$824,$A21,'Picked Students (raw)'!$E$2:$E$824,"Career Gap/ Non Working"))</f>
        <v/>
      </c>
      <c r="F21" s="3">
        <f>IF($A21="","",IF($B21="","",IF(TODAY()&lt;$B21+30,"-",SUMPRODUCT(('Picked Students (raw)'!$B$2:$B$824=$A21)*('Picked Students (raw)'!$E$2:$E$824="Career Gap/ Non Working")*('Picked Students (raw)'!$C$2:$C$824&lt;&gt;"")*(('Picked Students (raw)'!$C$2:$C$824-$B21)&lt;30)))))</f>
        <v/>
      </c>
      <c r="G21" s="5">
        <f>IF($A21="","",IF(F21="-","-",IF($D21=0,0,F21/$D21)))</f>
        <v/>
      </c>
      <c r="H21" s="3">
        <f>IF($A21="","",IF($B21="","",IF(TODAY()&lt;$B21+60,"-",SUMPRODUCT(('Picked Students (raw)'!$B$2:$B$824=$A21)*('Picked Students (raw)'!$E$2:$E$824="Career Gap/ Non Working")*('Picked Students (raw)'!$C$2:$C$824&lt;&gt;"")*(('Picked Students (raw)'!$C$2:$C$824-$B21)&lt;60)))))</f>
        <v/>
      </c>
      <c r="I21" s="5">
        <f>IF($A21="","",IF(H21="-","-",IF($D21=0,0,H21/$D21)))</f>
        <v/>
      </c>
      <c r="J21" s="3">
        <f>IF($A21="","",IF($B21="","",IF(TODAY()&lt;$B21+90,"-",SUMPRODUCT(('Picked Students (raw)'!$B$2:$B$824=$A21)*('Picked Students (raw)'!$E$2:$E$824="Career Gap/ Non Working")*('Picked Students (raw)'!$C$2:$C$824&lt;&gt;"")*(('Picked Students (raw)'!$C$2:$C$824-$B21)&lt;90)))))</f>
        <v/>
      </c>
      <c r="K21" s="5">
        <f>IF($A21="","",IF(J21="-","-",IF($D21=0,0,J21/$D21)))</f>
        <v/>
      </c>
      <c r="L21" s="3">
        <f>IF($A21="","",IF($B21="","",IF(TODAY()&lt;$B21+120,"-",SUMPRODUCT(('Picked Students (raw)'!$B$2:$B$824=$A21)*('Picked Students (raw)'!$E$2:$E$824="Career Gap/ Non Working")*('Picked Students (raw)'!$C$2:$C$824&lt;&gt;"")*(('Picked Students (raw)'!$C$2:$C$824-$B21)&lt;120)))))</f>
        <v/>
      </c>
      <c r="M21" s="5">
        <f>IF($A21="","",IF(L21="-","-",IF($D21=0,0,L21/$D21)))</f>
        <v/>
      </c>
      <c r="N21" s="3">
        <f>IF($A21="","",IF($B21="","",IF(TODAY()&lt;$B21+150,"-",SUMPRODUCT(('Picked Students (raw)'!$B$2:$B$824=$A21)*('Picked Students (raw)'!$E$2:$E$824="Career Gap/ Non Working")*('Picked Students (raw)'!$C$2:$C$824&lt;&gt;"")*(('Picked Students (raw)'!$C$2:$C$824-$B21)&lt;150)))))</f>
        <v/>
      </c>
      <c r="O21" s="5">
        <f>IF($A21="","",IF(N21="-","-",IF($D21=0,0,N21/$D21)))</f>
        <v/>
      </c>
      <c r="P21" s="3">
        <f>IF($A21="","",IF($B21="","",IF(TODAY()&lt;$B21+180,"-",SUMPRODUCT(('Picked Students (raw)'!$B$2:$B$824=$A21)*('Picked Students (raw)'!$E$2:$E$824="Career Gap/ Non Working")*('Picked Students (raw)'!$C$2:$C$824&lt;&gt;"")*(('Picked Students (raw)'!$C$2:$C$824-$B21)&lt;180)))))</f>
        <v/>
      </c>
      <c r="Q21" s="5">
        <f>IF($A21="","",IF(P21="-","-",IF($D21=0,0,P21/$D21)))</f>
        <v/>
      </c>
      <c r="R21" s="3">
        <f>IF($A21="","",IF($B21="","",IF(TODAY()&lt;$B21+210,"-",SUMPRODUCT(('Picked Students (raw)'!$B$2:$B$824=$A21)*('Picked Students (raw)'!$E$2:$E$824="Career Gap/ Non Working")*('Picked Students (raw)'!$C$2:$C$824&lt;&gt;"")*(('Picked Students (raw)'!$C$2:$C$824-$B21)&lt;210)))))</f>
        <v/>
      </c>
      <c r="S21" s="5">
        <f>IF($A21="","",IF(R21="-","-",IF($D21=0,0,R21/$D21)))</f>
        <v/>
      </c>
      <c r="T21" s="3">
        <f>IF($A21="","",IF($B21="","",IF(TODAY()&lt;$B21+240,"-",SUMPRODUCT(('Picked Students (raw)'!$B$2:$B$824=$A21)*('Picked Students (raw)'!$E$2:$E$824="Career Gap/ Non Working")*('Picked Students (raw)'!$C$2:$C$824&lt;&gt;"")*(('Picked Students (raw)'!$C$2:$C$824-$B21)&lt;240)))))</f>
        <v/>
      </c>
      <c r="U21" s="5">
        <f>IF($A21="","",IF(T21="-","-",IF($D21=0,0,T21/$D21)))</f>
        <v/>
      </c>
      <c r="V21" s="3">
        <f>IF($A21="","",IF($B21="","",IF(TODAY()&lt;$B21+270,"-",SUMPRODUCT(('Picked Students (raw)'!$B$2:$B$824=$A21)*('Picked Students (raw)'!$E$2:$E$824="Career Gap/ Non Working")*('Picked Students (raw)'!$C$2:$C$824&lt;&gt;"")*(('Picked Students (raw)'!$C$2:$C$824-$B21)&lt;270)))))</f>
        <v/>
      </c>
      <c r="W21" s="5">
        <f>IF($A21="","",IF(V21="-","-",IF($D21=0,0,V21/$D21)))</f>
        <v/>
      </c>
      <c r="X21" s="3">
        <f>IF($A21="","",IF($B21="","",IF(TODAY()&lt;$B21+300,"-",SUMPRODUCT(('Picked Students (raw)'!$B$2:$B$824=$A21)*('Picked Students (raw)'!$E$2:$E$824="Career Gap/ Non Working")*('Picked Students (raw)'!$C$2:$C$824&lt;&gt;"")*(('Picked Students (raw)'!$C$2:$C$824-$B21)&lt;300)))))</f>
        <v/>
      </c>
      <c r="Y21" s="5">
        <f>IF($A21="","",IF(X21="-","-",IF($D21=0,0,X21/$D21)))</f>
        <v/>
      </c>
      <c r="Z21" s="3">
        <f>IF($A21="","",IF($B21="","",IF(TODAY()&lt;$B21+330,"-",SUMPRODUCT(('Picked Students (raw)'!$B$2:$B$824=$A21)*('Picked Students (raw)'!$E$2:$E$824="Career Gap/ Non Working")*('Picked Students (raw)'!$C$2:$C$824&lt;&gt;"")*(('Picked Students (raw)'!$C$2:$C$824-$B21)&lt;330)))))</f>
        <v/>
      </c>
      <c r="AA21" s="5">
        <f>IF($A21="","",IF(Z21="-","-",IF($D21=0,0,Z21/$D21)))</f>
        <v/>
      </c>
      <c r="AB21" s="3">
        <f>IF($A21="","",IF($B21="","",IF(TODAY()&lt;$B21+360,"-",SUMPRODUCT(('Picked Students (raw)'!$B$2:$B$824=$A21)*('Picked Students (raw)'!$E$2:$E$824="Career Gap/ Non Working")*('Picked Students (raw)'!$C$2:$C$824&lt;&gt;"")*(('Picked Students (raw)'!$C$2:$C$824-$B21)&lt;360)))))</f>
        <v/>
      </c>
      <c r="AC21" s="5">
        <f>IF($A21="","",IF(AB21="-","-",IF($D21=0,0,AB21/$D21)))</f>
        <v/>
      </c>
      <c r="AD21" s="3">
        <f>IF($A21="","",IF($B21="","",IF(TODAY()&lt;$B21+390,"-",SUMPRODUCT(('Picked Students (raw)'!$B$2:$B$824=$A21)*('Picked Students (raw)'!$E$2:$E$824="Career Gap/ Non Working")*('Picked Students (raw)'!$C$2:$C$824&lt;&gt;"")*(('Picked Students (raw)'!$C$2:$C$824-$B21)&lt;390)))))</f>
        <v/>
      </c>
      <c r="AE21" s="5">
        <f>IF($A21="","",IF(AD21="-","-",IF($D21=0,0,AD21/$D21)))</f>
        <v/>
      </c>
      <c r="AF21" s="3">
        <f>IF($A21="","",IF($B21="","",IF(TODAY()&lt;$B21+420,"-",SUMPRODUCT(('Picked Students (raw)'!$B$2:$B$824=$A21)*('Picked Students (raw)'!$E$2:$E$824="Career Gap/ Non Working")*('Picked Students (raw)'!$C$2:$C$824&lt;&gt;"")*(('Picked Students (raw)'!$C$2:$C$824-$B21)&lt;420)))))</f>
        <v/>
      </c>
      <c r="AG21" s="5">
        <f>IF($A21="","",IF(AF21="-","-",IF($D21=0,0,AF21/$D21)))</f>
        <v/>
      </c>
      <c r="AH21" s="3">
        <f>IF($A21="","",IF($B21="","",IF(TODAY()&lt;$B21+450,"-",SUMPRODUCT(('Picked Students (raw)'!$B$2:$B$824=$A21)*('Picked Students (raw)'!$E$2:$E$824="Career Gap/ Non Working")*('Picked Students (raw)'!$C$2:$C$824&lt;&gt;"")*(('Picked Students (raw)'!$C$2:$C$824-$B21)&lt;450)))))</f>
        <v/>
      </c>
      <c r="AI21" s="5">
        <f>IF($A21="","",IF(AH21="-","-",IF($D21=0,0,AH21/$D21)))</f>
        <v/>
      </c>
      <c r="AJ21" s="3">
        <f>IF($A21="","",IF($B21="","",IF(TODAY()&lt;$B21+480,"-",SUMPRODUCT(('Picked Students (raw)'!$B$2:$B$824=$A21)*('Picked Students (raw)'!$E$2:$E$824="Career Gap/ Non Working")*('Picked Students (raw)'!$C$2:$C$824&lt;&gt;"")*(('Picked Students (raw)'!$C$2:$C$824-$B21)&lt;480)))))</f>
        <v/>
      </c>
      <c r="AK21" s="5">
        <f>IF($A21="","",IF(AJ21="-","-",IF($D21=0,0,AJ21/$D21)))</f>
        <v/>
      </c>
      <c r="AL21" s="3">
        <f>IF($A21="","",IF($B21="","",IF(TODAY()&lt;$B21+510,"-",SUMPRODUCT(('Picked Students (raw)'!$B$2:$B$824=$A21)*('Picked Students (raw)'!$E$2:$E$824="Career Gap/ Non Working")*('Picked Students (raw)'!$C$2:$C$824&lt;&gt;"")*(('Picked Students (raw)'!$C$2:$C$824-$B21)&lt;510)))))</f>
        <v/>
      </c>
      <c r="AM21" s="5">
        <f>IF($A21="","",IF(AL21="-","-",IF($D21=0,0,AL21/$D21)))</f>
        <v/>
      </c>
      <c r="AN21" s="3">
        <f>IF($A21="","",IF($B21="","",IF(TODAY()&lt;$B21+540,"-",SUMPRODUCT(('Picked Students (raw)'!$B$2:$B$824=$A21)*('Picked Students (raw)'!$E$2:$E$824="Career Gap/ Non Working")*('Picked Students (raw)'!$C$2:$C$824&lt;&gt;"")*(('Picked Students (raw)'!$C$2:$C$824-$B21)&lt;540)))))</f>
        <v/>
      </c>
      <c r="AO21" s="5">
        <f>IF($A21="","",IF(AN21="-","-",IF($D21=0,0,AN21/$D21)))</f>
        <v/>
      </c>
      <c r="AP21" s="3">
        <f>IF($A21="","",IF(AN21="-","-",$E21-AN21))</f>
        <v/>
      </c>
    </row>
    <row r="22">
      <c r="A22" s="3" t="inlineStr">
        <is>
          <t>Professional Certificate Course In Data Science - September 2024</t>
        </is>
      </c>
      <c r="B22" s="4">
        <f>IF($A22="","",IFERROR(INDEX('Batch Enrollment (Metabase)'!$D$2:$D$47,MATCH($A22,'Batch Enrollment (Metabase)'!$A$2:$A$47,0)),""))</f>
        <v/>
      </c>
      <c r="C22" s="3">
        <f>IF($A22="","",IFERROR(INDEX('Batch Enrollment (Metabase)'!$E$2:$E$47,MATCH($A22,'Batch Enrollment (Metabase)'!$A$2:$A$47,0)),""))</f>
        <v/>
      </c>
      <c r="D22" s="3">
        <f>IF($A22="","",IFERROR(INDEX('Batch Enrollment (Metabase)'!$F$2:$F$47,MATCH($A22,'Batch Enrollment (Metabase)'!$A$2:$A$47,0)),""))</f>
        <v/>
      </c>
      <c r="E22" s="3">
        <f>IF($A22="","",COUNTIFS('Picked Students (raw)'!$B$2:$B$824,$A22,'Picked Students (raw)'!$E$2:$E$824,"Career Gap/ Non Working"))</f>
        <v/>
      </c>
      <c r="F22" s="3">
        <f>IF($A22="","",IF($B22="","",IF(TODAY()&lt;$B22+30,"-",SUMPRODUCT(('Picked Students (raw)'!$B$2:$B$824=$A22)*('Picked Students (raw)'!$E$2:$E$824="Career Gap/ Non Working")*('Picked Students (raw)'!$C$2:$C$824&lt;&gt;"")*(('Picked Students (raw)'!$C$2:$C$824-$B22)&lt;30)))))</f>
        <v/>
      </c>
      <c r="G22" s="5">
        <f>IF($A22="","",IF(F22="-","-",IF($D22=0,0,F22/$D22)))</f>
        <v/>
      </c>
      <c r="H22" s="3">
        <f>IF($A22="","",IF($B22="","",IF(TODAY()&lt;$B22+60,"-",SUMPRODUCT(('Picked Students (raw)'!$B$2:$B$824=$A22)*('Picked Students (raw)'!$E$2:$E$824="Career Gap/ Non Working")*('Picked Students (raw)'!$C$2:$C$824&lt;&gt;"")*(('Picked Students (raw)'!$C$2:$C$824-$B22)&lt;60)))))</f>
        <v/>
      </c>
      <c r="I22" s="5">
        <f>IF($A22="","",IF(H22="-","-",IF($D22=0,0,H22/$D22)))</f>
        <v/>
      </c>
      <c r="J22" s="3">
        <f>IF($A22="","",IF($B22="","",IF(TODAY()&lt;$B22+90,"-",SUMPRODUCT(('Picked Students (raw)'!$B$2:$B$824=$A22)*('Picked Students (raw)'!$E$2:$E$824="Career Gap/ Non Working")*('Picked Students (raw)'!$C$2:$C$824&lt;&gt;"")*(('Picked Students (raw)'!$C$2:$C$824-$B22)&lt;90)))))</f>
        <v/>
      </c>
      <c r="K22" s="5">
        <f>IF($A22="","",IF(J22="-","-",IF($D22=0,0,J22/$D22)))</f>
        <v/>
      </c>
      <c r="L22" s="3">
        <f>IF($A22="","",IF($B22="","",IF(TODAY()&lt;$B22+120,"-",SUMPRODUCT(('Picked Students (raw)'!$B$2:$B$824=$A22)*('Picked Students (raw)'!$E$2:$E$824="Career Gap/ Non Working")*('Picked Students (raw)'!$C$2:$C$824&lt;&gt;"")*(('Picked Students (raw)'!$C$2:$C$824-$B22)&lt;120)))))</f>
        <v/>
      </c>
      <c r="M22" s="5">
        <f>IF($A22="","",IF(L22="-","-",IF($D22=0,0,L22/$D22)))</f>
        <v/>
      </c>
      <c r="N22" s="3">
        <f>IF($A22="","",IF($B22="","",IF(TODAY()&lt;$B22+150,"-",SUMPRODUCT(('Picked Students (raw)'!$B$2:$B$824=$A22)*('Picked Students (raw)'!$E$2:$E$824="Career Gap/ Non Working")*('Picked Students (raw)'!$C$2:$C$824&lt;&gt;"")*(('Picked Students (raw)'!$C$2:$C$824-$B22)&lt;150)))))</f>
        <v/>
      </c>
      <c r="O22" s="5">
        <f>IF($A22="","",IF(N22="-","-",IF($D22=0,0,N22/$D22)))</f>
        <v/>
      </c>
      <c r="P22" s="3">
        <f>IF($A22="","",IF($B22="","",IF(TODAY()&lt;$B22+180,"-",SUMPRODUCT(('Picked Students (raw)'!$B$2:$B$824=$A22)*('Picked Students (raw)'!$E$2:$E$824="Career Gap/ Non Working")*('Picked Students (raw)'!$C$2:$C$824&lt;&gt;"")*(('Picked Students (raw)'!$C$2:$C$824-$B22)&lt;180)))))</f>
        <v/>
      </c>
      <c r="Q22" s="5">
        <f>IF($A22="","",IF(P22="-","-",IF($D22=0,0,P22/$D22)))</f>
        <v/>
      </c>
      <c r="R22" s="3">
        <f>IF($A22="","",IF($B22="","",IF(TODAY()&lt;$B22+210,"-",SUMPRODUCT(('Picked Students (raw)'!$B$2:$B$824=$A22)*('Picked Students (raw)'!$E$2:$E$824="Career Gap/ Non Working")*('Picked Students (raw)'!$C$2:$C$824&lt;&gt;"")*(('Picked Students (raw)'!$C$2:$C$824-$B22)&lt;210)))))</f>
        <v/>
      </c>
      <c r="S22" s="5">
        <f>IF($A22="","",IF(R22="-","-",IF($D22=0,0,R22/$D22)))</f>
        <v/>
      </c>
      <c r="T22" s="3">
        <f>IF($A22="","",IF($B22="","",IF(TODAY()&lt;$B22+240,"-",SUMPRODUCT(('Picked Students (raw)'!$B$2:$B$824=$A22)*('Picked Students (raw)'!$E$2:$E$824="Career Gap/ Non Working")*('Picked Students (raw)'!$C$2:$C$824&lt;&gt;"")*(('Picked Students (raw)'!$C$2:$C$824-$B22)&lt;240)))))</f>
        <v/>
      </c>
      <c r="U22" s="5">
        <f>IF($A22="","",IF(T22="-","-",IF($D22=0,0,T22/$D22)))</f>
        <v/>
      </c>
      <c r="V22" s="3">
        <f>IF($A22="","",IF($B22="","",IF(TODAY()&lt;$B22+270,"-",SUMPRODUCT(('Picked Students (raw)'!$B$2:$B$824=$A22)*('Picked Students (raw)'!$E$2:$E$824="Career Gap/ Non Working")*('Picked Students (raw)'!$C$2:$C$824&lt;&gt;"")*(('Picked Students (raw)'!$C$2:$C$824-$B22)&lt;270)))))</f>
        <v/>
      </c>
      <c r="W22" s="5">
        <f>IF($A22="","",IF(V22="-","-",IF($D22=0,0,V22/$D22)))</f>
        <v/>
      </c>
      <c r="X22" s="3">
        <f>IF($A22="","",IF($B22="","",IF(TODAY()&lt;$B22+300,"-",SUMPRODUCT(('Picked Students (raw)'!$B$2:$B$824=$A22)*('Picked Students (raw)'!$E$2:$E$824="Career Gap/ Non Working")*('Picked Students (raw)'!$C$2:$C$824&lt;&gt;"")*(('Picked Students (raw)'!$C$2:$C$824-$B22)&lt;300)))))</f>
        <v/>
      </c>
      <c r="Y22" s="5">
        <f>IF($A22="","",IF(X22="-","-",IF($D22=0,0,X22/$D22)))</f>
        <v/>
      </c>
      <c r="Z22" s="3">
        <f>IF($A22="","",IF($B22="","",IF(TODAY()&lt;$B22+330,"-",SUMPRODUCT(('Picked Students (raw)'!$B$2:$B$824=$A22)*('Picked Students (raw)'!$E$2:$E$824="Career Gap/ Non Working")*('Picked Students (raw)'!$C$2:$C$824&lt;&gt;"")*(('Picked Students (raw)'!$C$2:$C$824-$B22)&lt;330)))))</f>
        <v/>
      </c>
      <c r="AA22" s="5">
        <f>IF($A22="","",IF(Z22="-","-",IF($D22=0,0,Z22/$D22)))</f>
        <v/>
      </c>
      <c r="AB22" s="3">
        <f>IF($A22="","",IF($B22="","",IF(TODAY()&lt;$B22+360,"-",SUMPRODUCT(('Picked Students (raw)'!$B$2:$B$824=$A22)*('Picked Students (raw)'!$E$2:$E$824="Career Gap/ Non Working")*('Picked Students (raw)'!$C$2:$C$824&lt;&gt;"")*(('Picked Students (raw)'!$C$2:$C$824-$B22)&lt;360)))))</f>
        <v/>
      </c>
      <c r="AC22" s="5">
        <f>IF($A22="","",IF(AB22="-","-",IF($D22=0,0,AB22/$D22)))</f>
        <v/>
      </c>
      <c r="AD22" s="3">
        <f>IF($A22="","",IF($B22="","",IF(TODAY()&lt;$B22+390,"-",SUMPRODUCT(('Picked Students (raw)'!$B$2:$B$824=$A22)*('Picked Students (raw)'!$E$2:$E$824="Career Gap/ Non Working")*('Picked Students (raw)'!$C$2:$C$824&lt;&gt;"")*(('Picked Students (raw)'!$C$2:$C$824-$B22)&lt;390)))))</f>
        <v/>
      </c>
      <c r="AE22" s="5">
        <f>IF($A22="","",IF(AD22="-","-",IF($D22=0,0,AD22/$D22)))</f>
        <v/>
      </c>
      <c r="AF22" s="3">
        <f>IF($A22="","",IF($B22="","",IF(TODAY()&lt;$B22+420,"-",SUMPRODUCT(('Picked Students (raw)'!$B$2:$B$824=$A22)*('Picked Students (raw)'!$E$2:$E$824="Career Gap/ Non Working")*('Picked Students (raw)'!$C$2:$C$824&lt;&gt;"")*(('Picked Students (raw)'!$C$2:$C$824-$B22)&lt;420)))))</f>
        <v/>
      </c>
      <c r="AG22" s="5">
        <f>IF($A22="","",IF(AF22="-","-",IF($D22=0,0,AF22/$D22)))</f>
        <v/>
      </c>
      <c r="AH22" s="3">
        <f>IF($A22="","",IF($B22="","",IF(TODAY()&lt;$B22+450,"-",SUMPRODUCT(('Picked Students (raw)'!$B$2:$B$824=$A22)*('Picked Students (raw)'!$E$2:$E$824="Career Gap/ Non Working")*('Picked Students (raw)'!$C$2:$C$824&lt;&gt;"")*(('Picked Students (raw)'!$C$2:$C$824-$B22)&lt;450)))))</f>
        <v/>
      </c>
      <c r="AI22" s="5">
        <f>IF($A22="","",IF(AH22="-","-",IF($D22=0,0,AH22/$D22)))</f>
        <v/>
      </c>
      <c r="AJ22" s="3">
        <f>IF($A22="","",IF($B22="","",IF(TODAY()&lt;$B22+480,"-",SUMPRODUCT(('Picked Students (raw)'!$B$2:$B$824=$A22)*('Picked Students (raw)'!$E$2:$E$824="Career Gap/ Non Working")*('Picked Students (raw)'!$C$2:$C$824&lt;&gt;"")*(('Picked Students (raw)'!$C$2:$C$824-$B22)&lt;480)))))</f>
        <v/>
      </c>
      <c r="AK22" s="5">
        <f>IF($A22="","",IF(AJ22="-","-",IF($D22=0,0,AJ22/$D22)))</f>
        <v/>
      </c>
      <c r="AL22" s="3">
        <f>IF($A22="","",IF($B22="","",IF(TODAY()&lt;$B22+510,"-",SUMPRODUCT(('Picked Students (raw)'!$B$2:$B$824=$A22)*('Picked Students (raw)'!$E$2:$E$824="Career Gap/ Non Working")*('Picked Students (raw)'!$C$2:$C$824&lt;&gt;"")*(('Picked Students (raw)'!$C$2:$C$824-$B22)&lt;510)))))</f>
        <v/>
      </c>
      <c r="AM22" s="5">
        <f>IF($A22="","",IF(AL22="-","-",IF($D22=0,0,AL22/$D22)))</f>
        <v/>
      </c>
      <c r="AN22" s="3">
        <f>IF($A22="","",IF($B22="","",IF(TODAY()&lt;$B22+540,"-",SUMPRODUCT(('Picked Students (raw)'!$B$2:$B$824=$A22)*('Picked Students (raw)'!$E$2:$E$824="Career Gap/ Non Working")*('Picked Students (raw)'!$C$2:$C$824&lt;&gt;"")*(('Picked Students (raw)'!$C$2:$C$824-$B22)&lt;540)))))</f>
        <v/>
      </c>
      <c r="AO22" s="5">
        <f>IF($A22="","",IF(AN22="-","-",IF($D22=0,0,AN22/$D22)))</f>
        <v/>
      </c>
      <c r="AP22" s="3">
        <f>IF($A22="","",IF(AN22="-","-",$E22-AN22))</f>
        <v/>
      </c>
    </row>
    <row r="23">
      <c r="A23" s="3" t="inlineStr">
        <is>
          <t>Professional Certificate Course In Data Science - October 2024</t>
        </is>
      </c>
      <c r="B23" s="4">
        <f>IF($A23="","",IFERROR(INDEX('Batch Enrollment (Metabase)'!$D$2:$D$47,MATCH($A23,'Batch Enrollment (Metabase)'!$A$2:$A$47,0)),""))</f>
        <v/>
      </c>
      <c r="C23" s="3">
        <f>IF($A23="","",IFERROR(INDEX('Batch Enrollment (Metabase)'!$E$2:$E$47,MATCH($A23,'Batch Enrollment (Metabase)'!$A$2:$A$47,0)),""))</f>
        <v/>
      </c>
      <c r="D23" s="3">
        <f>IF($A23="","",IFERROR(INDEX('Batch Enrollment (Metabase)'!$F$2:$F$47,MATCH($A23,'Batch Enrollment (Metabase)'!$A$2:$A$47,0)),""))</f>
        <v/>
      </c>
      <c r="E23" s="3">
        <f>IF($A23="","",COUNTIFS('Picked Students (raw)'!$B$2:$B$824,$A23,'Picked Students (raw)'!$E$2:$E$824,"Career Gap/ Non Working"))</f>
        <v/>
      </c>
      <c r="F23" s="3">
        <f>IF($A23="","",IF($B23="","",IF(TODAY()&lt;$B23+30,"-",SUMPRODUCT(('Picked Students (raw)'!$B$2:$B$824=$A23)*('Picked Students (raw)'!$E$2:$E$824="Career Gap/ Non Working")*('Picked Students (raw)'!$C$2:$C$824&lt;&gt;"")*(('Picked Students (raw)'!$C$2:$C$824-$B23)&lt;30)))))</f>
        <v/>
      </c>
      <c r="G23" s="5">
        <f>IF($A23="","",IF(F23="-","-",IF($D23=0,0,F23/$D23)))</f>
        <v/>
      </c>
      <c r="H23" s="3">
        <f>IF($A23="","",IF($B23="","",IF(TODAY()&lt;$B23+60,"-",SUMPRODUCT(('Picked Students (raw)'!$B$2:$B$824=$A23)*('Picked Students (raw)'!$E$2:$E$824="Career Gap/ Non Working")*('Picked Students (raw)'!$C$2:$C$824&lt;&gt;"")*(('Picked Students (raw)'!$C$2:$C$824-$B23)&lt;60)))))</f>
        <v/>
      </c>
      <c r="I23" s="5">
        <f>IF($A23="","",IF(H23="-","-",IF($D23=0,0,H23/$D23)))</f>
        <v/>
      </c>
      <c r="J23" s="3">
        <f>IF($A23="","",IF($B23="","",IF(TODAY()&lt;$B23+90,"-",SUMPRODUCT(('Picked Students (raw)'!$B$2:$B$824=$A23)*('Picked Students (raw)'!$E$2:$E$824="Career Gap/ Non Working")*('Picked Students (raw)'!$C$2:$C$824&lt;&gt;"")*(('Picked Students (raw)'!$C$2:$C$824-$B23)&lt;90)))))</f>
        <v/>
      </c>
      <c r="K23" s="5">
        <f>IF($A23="","",IF(J23="-","-",IF($D23=0,0,J23/$D23)))</f>
        <v/>
      </c>
      <c r="L23" s="3">
        <f>IF($A23="","",IF($B23="","",IF(TODAY()&lt;$B23+120,"-",SUMPRODUCT(('Picked Students (raw)'!$B$2:$B$824=$A23)*('Picked Students (raw)'!$E$2:$E$824="Career Gap/ Non Working")*('Picked Students (raw)'!$C$2:$C$824&lt;&gt;"")*(('Picked Students (raw)'!$C$2:$C$824-$B23)&lt;120)))))</f>
        <v/>
      </c>
      <c r="M23" s="5">
        <f>IF($A23="","",IF(L23="-","-",IF($D23=0,0,L23/$D23)))</f>
        <v/>
      </c>
      <c r="N23" s="3">
        <f>IF($A23="","",IF($B23="","",IF(TODAY()&lt;$B23+150,"-",SUMPRODUCT(('Picked Students (raw)'!$B$2:$B$824=$A23)*('Picked Students (raw)'!$E$2:$E$824="Career Gap/ Non Working")*('Picked Students (raw)'!$C$2:$C$824&lt;&gt;"")*(('Picked Students (raw)'!$C$2:$C$824-$B23)&lt;150)))))</f>
        <v/>
      </c>
      <c r="O23" s="5">
        <f>IF($A23="","",IF(N23="-","-",IF($D23=0,0,N23/$D23)))</f>
        <v/>
      </c>
      <c r="P23" s="3">
        <f>IF($A23="","",IF($B23="","",IF(TODAY()&lt;$B23+180,"-",SUMPRODUCT(('Picked Students (raw)'!$B$2:$B$824=$A23)*('Picked Students (raw)'!$E$2:$E$824="Career Gap/ Non Working")*('Picked Students (raw)'!$C$2:$C$824&lt;&gt;"")*(('Picked Students (raw)'!$C$2:$C$824-$B23)&lt;180)))))</f>
        <v/>
      </c>
      <c r="Q23" s="5">
        <f>IF($A23="","",IF(P23="-","-",IF($D23=0,0,P23/$D23)))</f>
        <v/>
      </c>
      <c r="R23" s="3">
        <f>IF($A23="","",IF($B23="","",IF(TODAY()&lt;$B23+210,"-",SUMPRODUCT(('Picked Students (raw)'!$B$2:$B$824=$A23)*('Picked Students (raw)'!$E$2:$E$824="Career Gap/ Non Working")*('Picked Students (raw)'!$C$2:$C$824&lt;&gt;"")*(('Picked Students (raw)'!$C$2:$C$824-$B23)&lt;210)))))</f>
        <v/>
      </c>
      <c r="S23" s="5">
        <f>IF($A23="","",IF(R23="-","-",IF($D23=0,0,R23/$D23)))</f>
        <v/>
      </c>
      <c r="T23" s="3">
        <f>IF($A23="","",IF($B23="","",IF(TODAY()&lt;$B23+240,"-",SUMPRODUCT(('Picked Students (raw)'!$B$2:$B$824=$A23)*('Picked Students (raw)'!$E$2:$E$824="Career Gap/ Non Working")*('Picked Students (raw)'!$C$2:$C$824&lt;&gt;"")*(('Picked Students (raw)'!$C$2:$C$824-$B23)&lt;240)))))</f>
        <v/>
      </c>
      <c r="U23" s="5">
        <f>IF($A23="","",IF(T23="-","-",IF($D23=0,0,T23/$D23)))</f>
        <v/>
      </c>
      <c r="V23" s="3">
        <f>IF($A23="","",IF($B23="","",IF(TODAY()&lt;$B23+270,"-",SUMPRODUCT(('Picked Students (raw)'!$B$2:$B$824=$A23)*('Picked Students (raw)'!$E$2:$E$824="Career Gap/ Non Working")*('Picked Students (raw)'!$C$2:$C$824&lt;&gt;"")*(('Picked Students (raw)'!$C$2:$C$824-$B23)&lt;270)))))</f>
        <v/>
      </c>
      <c r="W23" s="5">
        <f>IF($A23="","",IF(V23="-","-",IF($D23=0,0,V23/$D23)))</f>
        <v/>
      </c>
      <c r="X23" s="3">
        <f>IF($A23="","",IF($B23="","",IF(TODAY()&lt;$B23+300,"-",SUMPRODUCT(('Picked Students (raw)'!$B$2:$B$824=$A23)*('Picked Students (raw)'!$E$2:$E$824="Career Gap/ Non Working")*('Picked Students (raw)'!$C$2:$C$824&lt;&gt;"")*(('Picked Students (raw)'!$C$2:$C$824-$B23)&lt;300)))))</f>
        <v/>
      </c>
      <c r="Y23" s="5">
        <f>IF($A23="","",IF(X23="-","-",IF($D23=0,0,X23/$D23)))</f>
        <v/>
      </c>
      <c r="Z23" s="3">
        <f>IF($A23="","",IF($B23="","",IF(TODAY()&lt;$B23+330,"-",SUMPRODUCT(('Picked Students (raw)'!$B$2:$B$824=$A23)*('Picked Students (raw)'!$E$2:$E$824="Career Gap/ Non Working")*('Picked Students (raw)'!$C$2:$C$824&lt;&gt;"")*(('Picked Students (raw)'!$C$2:$C$824-$B23)&lt;330)))))</f>
        <v/>
      </c>
      <c r="AA23" s="5">
        <f>IF($A23="","",IF(Z23="-","-",IF($D23=0,0,Z23/$D23)))</f>
        <v/>
      </c>
      <c r="AB23" s="3">
        <f>IF($A23="","",IF($B23="","",IF(TODAY()&lt;$B23+360,"-",SUMPRODUCT(('Picked Students (raw)'!$B$2:$B$824=$A23)*('Picked Students (raw)'!$E$2:$E$824="Career Gap/ Non Working")*('Picked Students (raw)'!$C$2:$C$824&lt;&gt;"")*(('Picked Students (raw)'!$C$2:$C$824-$B23)&lt;360)))))</f>
        <v/>
      </c>
      <c r="AC23" s="5">
        <f>IF($A23="","",IF(AB23="-","-",IF($D23=0,0,AB23/$D23)))</f>
        <v/>
      </c>
      <c r="AD23" s="3">
        <f>IF($A23="","",IF($B23="","",IF(TODAY()&lt;$B23+390,"-",SUMPRODUCT(('Picked Students (raw)'!$B$2:$B$824=$A23)*('Picked Students (raw)'!$E$2:$E$824="Career Gap/ Non Working")*('Picked Students (raw)'!$C$2:$C$824&lt;&gt;"")*(('Picked Students (raw)'!$C$2:$C$824-$B23)&lt;390)))))</f>
        <v/>
      </c>
      <c r="AE23" s="5">
        <f>IF($A23="","",IF(AD23="-","-",IF($D23=0,0,AD23/$D23)))</f>
        <v/>
      </c>
      <c r="AF23" s="3">
        <f>IF($A23="","",IF($B23="","",IF(TODAY()&lt;$B23+420,"-",SUMPRODUCT(('Picked Students (raw)'!$B$2:$B$824=$A23)*('Picked Students (raw)'!$E$2:$E$824="Career Gap/ Non Working")*('Picked Students (raw)'!$C$2:$C$824&lt;&gt;"")*(('Picked Students (raw)'!$C$2:$C$824-$B23)&lt;420)))))</f>
        <v/>
      </c>
      <c r="AG23" s="5">
        <f>IF($A23="","",IF(AF23="-","-",IF($D23=0,0,AF23/$D23)))</f>
        <v/>
      </c>
      <c r="AH23" s="3">
        <f>IF($A23="","",IF($B23="","",IF(TODAY()&lt;$B23+450,"-",SUMPRODUCT(('Picked Students (raw)'!$B$2:$B$824=$A23)*('Picked Students (raw)'!$E$2:$E$824="Career Gap/ Non Working")*('Picked Students (raw)'!$C$2:$C$824&lt;&gt;"")*(('Picked Students (raw)'!$C$2:$C$824-$B23)&lt;450)))))</f>
        <v/>
      </c>
      <c r="AI23" s="5">
        <f>IF($A23="","",IF(AH23="-","-",IF($D23=0,0,AH23/$D23)))</f>
        <v/>
      </c>
      <c r="AJ23" s="3">
        <f>IF($A23="","",IF($B23="","",IF(TODAY()&lt;$B23+480,"-",SUMPRODUCT(('Picked Students (raw)'!$B$2:$B$824=$A23)*('Picked Students (raw)'!$E$2:$E$824="Career Gap/ Non Working")*('Picked Students (raw)'!$C$2:$C$824&lt;&gt;"")*(('Picked Students (raw)'!$C$2:$C$824-$B23)&lt;480)))))</f>
        <v/>
      </c>
      <c r="AK23" s="5">
        <f>IF($A23="","",IF(AJ23="-","-",IF($D23=0,0,AJ23/$D23)))</f>
        <v/>
      </c>
      <c r="AL23" s="3">
        <f>IF($A23="","",IF($B23="","",IF(TODAY()&lt;$B23+510,"-",SUMPRODUCT(('Picked Students (raw)'!$B$2:$B$824=$A23)*('Picked Students (raw)'!$E$2:$E$824="Career Gap/ Non Working")*('Picked Students (raw)'!$C$2:$C$824&lt;&gt;"")*(('Picked Students (raw)'!$C$2:$C$824-$B23)&lt;510)))))</f>
        <v/>
      </c>
      <c r="AM23" s="5">
        <f>IF($A23="","",IF(AL23="-","-",IF($D23=0,0,AL23/$D23)))</f>
        <v/>
      </c>
      <c r="AN23" s="3">
        <f>IF($A23="","",IF($B23="","",IF(TODAY()&lt;$B23+540,"-",SUMPRODUCT(('Picked Students (raw)'!$B$2:$B$824=$A23)*('Picked Students (raw)'!$E$2:$E$824="Career Gap/ Non Working")*('Picked Students (raw)'!$C$2:$C$824&lt;&gt;"")*(('Picked Students (raw)'!$C$2:$C$824-$B23)&lt;540)))))</f>
        <v/>
      </c>
      <c r="AO23" s="5">
        <f>IF($A23="","",IF(AN23="-","-",IF($D23=0,0,AN23/$D23)))</f>
        <v/>
      </c>
      <c r="AP23" s="3">
        <f>IF($A23="","",IF(AN23="-","-",$E23-AN23))</f>
        <v/>
      </c>
    </row>
    <row r="24">
      <c r="A24" s="3" t="inlineStr">
        <is>
          <t>Professional Certificate Course In Data Science - November 2024</t>
        </is>
      </c>
      <c r="B24" s="4">
        <f>IF($A24="","",IFERROR(INDEX('Batch Enrollment (Metabase)'!$D$2:$D$47,MATCH($A24,'Batch Enrollment (Metabase)'!$A$2:$A$47,0)),""))</f>
        <v/>
      </c>
      <c r="C24" s="3">
        <f>IF($A24="","",IFERROR(INDEX('Batch Enrollment (Metabase)'!$E$2:$E$47,MATCH($A24,'Batch Enrollment (Metabase)'!$A$2:$A$47,0)),""))</f>
        <v/>
      </c>
      <c r="D24" s="3">
        <f>IF($A24="","",IFERROR(INDEX('Batch Enrollment (Metabase)'!$F$2:$F$47,MATCH($A24,'Batch Enrollment (Metabase)'!$A$2:$A$47,0)),""))</f>
        <v/>
      </c>
      <c r="E24" s="3">
        <f>IF($A24="","",COUNTIFS('Picked Students (raw)'!$B$2:$B$824,$A24,'Picked Students (raw)'!$E$2:$E$824,"Career Gap/ Non Working"))</f>
        <v/>
      </c>
      <c r="F24" s="3">
        <f>IF($A24="","",IF($B24="","",IF(TODAY()&lt;$B24+30,"-",SUMPRODUCT(('Picked Students (raw)'!$B$2:$B$824=$A24)*('Picked Students (raw)'!$E$2:$E$824="Career Gap/ Non Working")*('Picked Students (raw)'!$C$2:$C$824&lt;&gt;"")*(('Picked Students (raw)'!$C$2:$C$824-$B24)&lt;30)))))</f>
        <v/>
      </c>
      <c r="G24" s="5">
        <f>IF($A24="","",IF(F24="-","-",IF($D24=0,0,F24/$D24)))</f>
        <v/>
      </c>
      <c r="H24" s="3">
        <f>IF($A24="","",IF($B24="","",IF(TODAY()&lt;$B24+60,"-",SUMPRODUCT(('Picked Students (raw)'!$B$2:$B$824=$A24)*('Picked Students (raw)'!$E$2:$E$824="Career Gap/ Non Working")*('Picked Students (raw)'!$C$2:$C$824&lt;&gt;"")*(('Picked Students (raw)'!$C$2:$C$824-$B24)&lt;60)))))</f>
        <v/>
      </c>
      <c r="I24" s="5">
        <f>IF($A24="","",IF(H24="-","-",IF($D24=0,0,H24/$D24)))</f>
        <v/>
      </c>
      <c r="J24" s="3">
        <f>IF($A24="","",IF($B24="","",IF(TODAY()&lt;$B24+90,"-",SUMPRODUCT(('Picked Students (raw)'!$B$2:$B$824=$A24)*('Picked Students (raw)'!$E$2:$E$824="Career Gap/ Non Working")*('Picked Students (raw)'!$C$2:$C$824&lt;&gt;"")*(('Picked Students (raw)'!$C$2:$C$824-$B24)&lt;90)))))</f>
        <v/>
      </c>
      <c r="K24" s="5">
        <f>IF($A24="","",IF(J24="-","-",IF($D24=0,0,J24/$D24)))</f>
        <v/>
      </c>
      <c r="L24" s="3">
        <f>IF($A24="","",IF($B24="","",IF(TODAY()&lt;$B24+120,"-",SUMPRODUCT(('Picked Students (raw)'!$B$2:$B$824=$A24)*('Picked Students (raw)'!$E$2:$E$824="Career Gap/ Non Working")*('Picked Students (raw)'!$C$2:$C$824&lt;&gt;"")*(('Picked Students (raw)'!$C$2:$C$824-$B24)&lt;120)))))</f>
        <v/>
      </c>
      <c r="M24" s="5">
        <f>IF($A24="","",IF(L24="-","-",IF($D24=0,0,L24/$D24)))</f>
        <v/>
      </c>
      <c r="N24" s="3">
        <f>IF($A24="","",IF($B24="","",IF(TODAY()&lt;$B24+150,"-",SUMPRODUCT(('Picked Students (raw)'!$B$2:$B$824=$A24)*('Picked Students (raw)'!$E$2:$E$824="Career Gap/ Non Working")*('Picked Students (raw)'!$C$2:$C$824&lt;&gt;"")*(('Picked Students (raw)'!$C$2:$C$824-$B24)&lt;150)))))</f>
        <v/>
      </c>
      <c r="O24" s="5">
        <f>IF($A24="","",IF(N24="-","-",IF($D24=0,0,N24/$D24)))</f>
        <v/>
      </c>
      <c r="P24" s="3">
        <f>IF($A24="","",IF($B24="","",IF(TODAY()&lt;$B24+180,"-",SUMPRODUCT(('Picked Students (raw)'!$B$2:$B$824=$A24)*('Picked Students (raw)'!$E$2:$E$824="Career Gap/ Non Working")*('Picked Students (raw)'!$C$2:$C$824&lt;&gt;"")*(('Picked Students (raw)'!$C$2:$C$824-$B24)&lt;180)))))</f>
        <v/>
      </c>
      <c r="Q24" s="5">
        <f>IF($A24="","",IF(P24="-","-",IF($D24=0,0,P24/$D24)))</f>
        <v/>
      </c>
      <c r="R24" s="3">
        <f>IF($A24="","",IF($B24="","",IF(TODAY()&lt;$B24+210,"-",SUMPRODUCT(('Picked Students (raw)'!$B$2:$B$824=$A24)*('Picked Students (raw)'!$E$2:$E$824="Career Gap/ Non Working")*('Picked Students (raw)'!$C$2:$C$824&lt;&gt;"")*(('Picked Students (raw)'!$C$2:$C$824-$B24)&lt;210)))))</f>
        <v/>
      </c>
      <c r="S24" s="5">
        <f>IF($A24="","",IF(R24="-","-",IF($D24=0,0,R24/$D24)))</f>
        <v/>
      </c>
      <c r="T24" s="3">
        <f>IF($A24="","",IF($B24="","",IF(TODAY()&lt;$B24+240,"-",SUMPRODUCT(('Picked Students (raw)'!$B$2:$B$824=$A24)*('Picked Students (raw)'!$E$2:$E$824="Career Gap/ Non Working")*('Picked Students (raw)'!$C$2:$C$824&lt;&gt;"")*(('Picked Students (raw)'!$C$2:$C$824-$B24)&lt;240)))))</f>
        <v/>
      </c>
      <c r="U24" s="5">
        <f>IF($A24="","",IF(T24="-","-",IF($D24=0,0,T24/$D24)))</f>
        <v/>
      </c>
      <c r="V24" s="3">
        <f>IF($A24="","",IF($B24="","",IF(TODAY()&lt;$B24+270,"-",SUMPRODUCT(('Picked Students (raw)'!$B$2:$B$824=$A24)*('Picked Students (raw)'!$E$2:$E$824="Career Gap/ Non Working")*('Picked Students (raw)'!$C$2:$C$824&lt;&gt;"")*(('Picked Students (raw)'!$C$2:$C$824-$B24)&lt;270)))))</f>
        <v/>
      </c>
      <c r="W24" s="5">
        <f>IF($A24="","",IF(V24="-","-",IF($D24=0,0,V24/$D24)))</f>
        <v/>
      </c>
      <c r="X24" s="3">
        <f>IF($A24="","",IF($B24="","",IF(TODAY()&lt;$B24+300,"-",SUMPRODUCT(('Picked Students (raw)'!$B$2:$B$824=$A24)*('Picked Students (raw)'!$E$2:$E$824="Career Gap/ Non Working")*('Picked Students (raw)'!$C$2:$C$824&lt;&gt;"")*(('Picked Students (raw)'!$C$2:$C$824-$B24)&lt;300)))))</f>
        <v/>
      </c>
      <c r="Y24" s="5">
        <f>IF($A24="","",IF(X24="-","-",IF($D24=0,0,X24/$D24)))</f>
        <v/>
      </c>
      <c r="Z24" s="3">
        <f>IF($A24="","",IF($B24="","",IF(TODAY()&lt;$B24+330,"-",SUMPRODUCT(('Picked Students (raw)'!$B$2:$B$824=$A24)*('Picked Students (raw)'!$E$2:$E$824="Career Gap/ Non Working")*('Picked Students (raw)'!$C$2:$C$824&lt;&gt;"")*(('Picked Students (raw)'!$C$2:$C$824-$B24)&lt;330)))))</f>
        <v/>
      </c>
      <c r="AA24" s="5">
        <f>IF($A24="","",IF(Z24="-","-",IF($D24=0,0,Z24/$D24)))</f>
        <v/>
      </c>
      <c r="AB24" s="3">
        <f>IF($A24="","",IF($B24="","",IF(TODAY()&lt;$B24+360,"-",SUMPRODUCT(('Picked Students (raw)'!$B$2:$B$824=$A24)*('Picked Students (raw)'!$E$2:$E$824="Career Gap/ Non Working")*('Picked Students (raw)'!$C$2:$C$824&lt;&gt;"")*(('Picked Students (raw)'!$C$2:$C$824-$B24)&lt;360)))))</f>
        <v/>
      </c>
      <c r="AC24" s="5">
        <f>IF($A24="","",IF(AB24="-","-",IF($D24=0,0,AB24/$D24)))</f>
        <v/>
      </c>
      <c r="AD24" s="3">
        <f>IF($A24="","",IF($B24="","",IF(TODAY()&lt;$B24+390,"-",SUMPRODUCT(('Picked Students (raw)'!$B$2:$B$824=$A24)*('Picked Students (raw)'!$E$2:$E$824="Career Gap/ Non Working")*('Picked Students (raw)'!$C$2:$C$824&lt;&gt;"")*(('Picked Students (raw)'!$C$2:$C$824-$B24)&lt;390)))))</f>
        <v/>
      </c>
      <c r="AE24" s="5">
        <f>IF($A24="","",IF(AD24="-","-",IF($D24=0,0,AD24/$D24)))</f>
        <v/>
      </c>
      <c r="AF24" s="3">
        <f>IF($A24="","",IF($B24="","",IF(TODAY()&lt;$B24+420,"-",SUMPRODUCT(('Picked Students (raw)'!$B$2:$B$824=$A24)*('Picked Students (raw)'!$E$2:$E$824="Career Gap/ Non Working")*('Picked Students (raw)'!$C$2:$C$824&lt;&gt;"")*(('Picked Students (raw)'!$C$2:$C$824-$B24)&lt;420)))))</f>
        <v/>
      </c>
      <c r="AG24" s="5">
        <f>IF($A24="","",IF(AF24="-","-",IF($D24=0,0,AF24/$D24)))</f>
        <v/>
      </c>
      <c r="AH24" s="3">
        <f>IF($A24="","",IF($B24="","",IF(TODAY()&lt;$B24+450,"-",SUMPRODUCT(('Picked Students (raw)'!$B$2:$B$824=$A24)*('Picked Students (raw)'!$E$2:$E$824="Career Gap/ Non Working")*('Picked Students (raw)'!$C$2:$C$824&lt;&gt;"")*(('Picked Students (raw)'!$C$2:$C$824-$B24)&lt;450)))))</f>
        <v/>
      </c>
      <c r="AI24" s="5">
        <f>IF($A24="","",IF(AH24="-","-",IF($D24=0,0,AH24/$D24)))</f>
        <v/>
      </c>
      <c r="AJ24" s="3">
        <f>IF($A24="","",IF($B24="","",IF(TODAY()&lt;$B24+480,"-",SUMPRODUCT(('Picked Students (raw)'!$B$2:$B$824=$A24)*('Picked Students (raw)'!$E$2:$E$824="Career Gap/ Non Working")*('Picked Students (raw)'!$C$2:$C$824&lt;&gt;"")*(('Picked Students (raw)'!$C$2:$C$824-$B24)&lt;480)))))</f>
        <v/>
      </c>
      <c r="AK24" s="5">
        <f>IF($A24="","",IF(AJ24="-","-",IF($D24=0,0,AJ24/$D24)))</f>
        <v/>
      </c>
      <c r="AL24" s="3">
        <f>IF($A24="","",IF($B24="","",IF(TODAY()&lt;$B24+510,"-",SUMPRODUCT(('Picked Students (raw)'!$B$2:$B$824=$A24)*('Picked Students (raw)'!$E$2:$E$824="Career Gap/ Non Working")*('Picked Students (raw)'!$C$2:$C$824&lt;&gt;"")*(('Picked Students (raw)'!$C$2:$C$824-$B24)&lt;510)))))</f>
        <v/>
      </c>
      <c r="AM24" s="5">
        <f>IF($A24="","",IF(AL24="-","-",IF($D24=0,0,AL24/$D24)))</f>
        <v/>
      </c>
      <c r="AN24" s="3">
        <f>IF($A24="","",IF($B24="","",IF(TODAY()&lt;$B24+540,"-",SUMPRODUCT(('Picked Students (raw)'!$B$2:$B$824=$A24)*('Picked Students (raw)'!$E$2:$E$824="Career Gap/ Non Working")*('Picked Students (raw)'!$C$2:$C$824&lt;&gt;"")*(('Picked Students (raw)'!$C$2:$C$824-$B24)&lt;540)))))</f>
        <v/>
      </c>
      <c r="AO24" s="5">
        <f>IF($A24="","",IF(AN24="-","-",IF($D24=0,0,AN24/$D24)))</f>
        <v/>
      </c>
      <c r="AP24" s="3">
        <f>IF($A24="","",IF(AN24="-","-",$E24-AN24))</f>
        <v/>
      </c>
    </row>
    <row r="25">
      <c r="A25" s="3" t="inlineStr">
        <is>
          <t>Professional Certificate Course In Data Science - December 2024</t>
        </is>
      </c>
      <c r="B25" s="4">
        <f>IF($A25="","",IFERROR(INDEX('Batch Enrollment (Metabase)'!$D$2:$D$47,MATCH($A25,'Batch Enrollment (Metabase)'!$A$2:$A$47,0)),""))</f>
        <v/>
      </c>
      <c r="C25" s="3">
        <f>IF($A25="","",IFERROR(INDEX('Batch Enrollment (Metabase)'!$E$2:$E$47,MATCH($A25,'Batch Enrollment (Metabase)'!$A$2:$A$47,0)),""))</f>
        <v/>
      </c>
      <c r="D25" s="3">
        <f>IF($A25="","",IFERROR(INDEX('Batch Enrollment (Metabase)'!$F$2:$F$47,MATCH($A25,'Batch Enrollment (Metabase)'!$A$2:$A$47,0)),""))</f>
        <v/>
      </c>
      <c r="E25" s="3">
        <f>IF($A25="","",COUNTIFS('Picked Students (raw)'!$B$2:$B$824,$A25,'Picked Students (raw)'!$E$2:$E$824,"Career Gap/ Non Working"))</f>
        <v/>
      </c>
      <c r="F25" s="3">
        <f>IF($A25="","",IF($B25="","",IF(TODAY()&lt;$B25+30,"-",SUMPRODUCT(('Picked Students (raw)'!$B$2:$B$824=$A25)*('Picked Students (raw)'!$E$2:$E$824="Career Gap/ Non Working")*('Picked Students (raw)'!$C$2:$C$824&lt;&gt;"")*(('Picked Students (raw)'!$C$2:$C$824-$B25)&lt;30)))))</f>
        <v/>
      </c>
      <c r="G25" s="5">
        <f>IF($A25="","",IF(F25="-","-",IF($D25=0,0,F25/$D25)))</f>
        <v/>
      </c>
      <c r="H25" s="3">
        <f>IF($A25="","",IF($B25="","",IF(TODAY()&lt;$B25+60,"-",SUMPRODUCT(('Picked Students (raw)'!$B$2:$B$824=$A25)*('Picked Students (raw)'!$E$2:$E$824="Career Gap/ Non Working")*('Picked Students (raw)'!$C$2:$C$824&lt;&gt;"")*(('Picked Students (raw)'!$C$2:$C$824-$B25)&lt;60)))))</f>
        <v/>
      </c>
      <c r="I25" s="5">
        <f>IF($A25="","",IF(H25="-","-",IF($D25=0,0,H25/$D25)))</f>
        <v/>
      </c>
      <c r="J25" s="3">
        <f>IF($A25="","",IF($B25="","",IF(TODAY()&lt;$B25+90,"-",SUMPRODUCT(('Picked Students (raw)'!$B$2:$B$824=$A25)*('Picked Students (raw)'!$E$2:$E$824="Career Gap/ Non Working")*('Picked Students (raw)'!$C$2:$C$824&lt;&gt;"")*(('Picked Students (raw)'!$C$2:$C$824-$B25)&lt;90)))))</f>
        <v/>
      </c>
      <c r="K25" s="5">
        <f>IF($A25="","",IF(J25="-","-",IF($D25=0,0,J25/$D25)))</f>
        <v/>
      </c>
      <c r="L25" s="3">
        <f>IF($A25="","",IF($B25="","",IF(TODAY()&lt;$B25+120,"-",SUMPRODUCT(('Picked Students (raw)'!$B$2:$B$824=$A25)*('Picked Students (raw)'!$E$2:$E$824="Career Gap/ Non Working")*('Picked Students (raw)'!$C$2:$C$824&lt;&gt;"")*(('Picked Students (raw)'!$C$2:$C$824-$B25)&lt;120)))))</f>
        <v/>
      </c>
      <c r="M25" s="5">
        <f>IF($A25="","",IF(L25="-","-",IF($D25=0,0,L25/$D25)))</f>
        <v/>
      </c>
      <c r="N25" s="3">
        <f>IF($A25="","",IF($B25="","",IF(TODAY()&lt;$B25+150,"-",SUMPRODUCT(('Picked Students (raw)'!$B$2:$B$824=$A25)*('Picked Students (raw)'!$E$2:$E$824="Career Gap/ Non Working")*('Picked Students (raw)'!$C$2:$C$824&lt;&gt;"")*(('Picked Students (raw)'!$C$2:$C$824-$B25)&lt;150)))))</f>
        <v/>
      </c>
      <c r="O25" s="5">
        <f>IF($A25="","",IF(N25="-","-",IF($D25=0,0,N25/$D25)))</f>
        <v/>
      </c>
      <c r="P25" s="3">
        <f>IF($A25="","",IF($B25="","",IF(TODAY()&lt;$B25+180,"-",SUMPRODUCT(('Picked Students (raw)'!$B$2:$B$824=$A25)*('Picked Students (raw)'!$E$2:$E$824="Career Gap/ Non Working")*('Picked Students (raw)'!$C$2:$C$824&lt;&gt;"")*(('Picked Students (raw)'!$C$2:$C$824-$B25)&lt;180)))))</f>
        <v/>
      </c>
      <c r="Q25" s="5">
        <f>IF($A25="","",IF(P25="-","-",IF($D25=0,0,P25/$D25)))</f>
        <v/>
      </c>
      <c r="R25" s="3">
        <f>IF($A25="","",IF($B25="","",IF(TODAY()&lt;$B25+210,"-",SUMPRODUCT(('Picked Students (raw)'!$B$2:$B$824=$A25)*('Picked Students (raw)'!$E$2:$E$824="Career Gap/ Non Working")*('Picked Students (raw)'!$C$2:$C$824&lt;&gt;"")*(('Picked Students (raw)'!$C$2:$C$824-$B25)&lt;210)))))</f>
        <v/>
      </c>
      <c r="S25" s="5">
        <f>IF($A25="","",IF(R25="-","-",IF($D25=0,0,R25/$D25)))</f>
        <v/>
      </c>
      <c r="T25" s="3">
        <f>IF($A25="","",IF($B25="","",IF(TODAY()&lt;$B25+240,"-",SUMPRODUCT(('Picked Students (raw)'!$B$2:$B$824=$A25)*('Picked Students (raw)'!$E$2:$E$824="Career Gap/ Non Working")*('Picked Students (raw)'!$C$2:$C$824&lt;&gt;"")*(('Picked Students (raw)'!$C$2:$C$824-$B25)&lt;240)))))</f>
        <v/>
      </c>
      <c r="U25" s="5">
        <f>IF($A25="","",IF(T25="-","-",IF($D25=0,0,T25/$D25)))</f>
        <v/>
      </c>
      <c r="V25" s="3">
        <f>IF($A25="","",IF($B25="","",IF(TODAY()&lt;$B25+270,"-",SUMPRODUCT(('Picked Students (raw)'!$B$2:$B$824=$A25)*('Picked Students (raw)'!$E$2:$E$824="Career Gap/ Non Working")*('Picked Students (raw)'!$C$2:$C$824&lt;&gt;"")*(('Picked Students (raw)'!$C$2:$C$824-$B25)&lt;270)))))</f>
        <v/>
      </c>
      <c r="W25" s="5">
        <f>IF($A25="","",IF(V25="-","-",IF($D25=0,0,V25/$D25)))</f>
        <v/>
      </c>
      <c r="X25" s="3">
        <f>IF($A25="","",IF($B25="","",IF(TODAY()&lt;$B25+300,"-",SUMPRODUCT(('Picked Students (raw)'!$B$2:$B$824=$A25)*('Picked Students (raw)'!$E$2:$E$824="Career Gap/ Non Working")*('Picked Students (raw)'!$C$2:$C$824&lt;&gt;"")*(('Picked Students (raw)'!$C$2:$C$824-$B25)&lt;300)))))</f>
        <v/>
      </c>
      <c r="Y25" s="5">
        <f>IF($A25="","",IF(X25="-","-",IF($D25=0,0,X25/$D25)))</f>
        <v/>
      </c>
      <c r="Z25" s="3">
        <f>IF($A25="","",IF($B25="","",IF(TODAY()&lt;$B25+330,"-",SUMPRODUCT(('Picked Students (raw)'!$B$2:$B$824=$A25)*('Picked Students (raw)'!$E$2:$E$824="Career Gap/ Non Working")*('Picked Students (raw)'!$C$2:$C$824&lt;&gt;"")*(('Picked Students (raw)'!$C$2:$C$824-$B25)&lt;330)))))</f>
        <v/>
      </c>
      <c r="AA25" s="5">
        <f>IF($A25="","",IF(Z25="-","-",IF($D25=0,0,Z25/$D25)))</f>
        <v/>
      </c>
      <c r="AB25" s="3">
        <f>IF($A25="","",IF($B25="","",IF(TODAY()&lt;$B25+360,"-",SUMPRODUCT(('Picked Students (raw)'!$B$2:$B$824=$A25)*('Picked Students (raw)'!$E$2:$E$824="Career Gap/ Non Working")*('Picked Students (raw)'!$C$2:$C$824&lt;&gt;"")*(('Picked Students (raw)'!$C$2:$C$824-$B25)&lt;360)))))</f>
        <v/>
      </c>
      <c r="AC25" s="5">
        <f>IF($A25="","",IF(AB25="-","-",IF($D25=0,0,AB25/$D25)))</f>
        <v/>
      </c>
      <c r="AD25" s="3">
        <f>IF($A25="","",IF($B25="","",IF(TODAY()&lt;$B25+390,"-",SUMPRODUCT(('Picked Students (raw)'!$B$2:$B$824=$A25)*('Picked Students (raw)'!$E$2:$E$824="Career Gap/ Non Working")*('Picked Students (raw)'!$C$2:$C$824&lt;&gt;"")*(('Picked Students (raw)'!$C$2:$C$824-$B25)&lt;390)))))</f>
        <v/>
      </c>
      <c r="AE25" s="5">
        <f>IF($A25="","",IF(AD25="-","-",IF($D25=0,0,AD25/$D25)))</f>
        <v/>
      </c>
      <c r="AF25" s="3">
        <f>IF($A25="","",IF($B25="","",IF(TODAY()&lt;$B25+420,"-",SUMPRODUCT(('Picked Students (raw)'!$B$2:$B$824=$A25)*('Picked Students (raw)'!$E$2:$E$824="Career Gap/ Non Working")*('Picked Students (raw)'!$C$2:$C$824&lt;&gt;"")*(('Picked Students (raw)'!$C$2:$C$824-$B25)&lt;420)))))</f>
        <v/>
      </c>
      <c r="AG25" s="5">
        <f>IF($A25="","",IF(AF25="-","-",IF($D25=0,0,AF25/$D25)))</f>
        <v/>
      </c>
      <c r="AH25" s="3">
        <f>IF($A25="","",IF($B25="","",IF(TODAY()&lt;$B25+450,"-",SUMPRODUCT(('Picked Students (raw)'!$B$2:$B$824=$A25)*('Picked Students (raw)'!$E$2:$E$824="Career Gap/ Non Working")*('Picked Students (raw)'!$C$2:$C$824&lt;&gt;"")*(('Picked Students (raw)'!$C$2:$C$824-$B25)&lt;450)))))</f>
        <v/>
      </c>
      <c r="AI25" s="5">
        <f>IF($A25="","",IF(AH25="-","-",IF($D25=0,0,AH25/$D25)))</f>
        <v/>
      </c>
      <c r="AJ25" s="3">
        <f>IF($A25="","",IF($B25="","",IF(TODAY()&lt;$B25+480,"-",SUMPRODUCT(('Picked Students (raw)'!$B$2:$B$824=$A25)*('Picked Students (raw)'!$E$2:$E$824="Career Gap/ Non Working")*('Picked Students (raw)'!$C$2:$C$824&lt;&gt;"")*(('Picked Students (raw)'!$C$2:$C$824-$B25)&lt;480)))))</f>
        <v/>
      </c>
      <c r="AK25" s="5">
        <f>IF($A25="","",IF(AJ25="-","-",IF($D25=0,0,AJ25/$D25)))</f>
        <v/>
      </c>
      <c r="AL25" s="3">
        <f>IF($A25="","",IF($B25="","",IF(TODAY()&lt;$B25+510,"-",SUMPRODUCT(('Picked Students (raw)'!$B$2:$B$824=$A25)*('Picked Students (raw)'!$E$2:$E$824="Career Gap/ Non Working")*('Picked Students (raw)'!$C$2:$C$824&lt;&gt;"")*(('Picked Students (raw)'!$C$2:$C$824-$B25)&lt;510)))))</f>
        <v/>
      </c>
      <c r="AM25" s="5">
        <f>IF($A25="","",IF(AL25="-","-",IF($D25=0,0,AL25/$D25)))</f>
        <v/>
      </c>
      <c r="AN25" s="3">
        <f>IF($A25="","",IF($B25="","",IF(TODAY()&lt;$B25+540,"-",SUMPRODUCT(('Picked Students (raw)'!$B$2:$B$824=$A25)*('Picked Students (raw)'!$E$2:$E$824="Career Gap/ Non Working")*('Picked Students (raw)'!$C$2:$C$824&lt;&gt;"")*(('Picked Students (raw)'!$C$2:$C$824-$B25)&lt;540)))))</f>
        <v/>
      </c>
      <c r="AO25" s="5">
        <f>IF($A25="","",IF(AN25="-","-",IF($D25=0,0,AN25/$D25)))</f>
        <v/>
      </c>
      <c r="AP25" s="3">
        <f>IF($A25="","",IF(AN25="-","-",$E25-AN25))</f>
        <v/>
      </c>
    </row>
    <row r="26">
      <c r="A26" s="3" t="inlineStr">
        <is>
          <t>Professional Certificate Course In Data Science - January 2025</t>
        </is>
      </c>
      <c r="B26" s="4">
        <f>IF($A26="","",IFERROR(INDEX('Batch Enrollment (Metabase)'!$D$2:$D$47,MATCH($A26,'Batch Enrollment (Metabase)'!$A$2:$A$47,0)),""))</f>
        <v/>
      </c>
      <c r="C26" s="3">
        <f>IF($A26="","",IFERROR(INDEX('Batch Enrollment (Metabase)'!$E$2:$E$47,MATCH($A26,'Batch Enrollment (Metabase)'!$A$2:$A$47,0)),""))</f>
        <v/>
      </c>
      <c r="D26" s="3">
        <f>IF($A26="","",IFERROR(INDEX('Batch Enrollment (Metabase)'!$F$2:$F$47,MATCH($A26,'Batch Enrollment (Metabase)'!$A$2:$A$47,0)),""))</f>
        <v/>
      </c>
      <c r="E26" s="3">
        <f>IF($A26="","",COUNTIFS('Picked Students (raw)'!$B$2:$B$824,$A26,'Picked Students (raw)'!$E$2:$E$824,"Career Gap/ Non Working"))</f>
        <v/>
      </c>
      <c r="F26" s="3">
        <f>IF($A26="","",IF($B26="","",IF(TODAY()&lt;$B26+30,"-",SUMPRODUCT(('Picked Students (raw)'!$B$2:$B$824=$A26)*('Picked Students (raw)'!$E$2:$E$824="Career Gap/ Non Working")*('Picked Students (raw)'!$C$2:$C$824&lt;&gt;"")*(('Picked Students (raw)'!$C$2:$C$824-$B26)&lt;30)))))</f>
        <v/>
      </c>
      <c r="G26" s="5">
        <f>IF($A26="","",IF(F26="-","-",IF($D26=0,0,F26/$D26)))</f>
        <v/>
      </c>
      <c r="H26" s="3">
        <f>IF($A26="","",IF($B26="","",IF(TODAY()&lt;$B26+60,"-",SUMPRODUCT(('Picked Students (raw)'!$B$2:$B$824=$A26)*('Picked Students (raw)'!$E$2:$E$824="Career Gap/ Non Working")*('Picked Students (raw)'!$C$2:$C$824&lt;&gt;"")*(('Picked Students (raw)'!$C$2:$C$824-$B26)&lt;60)))))</f>
        <v/>
      </c>
      <c r="I26" s="5">
        <f>IF($A26="","",IF(H26="-","-",IF($D26=0,0,H26/$D26)))</f>
        <v/>
      </c>
      <c r="J26" s="3">
        <f>IF($A26="","",IF($B26="","",IF(TODAY()&lt;$B26+90,"-",SUMPRODUCT(('Picked Students (raw)'!$B$2:$B$824=$A26)*('Picked Students (raw)'!$E$2:$E$824="Career Gap/ Non Working")*('Picked Students (raw)'!$C$2:$C$824&lt;&gt;"")*(('Picked Students (raw)'!$C$2:$C$824-$B26)&lt;90)))))</f>
        <v/>
      </c>
      <c r="K26" s="5">
        <f>IF($A26="","",IF(J26="-","-",IF($D26=0,0,J26/$D26)))</f>
        <v/>
      </c>
      <c r="L26" s="3">
        <f>IF($A26="","",IF($B26="","",IF(TODAY()&lt;$B26+120,"-",SUMPRODUCT(('Picked Students (raw)'!$B$2:$B$824=$A26)*('Picked Students (raw)'!$E$2:$E$824="Career Gap/ Non Working")*('Picked Students (raw)'!$C$2:$C$824&lt;&gt;"")*(('Picked Students (raw)'!$C$2:$C$824-$B26)&lt;120)))))</f>
        <v/>
      </c>
      <c r="M26" s="5">
        <f>IF($A26="","",IF(L26="-","-",IF($D26=0,0,L26/$D26)))</f>
        <v/>
      </c>
      <c r="N26" s="3">
        <f>IF($A26="","",IF($B26="","",IF(TODAY()&lt;$B26+150,"-",SUMPRODUCT(('Picked Students (raw)'!$B$2:$B$824=$A26)*('Picked Students (raw)'!$E$2:$E$824="Career Gap/ Non Working")*('Picked Students (raw)'!$C$2:$C$824&lt;&gt;"")*(('Picked Students (raw)'!$C$2:$C$824-$B26)&lt;150)))))</f>
        <v/>
      </c>
      <c r="O26" s="5">
        <f>IF($A26="","",IF(N26="-","-",IF($D26=0,0,N26/$D26)))</f>
        <v/>
      </c>
      <c r="P26" s="3">
        <f>IF($A26="","",IF($B26="","",IF(TODAY()&lt;$B26+180,"-",SUMPRODUCT(('Picked Students (raw)'!$B$2:$B$824=$A26)*('Picked Students (raw)'!$E$2:$E$824="Career Gap/ Non Working")*('Picked Students (raw)'!$C$2:$C$824&lt;&gt;"")*(('Picked Students (raw)'!$C$2:$C$824-$B26)&lt;180)))))</f>
        <v/>
      </c>
      <c r="Q26" s="5">
        <f>IF($A26="","",IF(P26="-","-",IF($D26=0,0,P26/$D26)))</f>
        <v/>
      </c>
      <c r="R26" s="3">
        <f>IF($A26="","",IF($B26="","",IF(TODAY()&lt;$B26+210,"-",SUMPRODUCT(('Picked Students (raw)'!$B$2:$B$824=$A26)*('Picked Students (raw)'!$E$2:$E$824="Career Gap/ Non Working")*('Picked Students (raw)'!$C$2:$C$824&lt;&gt;"")*(('Picked Students (raw)'!$C$2:$C$824-$B26)&lt;210)))))</f>
        <v/>
      </c>
      <c r="S26" s="5">
        <f>IF($A26="","",IF(R26="-","-",IF($D26=0,0,R26/$D26)))</f>
        <v/>
      </c>
      <c r="T26" s="3">
        <f>IF($A26="","",IF($B26="","",IF(TODAY()&lt;$B26+240,"-",SUMPRODUCT(('Picked Students (raw)'!$B$2:$B$824=$A26)*('Picked Students (raw)'!$E$2:$E$824="Career Gap/ Non Working")*('Picked Students (raw)'!$C$2:$C$824&lt;&gt;"")*(('Picked Students (raw)'!$C$2:$C$824-$B26)&lt;240)))))</f>
        <v/>
      </c>
      <c r="U26" s="5">
        <f>IF($A26="","",IF(T26="-","-",IF($D26=0,0,T26/$D26)))</f>
        <v/>
      </c>
      <c r="V26" s="3">
        <f>IF($A26="","",IF($B26="","",IF(TODAY()&lt;$B26+270,"-",SUMPRODUCT(('Picked Students (raw)'!$B$2:$B$824=$A26)*('Picked Students (raw)'!$E$2:$E$824="Career Gap/ Non Working")*('Picked Students (raw)'!$C$2:$C$824&lt;&gt;"")*(('Picked Students (raw)'!$C$2:$C$824-$B26)&lt;270)))))</f>
        <v/>
      </c>
      <c r="W26" s="5">
        <f>IF($A26="","",IF(V26="-","-",IF($D26=0,0,V26/$D26)))</f>
        <v/>
      </c>
      <c r="X26" s="3">
        <f>IF($A26="","",IF($B26="","",IF(TODAY()&lt;$B26+300,"-",SUMPRODUCT(('Picked Students (raw)'!$B$2:$B$824=$A26)*('Picked Students (raw)'!$E$2:$E$824="Career Gap/ Non Working")*('Picked Students (raw)'!$C$2:$C$824&lt;&gt;"")*(('Picked Students (raw)'!$C$2:$C$824-$B26)&lt;300)))))</f>
        <v/>
      </c>
      <c r="Y26" s="5">
        <f>IF($A26="","",IF(X26="-","-",IF($D26=0,0,X26/$D26)))</f>
        <v/>
      </c>
      <c r="Z26" s="3">
        <f>IF($A26="","",IF($B26="","",IF(TODAY()&lt;$B26+330,"-",SUMPRODUCT(('Picked Students (raw)'!$B$2:$B$824=$A26)*('Picked Students (raw)'!$E$2:$E$824="Career Gap/ Non Working")*('Picked Students (raw)'!$C$2:$C$824&lt;&gt;"")*(('Picked Students (raw)'!$C$2:$C$824-$B26)&lt;330)))))</f>
        <v/>
      </c>
      <c r="AA26" s="5">
        <f>IF($A26="","",IF(Z26="-","-",IF($D26=0,0,Z26/$D26)))</f>
        <v/>
      </c>
      <c r="AB26" s="3">
        <f>IF($A26="","",IF($B26="","",IF(TODAY()&lt;$B26+360,"-",SUMPRODUCT(('Picked Students (raw)'!$B$2:$B$824=$A26)*('Picked Students (raw)'!$E$2:$E$824="Career Gap/ Non Working")*('Picked Students (raw)'!$C$2:$C$824&lt;&gt;"")*(('Picked Students (raw)'!$C$2:$C$824-$B26)&lt;360)))))</f>
        <v/>
      </c>
      <c r="AC26" s="5">
        <f>IF($A26="","",IF(AB26="-","-",IF($D26=0,0,AB26/$D26)))</f>
        <v/>
      </c>
      <c r="AD26" s="3">
        <f>IF($A26="","",IF($B26="","",IF(TODAY()&lt;$B26+390,"-",SUMPRODUCT(('Picked Students (raw)'!$B$2:$B$824=$A26)*('Picked Students (raw)'!$E$2:$E$824="Career Gap/ Non Working")*('Picked Students (raw)'!$C$2:$C$824&lt;&gt;"")*(('Picked Students (raw)'!$C$2:$C$824-$B26)&lt;390)))))</f>
        <v/>
      </c>
      <c r="AE26" s="5">
        <f>IF($A26="","",IF(AD26="-","-",IF($D26=0,0,AD26/$D26)))</f>
        <v/>
      </c>
      <c r="AF26" s="3">
        <f>IF($A26="","",IF($B26="","",IF(TODAY()&lt;$B26+420,"-",SUMPRODUCT(('Picked Students (raw)'!$B$2:$B$824=$A26)*('Picked Students (raw)'!$E$2:$E$824="Career Gap/ Non Working")*('Picked Students (raw)'!$C$2:$C$824&lt;&gt;"")*(('Picked Students (raw)'!$C$2:$C$824-$B26)&lt;420)))))</f>
        <v/>
      </c>
      <c r="AG26" s="5">
        <f>IF($A26="","",IF(AF26="-","-",IF($D26=0,0,AF26/$D26)))</f>
        <v/>
      </c>
      <c r="AH26" s="3">
        <f>IF($A26="","",IF($B26="","",IF(TODAY()&lt;$B26+450,"-",SUMPRODUCT(('Picked Students (raw)'!$B$2:$B$824=$A26)*('Picked Students (raw)'!$E$2:$E$824="Career Gap/ Non Working")*('Picked Students (raw)'!$C$2:$C$824&lt;&gt;"")*(('Picked Students (raw)'!$C$2:$C$824-$B26)&lt;450)))))</f>
        <v/>
      </c>
      <c r="AI26" s="5">
        <f>IF($A26="","",IF(AH26="-","-",IF($D26=0,0,AH26/$D26)))</f>
        <v/>
      </c>
      <c r="AJ26" s="3">
        <f>IF($A26="","",IF($B26="","",IF(TODAY()&lt;$B26+480,"-",SUMPRODUCT(('Picked Students (raw)'!$B$2:$B$824=$A26)*('Picked Students (raw)'!$E$2:$E$824="Career Gap/ Non Working")*('Picked Students (raw)'!$C$2:$C$824&lt;&gt;"")*(('Picked Students (raw)'!$C$2:$C$824-$B26)&lt;480)))))</f>
        <v/>
      </c>
      <c r="AK26" s="5">
        <f>IF($A26="","",IF(AJ26="-","-",IF($D26=0,0,AJ26/$D26)))</f>
        <v/>
      </c>
      <c r="AL26" s="3">
        <f>IF($A26="","",IF($B26="","",IF(TODAY()&lt;$B26+510,"-",SUMPRODUCT(('Picked Students (raw)'!$B$2:$B$824=$A26)*('Picked Students (raw)'!$E$2:$E$824="Career Gap/ Non Working")*('Picked Students (raw)'!$C$2:$C$824&lt;&gt;"")*(('Picked Students (raw)'!$C$2:$C$824-$B26)&lt;510)))))</f>
        <v/>
      </c>
      <c r="AM26" s="5">
        <f>IF($A26="","",IF(AL26="-","-",IF($D26=0,0,AL26/$D26)))</f>
        <v/>
      </c>
      <c r="AN26" s="3">
        <f>IF($A26="","",IF($B26="","",IF(TODAY()&lt;$B26+540,"-",SUMPRODUCT(('Picked Students (raw)'!$B$2:$B$824=$A26)*('Picked Students (raw)'!$E$2:$E$824="Career Gap/ Non Working")*('Picked Students (raw)'!$C$2:$C$824&lt;&gt;"")*(('Picked Students (raw)'!$C$2:$C$824-$B26)&lt;540)))))</f>
        <v/>
      </c>
      <c r="AO26" s="5">
        <f>IF($A26="","",IF(AN26="-","-",IF($D26=0,0,AN26/$D26)))</f>
        <v/>
      </c>
      <c r="AP26" s="3">
        <f>IF($A26="","",IF(AN26="-","-",$E26-AN26))</f>
        <v/>
      </c>
    </row>
    <row r="27">
      <c r="A27" s="3" t="inlineStr">
        <is>
          <t>Professional Certificate Course In Data Science - February 2025</t>
        </is>
      </c>
      <c r="B27" s="4">
        <f>IF($A27="","",IFERROR(INDEX('Batch Enrollment (Metabase)'!$D$2:$D$47,MATCH($A27,'Batch Enrollment (Metabase)'!$A$2:$A$47,0)),""))</f>
        <v/>
      </c>
      <c r="C27" s="3">
        <f>IF($A27="","",IFERROR(INDEX('Batch Enrollment (Metabase)'!$E$2:$E$47,MATCH($A27,'Batch Enrollment (Metabase)'!$A$2:$A$47,0)),""))</f>
        <v/>
      </c>
      <c r="D27" s="3">
        <f>IF($A27="","",IFERROR(INDEX('Batch Enrollment (Metabase)'!$F$2:$F$47,MATCH($A27,'Batch Enrollment (Metabase)'!$A$2:$A$47,0)),""))</f>
        <v/>
      </c>
      <c r="E27" s="3">
        <f>IF($A27="","",COUNTIFS('Picked Students (raw)'!$B$2:$B$824,$A27,'Picked Students (raw)'!$E$2:$E$824,"Career Gap/ Non Working"))</f>
        <v/>
      </c>
      <c r="F27" s="3">
        <f>IF($A27="","",IF($B27="","",IF(TODAY()&lt;$B27+30,"-",SUMPRODUCT(('Picked Students (raw)'!$B$2:$B$824=$A27)*('Picked Students (raw)'!$E$2:$E$824="Career Gap/ Non Working")*('Picked Students (raw)'!$C$2:$C$824&lt;&gt;"")*(('Picked Students (raw)'!$C$2:$C$824-$B27)&lt;30)))))</f>
        <v/>
      </c>
      <c r="G27" s="5">
        <f>IF($A27="","",IF(F27="-","-",IF($D27=0,0,F27/$D27)))</f>
        <v/>
      </c>
      <c r="H27" s="3">
        <f>IF($A27="","",IF($B27="","",IF(TODAY()&lt;$B27+60,"-",SUMPRODUCT(('Picked Students (raw)'!$B$2:$B$824=$A27)*('Picked Students (raw)'!$E$2:$E$824="Career Gap/ Non Working")*('Picked Students (raw)'!$C$2:$C$824&lt;&gt;"")*(('Picked Students (raw)'!$C$2:$C$824-$B27)&lt;60)))))</f>
        <v/>
      </c>
      <c r="I27" s="5">
        <f>IF($A27="","",IF(H27="-","-",IF($D27=0,0,H27/$D27)))</f>
        <v/>
      </c>
      <c r="J27" s="3">
        <f>IF($A27="","",IF($B27="","",IF(TODAY()&lt;$B27+90,"-",SUMPRODUCT(('Picked Students (raw)'!$B$2:$B$824=$A27)*('Picked Students (raw)'!$E$2:$E$824="Career Gap/ Non Working")*('Picked Students (raw)'!$C$2:$C$824&lt;&gt;"")*(('Picked Students (raw)'!$C$2:$C$824-$B27)&lt;90)))))</f>
        <v/>
      </c>
      <c r="K27" s="5">
        <f>IF($A27="","",IF(J27="-","-",IF($D27=0,0,J27/$D27)))</f>
        <v/>
      </c>
      <c r="L27" s="3">
        <f>IF($A27="","",IF($B27="","",IF(TODAY()&lt;$B27+120,"-",SUMPRODUCT(('Picked Students (raw)'!$B$2:$B$824=$A27)*('Picked Students (raw)'!$E$2:$E$824="Career Gap/ Non Working")*('Picked Students (raw)'!$C$2:$C$824&lt;&gt;"")*(('Picked Students (raw)'!$C$2:$C$824-$B27)&lt;120)))))</f>
        <v/>
      </c>
      <c r="M27" s="5">
        <f>IF($A27="","",IF(L27="-","-",IF($D27=0,0,L27/$D27)))</f>
        <v/>
      </c>
      <c r="N27" s="3">
        <f>IF($A27="","",IF($B27="","",IF(TODAY()&lt;$B27+150,"-",SUMPRODUCT(('Picked Students (raw)'!$B$2:$B$824=$A27)*('Picked Students (raw)'!$E$2:$E$824="Career Gap/ Non Working")*('Picked Students (raw)'!$C$2:$C$824&lt;&gt;"")*(('Picked Students (raw)'!$C$2:$C$824-$B27)&lt;150)))))</f>
        <v/>
      </c>
      <c r="O27" s="5">
        <f>IF($A27="","",IF(N27="-","-",IF($D27=0,0,N27/$D27)))</f>
        <v/>
      </c>
      <c r="P27" s="3">
        <f>IF($A27="","",IF($B27="","",IF(TODAY()&lt;$B27+180,"-",SUMPRODUCT(('Picked Students (raw)'!$B$2:$B$824=$A27)*('Picked Students (raw)'!$E$2:$E$824="Career Gap/ Non Working")*('Picked Students (raw)'!$C$2:$C$824&lt;&gt;"")*(('Picked Students (raw)'!$C$2:$C$824-$B27)&lt;180)))))</f>
        <v/>
      </c>
      <c r="Q27" s="5">
        <f>IF($A27="","",IF(P27="-","-",IF($D27=0,0,P27/$D27)))</f>
        <v/>
      </c>
      <c r="R27" s="3">
        <f>IF($A27="","",IF($B27="","",IF(TODAY()&lt;$B27+210,"-",SUMPRODUCT(('Picked Students (raw)'!$B$2:$B$824=$A27)*('Picked Students (raw)'!$E$2:$E$824="Career Gap/ Non Working")*('Picked Students (raw)'!$C$2:$C$824&lt;&gt;"")*(('Picked Students (raw)'!$C$2:$C$824-$B27)&lt;210)))))</f>
        <v/>
      </c>
      <c r="S27" s="5">
        <f>IF($A27="","",IF(R27="-","-",IF($D27=0,0,R27/$D27)))</f>
        <v/>
      </c>
      <c r="T27" s="3">
        <f>IF($A27="","",IF($B27="","",IF(TODAY()&lt;$B27+240,"-",SUMPRODUCT(('Picked Students (raw)'!$B$2:$B$824=$A27)*('Picked Students (raw)'!$E$2:$E$824="Career Gap/ Non Working")*('Picked Students (raw)'!$C$2:$C$824&lt;&gt;"")*(('Picked Students (raw)'!$C$2:$C$824-$B27)&lt;240)))))</f>
        <v/>
      </c>
      <c r="U27" s="5">
        <f>IF($A27="","",IF(T27="-","-",IF($D27=0,0,T27/$D27)))</f>
        <v/>
      </c>
      <c r="V27" s="3">
        <f>IF($A27="","",IF($B27="","",IF(TODAY()&lt;$B27+270,"-",SUMPRODUCT(('Picked Students (raw)'!$B$2:$B$824=$A27)*('Picked Students (raw)'!$E$2:$E$824="Career Gap/ Non Working")*('Picked Students (raw)'!$C$2:$C$824&lt;&gt;"")*(('Picked Students (raw)'!$C$2:$C$824-$B27)&lt;270)))))</f>
        <v/>
      </c>
      <c r="W27" s="5">
        <f>IF($A27="","",IF(V27="-","-",IF($D27=0,0,V27/$D27)))</f>
        <v/>
      </c>
      <c r="X27" s="3">
        <f>IF($A27="","",IF($B27="","",IF(TODAY()&lt;$B27+300,"-",SUMPRODUCT(('Picked Students (raw)'!$B$2:$B$824=$A27)*('Picked Students (raw)'!$E$2:$E$824="Career Gap/ Non Working")*('Picked Students (raw)'!$C$2:$C$824&lt;&gt;"")*(('Picked Students (raw)'!$C$2:$C$824-$B27)&lt;300)))))</f>
        <v/>
      </c>
      <c r="Y27" s="5">
        <f>IF($A27="","",IF(X27="-","-",IF($D27=0,0,X27/$D27)))</f>
        <v/>
      </c>
      <c r="Z27" s="3">
        <f>IF($A27="","",IF($B27="","",IF(TODAY()&lt;$B27+330,"-",SUMPRODUCT(('Picked Students (raw)'!$B$2:$B$824=$A27)*('Picked Students (raw)'!$E$2:$E$824="Career Gap/ Non Working")*('Picked Students (raw)'!$C$2:$C$824&lt;&gt;"")*(('Picked Students (raw)'!$C$2:$C$824-$B27)&lt;330)))))</f>
        <v/>
      </c>
      <c r="AA27" s="5">
        <f>IF($A27="","",IF(Z27="-","-",IF($D27=0,0,Z27/$D27)))</f>
        <v/>
      </c>
      <c r="AB27" s="3">
        <f>IF($A27="","",IF($B27="","",IF(TODAY()&lt;$B27+360,"-",SUMPRODUCT(('Picked Students (raw)'!$B$2:$B$824=$A27)*('Picked Students (raw)'!$E$2:$E$824="Career Gap/ Non Working")*('Picked Students (raw)'!$C$2:$C$824&lt;&gt;"")*(('Picked Students (raw)'!$C$2:$C$824-$B27)&lt;360)))))</f>
        <v/>
      </c>
      <c r="AC27" s="5">
        <f>IF($A27="","",IF(AB27="-","-",IF($D27=0,0,AB27/$D27)))</f>
        <v/>
      </c>
      <c r="AD27" s="3">
        <f>IF($A27="","",IF($B27="","",IF(TODAY()&lt;$B27+390,"-",SUMPRODUCT(('Picked Students (raw)'!$B$2:$B$824=$A27)*('Picked Students (raw)'!$E$2:$E$824="Career Gap/ Non Working")*('Picked Students (raw)'!$C$2:$C$824&lt;&gt;"")*(('Picked Students (raw)'!$C$2:$C$824-$B27)&lt;390)))))</f>
        <v/>
      </c>
      <c r="AE27" s="5">
        <f>IF($A27="","",IF(AD27="-","-",IF($D27=0,0,AD27/$D27)))</f>
        <v/>
      </c>
      <c r="AF27" s="3">
        <f>IF($A27="","",IF($B27="","",IF(TODAY()&lt;$B27+420,"-",SUMPRODUCT(('Picked Students (raw)'!$B$2:$B$824=$A27)*('Picked Students (raw)'!$E$2:$E$824="Career Gap/ Non Working")*('Picked Students (raw)'!$C$2:$C$824&lt;&gt;"")*(('Picked Students (raw)'!$C$2:$C$824-$B27)&lt;420)))))</f>
        <v/>
      </c>
      <c r="AG27" s="5">
        <f>IF($A27="","",IF(AF27="-","-",IF($D27=0,0,AF27/$D27)))</f>
        <v/>
      </c>
      <c r="AH27" s="3">
        <f>IF($A27="","",IF($B27="","",IF(TODAY()&lt;$B27+450,"-",SUMPRODUCT(('Picked Students (raw)'!$B$2:$B$824=$A27)*('Picked Students (raw)'!$E$2:$E$824="Career Gap/ Non Working")*('Picked Students (raw)'!$C$2:$C$824&lt;&gt;"")*(('Picked Students (raw)'!$C$2:$C$824-$B27)&lt;450)))))</f>
        <v/>
      </c>
      <c r="AI27" s="5">
        <f>IF($A27="","",IF(AH27="-","-",IF($D27=0,0,AH27/$D27)))</f>
        <v/>
      </c>
      <c r="AJ27" s="3">
        <f>IF($A27="","",IF($B27="","",IF(TODAY()&lt;$B27+480,"-",SUMPRODUCT(('Picked Students (raw)'!$B$2:$B$824=$A27)*('Picked Students (raw)'!$E$2:$E$824="Career Gap/ Non Working")*('Picked Students (raw)'!$C$2:$C$824&lt;&gt;"")*(('Picked Students (raw)'!$C$2:$C$824-$B27)&lt;480)))))</f>
        <v/>
      </c>
      <c r="AK27" s="5">
        <f>IF($A27="","",IF(AJ27="-","-",IF($D27=0,0,AJ27/$D27)))</f>
        <v/>
      </c>
      <c r="AL27" s="3">
        <f>IF($A27="","",IF($B27="","",IF(TODAY()&lt;$B27+510,"-",SUMPRODUCT(('Picked Students (raw)'!$B$2:$B$824=$A27)*('Picked Students (raw)'!$E$2:$E$824="Career Gap/ Non Working")*('Picked Students (raw)'!$C$2:$C$824&lt;&gt;"")*(('Picked Students (raw)'!$C$2:$C$824-$B27)&lt;510)))))</f>
        <v/>
      </c>
      <c r="AM27" s="5">
        <f>IF($A27="","",IF(AL27="-","-",IF($D27=0,0,AL27/$D27)))</f>
        <v/>
      </c>
      <c r="AN27" s="3">
        <f>IF($A27="","",IF($B27="","",IF(TODAY()&lt;$B27+540,"-",SUMPRODUCT(('Picked Students (raw)'!$B$2:$B$824=$A27)*('Picked Students (raw)'!$E$2:$E$824="Career Gap/ Non Working")*('Picked Students (raw)'!$C$2:$C$824&lt;&gt;"")*(('Picked Students (raw)'!$C$2:$C$824-$B27)&lt;540)))))</f>
        <v/>
      </c>
      <c r="AO27" s="5">
        <f>IF($A27="","",IF(AN27="-","-",IF($D27=0,0,AN27/$D27)))</f>
        <v/>
      </c>
      <c r="AP27" s="3">
        <f>IF($A27="","",IF(AN27="-","-",$E27-AN27))</f>
        <v/>
      </c>
    </row>
    <row r="28">
      <c r="A28" s="3" t="inlineStr">
        <is>
          <t>Professional Certificate Course In Data Science - March 2025</t>
        </is>
      </c>
      <c r="B28" s="4">
        <f>IF($A28="","",IFERROR(INDEX('Batch Enrollment (Metabase)'!$D$2:$D$47,MATCH($A28,'Batch Enrollment (Metabase)'!$A$2:$A$47,0)),""))</f>
        <v/>
      </c>
      <c r="C28" s="3">
        <f>IF($A28="","",IFERROR(INDEX('Batch Enrollment (Metabase)'!$E$2:$E$47,MATCH($A28,'Batch Enrollment (Metabase)'!$A$2:$A$47,0)),""))</f>
        <v/>
      </c>
      <c r="D28" s="3">
        <f>IF($A28="","",IFERROR(INDEX('Batch Enrollment (Metabase)'!$F$2:$F$47,MATCH($A28,'Batch Enrollment (Metabase)'!$A$2:$A$47,0)),""))</f>
        <v/>
      </c>
      <c r="E28" s="3">
        <f>IF($A28="","",COUNTIFS('Picked Students (raw)'!$B$2:$B$824,$A28,'Picked Students (raw)'!$E$2:$E$824,"Career Gap/ Non Working"))</f>
        <v/>
      </c>
      <c r="F28" s="3">
        <f>IF($A28="","",IF($B28="","",IF(TODAY()&lt;$B28+30,"-",SUMPRODUCT(('Picked Students (raw)'!$B$2:$B$824=$A28)*('Picked Students (raw)'!$E$2:$E$824="Career Gap/ Non Working")*('Picked Students (raw)'!$C$2:$C$824&lt;&gt;"")*(('Picked Students (raw)'!$C$2:$C$824-$B28)&lt;30)))))</f>
        <v/>
      </c>
      <c r="G28" s="5">
        <f>IF($A28="","",IF(F28="-","-",IF($D28=0,0,F28/$D28)))</f>
        <v/>
      </c>
      <c r="H28" s="3">
        <f>IF($A28="","",IF($B28="","",IF(TODAY()&lt;$B28+60,"-",SUMPRODUCT(('Picked Students (raw)'!$B$2:$B$824=$A28)*('Picked Students (raw)'!$E$2:$E$824="Career Gap/ Non Working")*('Picked Students (raw)'!$C$2:$C$824&lt;&gt;"")*(('Picked Students (raw)'!$C$2:$C$824-$B28)&lt;60)))))</f>
        <v/>
      </c>
      <c r="I28" s="5">
        <f>IF($A28="","",IF(H28="-","-",IF($D28=0,0,H28/$D28)))</f>
        <v/>
      </c>
      <c r="J28" s="3">
        <f>IF($A28="","",IF($B28="","",IF(TODAY()&lt;$B28+90,"-",SUMPRODUCT(('Picked Students (raw)'!$B$2:$B$824=$A28)*('Picked Students (raw)'!$E$2:$E$824="Career Gap/ Non Working")*('Picked Students (raw)'!$C$2:$C$824&lt;&gt;"")*(('Picked Students (raw)'!$C$2:$C$824-$B28)&lt;90)))))</f>
        <v/>
      </c>
      <c r="K28" s="5">
        <f>IF($A28="","",IF(J28="-","-",IF($D28=0,0,J28/$D28)))</f>
        <v/>
      </c>
      <c r="L28" s="3">
        <f>IF($A28="","",IF($B28="","",IF(TODAY()&lt;$B28+120,"-",SUMPRODUCT(('Picked Students (raw)'!$B$2:$B$824=$A28)*('Picked Students (raw)'!$E$2:$E$824="Career Gap/ Non Working")*('Picked Students (raw)'!$C$2:$C$824&lt;&gt;"")*(('Picked Students (raw)'!$C$2:$C$824-$B28)&lt;120)))))</f>
        <v/>
      </c>
      <c r="M28" s="5">
        <f>IF($A28="","",IF(L28="-","-",IF($D28=0,0,L28/$D28)))</f>
        <v/>
      </c>
      <c r="N28" s="3">
        <f>IF($A28="","",IF($B28="","",IF(TODAY()&lt;$B28+150,"-",SUMPRODUCT(('Picked Students (raw)'!$B$2:$B$824=$A28)*('Picked Students (raw)'!$E$2:$E$824="Career Gap/ Non Working")*('Picked Students (raw)'!$C$2:$C$824&lt;&gt;"")*(('Picked Students (raw)'!$C$2:$C$824-$B28)&lt;150)))))</f>
        <v/>
      </c>
      <c r="O28" s="5">
        <f>IF($A28="","",IF(N28="-","-",IF($D28=0,0,N28/$D28)))</f>
        <v/>
      </c>
      <c r="P28" s="3">
        <f>IF($A28="","",IF($B28="","",IF(TODAY()&lt;$B28+180,"-",SUMPRODUCT(('Picked Students (raw)'!$B$2:$B$824=$A28)*('Picked Students (raw)'!$E$2:$E$824="Career Gap/ Non Working")*('Picked Students (raw)'!$C$2:$C$824&lt;&gt;"")*(('Picked Students (raw)'!$C$2:$C$824-$B28)&lt;180)))))</f>
        <v/>
      </c>
      <c r="Q28" s="5">
        <f>IF($A28="","",IF(P28="-","-",IF($D28=0,0,P28/$D28)))</f>
        <v/>
      </c>
      <c r="R28" s="3">
        <f>IF($A28="","",IF($B28="","",IF(TODAY()&lt;$B28+210,"-",SUMPRODUCT(('Picked Students (raw)'!$B$2:$B$824=$A28)*('Picked Students (raw)'!$E$2:$E$824="Career Gap/ Non Working")*('Picked Students (raw)'!$C$2:$C$824&lt;&gt;"")*(('Picked Students (raw)'!$C$2:$C$824-$B28)&lt;210)))))</f>
        <v/>
      </c>
      <c r="S28" s="5">
        <f>IF($A28="","",IF(R28="-","-",IF($D28=0,0,R28/$D28)))</f>
        <v/>
      </c>
      <c r="T28" s="3">
        <f>IF($A28="","",IF($B28="","",IF(TODAY()&lt;$B28+240,"-",SUMPRODUCT(('Picked Students (raw)'!$B$2:$B$824=$A28)*('Picked Students (raw)'!$E$2:$E$824="Career Gap/ Non Working")*('Picked Students (raw)'!$C$2:$C$824&lt;&gt;"")*(('Picked Students (raw)'!$C$2:$C$824-$B28)&lt;240)))))</f>
        <v/>
      </c>
      <c r="U28" s="5">
        <f>IF($A28="","",IF(T28="-","-",IF($D28=0,0,T28/$D28)))</f>
        <v/>
      </c>
      <c r="V28" s="3">
        <f>IF($A28="","",IF($B28="","",IF(TODAY()&lt;$B28+270,"-",SUMPRODUCT(('Picked Students (raw)'!$B$2:$B$824=$A28)*('Picked Students (raw)'!$E$2:$E$824="Career Gap/ Non Working")*('Picked Students (raw)'!$C$2:$C$824&lt;&gt;"")*(('Picked Students (raw)'!$C$2:$C$824-$B28)&lt;270)))))</f>
        <v/>
      </c>
      <c r="W28" s="5">
        <f>IF($A28="","",IF(V28="-","-",IF($D28=0,0,V28/$D28)))</f>
        <v/>
      </c>
      <c r="X28" s="3">
        <f>IF($A28="","",IF($B28="","",IF(TODAY()&lt;$B28+300,"-",SUMPRODUCT(('Picked Students (raw)'!$B$2:$B$824=$A28)*('Picked Students (raw)'!$E$2:$E$824="Career Gap/ Non Working")*('Picked Students (raw)'!$C$2:$C$824&lt;&gt;"")*(('Picked Students (raw)'!$C$2:$C$824-$B28)&lt;300)))))</f>
        <v/>
      </c>
      <c r="Y28" s="5">
        <f>IF($A28="","",IF(X28="-","-",IF($D28=0,0,X28/$D28)))</f>
        <v/>
      </c>
      <c r="Z28" s="3">
        <f>IF($A28="","",IF($B28="","",IF(TODAY()&lt;$B28+330,"-",SUMPRODUCT(('Picked Students (raw)'!$B$2:$B$824=$A28)*('Picked Students (raw)'!$E$2:$E$824="Career Gap/ Non Working")*('Picked Students (raw)'!$C$2:$C$824&lt;&gt;"")*(('Picked Students (raw)'!$C$2:$C$824-$B28)&lt;330)))))</f>
        <v/>
      </c>
      <c r="AA28" s="5">
        <f>IF($A28="","",IF(Z28="-","-",IF($D28=0,0,Z28/$D28)))</f>
        <v/>
      </c>
      <c r="AB28" s="3">
        <f>IF($A28="","",IF($B28="","",IF(TODAY()&lt;$B28+360,"-",SUMPRODUCT(('Picked Students (raw)'!$B$2:$B$824=$A28)*('Picked Students (raw)'!$E$2:$E$824="Career Gap/ Non Working")*('Picked Students (raw)'!$C$2:$C$824&lt;&gt;"")*(('Picked Students (raw)'!$C$2:$C$824-$B28)&lt;360)))))</f>
        <v/>
      </c>
      <c r="AC28" s="5">
        <f>IF($A28="","",IF(AB28="-","-",IF($D28=0,0,AB28/$D28)))</f>
        <v/>
      </c>
      <c r="AD28" s="3">
        <f>IF($A28="","",IF($B28="","",IF(TODAY()&lt;$B28+390,"-",SUMPRODUCT(('Picked Students (raw)'!$B$2:$B$824=$A28)*('Picked Students (raw)'!$E$2:$E$824="Career Gap/ Non Working")*('Picked Students (raw)'!$C$2:$C$824&lt;&gt;"")*(('Picked Students (raw)'!$C$2:$C$824-$B28)&lt;390)))))</f>
        <v/>
      </c>
      <c r="AE28" s="5">
        <f>IF($A28="","",IF(AD28="-","-",IF($D28=0,0,AD28/$D28)))</f>
        <v/>
      </c>
      <c r="AF28" s="3">
        <f>IF($A28="","",IF($B28="","",IF(TODAY()&lt;$B28+420,"-",SUMPRODUCT(('Picked Students (raw)'!$B$2:$B$824=$A28)*('Picked Students (raw)'!$E$2:$E$824="Career Gap/ Non Working")*('Picked Students (raw)'!$C$2:$C$824&lt;&gt;"")*(('Picked Students (raw)'!$C$2:$C$824-$B28)&lt;420)))))</f>
        <v/>
      </c>
      <c r="AG28" s="5">
        <f>IF($A28="","",IF(AF28="-","-",IF($D28=0,0,AF28/$D28)))</f>
        <v/>
      </c>
      <c r="AH28" s="3">
        <f>IF($A28="","",IF($B28="","",IF(TODAY()&lt;$B28+450,"-",SUMPRODUCT(('Picked Students (raw)'!$B$2:$B$824=$A28)*('Picked Students (raw)'!$E$2:$E$824="Career Gap/ Non Working")*('Picked Students (raw)'!$C$2:$C$824&lt;&gt;"")*(('Picked Students (raw)'!$C$2:$C$824-$B28)&lt;450)))))</f>
        <v/>
      </c>
      <c r="AI28" s="5">
        <f>IF($A28="","",IF(AH28="-","-",IF($D28=0,0,AH28/$D28)))</f>
        <v/>
      </c>
      <c r="AJ28" s="3">
        <f>IF($A28="","",IF($B28="","",IF(TODAY()&lt;$B28+480,"-",SUMPRODUCT(('Picked Students (raw)'!$B$2:$B$824=$A28)*('Picked Students (raw)'!$E$2:$E$824="Career Gap/ Non Working")*('Picked Students (raw)'!$C$2:$C$824&lt;&gt;"")*(('Picked Students (raw)'!$C$2:$C$824-$B28)&lt;480)))))</f>
        <v/>
      </c>
      <c r="AK28" s="5">
        <f>IF($A28="","",IF(AJ28="-","-",IF($D28=0,0,AJ28/$D28)))</f>
        <v/>
      </c>
      <c r="AL28" s="3">
        <f>IF($A28="","",IF($B28="","",IF(TODAY()&lt;$B28+510,"-",SUMPRODUCT(('Picked Students (raw)'!$B$2:$B$824=$A28)*('Picked Students (raw)'!$E$2:$E$824="Career Gap/ Non Working")*('Picked Students (raw)'!$C$2:$C$824&lt;&gt;"")*(('Picked Students (raw)'!$C$2:$C$824-$B28)&lt;510)))))</f>
        <v/>
      </c>
      <c r="AM28" s="5">
        <f>IF($A28="","",IF(AL28="-","-",IF($D28=0,0,AL28/$D28)))</f>
        <v/>
      </c>
      <c r="AN28" s="3">
        <f>IF($A28="","",IF($B28="","",IF(TODAY()&lt;$B28+540,"-",SUMPRODUCT(('Picked Students (raw)'!$B$2:$B$824=$A28)*('Picked Students (raw)'!$E$2:$E$824="Career Gap/ Non Working")*('Picked Students (raw)'!$C$2:$C$824&lt;&gt;"")*(('Picked Students (raw)'!$C$2:$C$824-$B28)&lt;540)))))</f>
        <v/>
      </c>
      <c r="AO28" s="5">
        <f>IF($A28="","",IF(AN28="-","-",IF($D28=0,0,AN28/$D28)))</f>
        <v/>
      </c>
      <c r="AP28" s="3">
        <f>IF($A28="","",IF(AN28="-","-",$E28-AN28))</f>
        <v/>
      </c>
    </row>
    <row r="29">
      <c r="A29" s="3" t="inlineStr">
        <is>
          <t>Professional Certificate Course In Data Science - April 2025</t>
        </is>
      </c>
      <c r="B29" s="4">
        <f>IF($A29="","",IFERROR(INDEX('Batch Enrollment (Metabase)'!$D$2:$D$47,MATCH($A29,'Batch Enrollment (Metabase)'!$A$2:$A$47,0)),""))</f>
        <v/>
      </c>
      <c r="C29" s="3">
        <f>IF($A29="","",IFERROR(INDEX('Batch Enrollment (Metabase)'!$E$2:$E$47,MATCH($A29,'Batch Enrollment (Metabase)'!$A$2:$A$47,0)),""))</f>
        <v/>
      </c>
      <c r="D29" s="3">
        <f>IF($A29="","",IFERROR(INDEX('Batch Enrollment (Metabase)'!$F$2:$F$47,MATCH($A29,'Batch Enrollment (Metabase)'!$A$2:$A$47,0)),""))</f>
        <v/>
      </c>
      <c r="E29" s="3">
        <f>IF($A29="","",COUNTIFS('Picked Students (raw)'!$B$2:$B$824,$A29,'Picked Students (raw)'!$E$2:$E$824,"Career Gap/ Non Working"))</f>
        <v/>
      </c>
      <c r="F29" s="3">
        <f>IF($A29="","",IF($B29="","",IF(TODAY()&lt;$B29+30,"-",SUMPRODUCT(('Picked Students (raw)'!$B$2:$B$824=$A29)*('Picked Students (raw)'!$E$2:$E$824="Career Gap/ Non Working")*('Picked Students (raw)'!$C$2:$C$824&lt;&gt;"")*(('Picked Students (raw)'!$C$2:$C$824-$B29)&lt;30)))))</f>
        <v/>
      </c>
      <c r="G29" s="5">
        <f>IF($A29="","",IF(F29="-","-",IF($D29=0,0,F29/$D29)))</f>
        <v/>
      </c>
      <c r="H29" s="3">
        <f>IF($A29="","",IF($B29="","",IF(TODAY()&lt;$B29+60,"-",SUMPRODUCT(('Picked Students (raw)'!$B$2:$B$824=$A29)*('Picked Students (raw)'!$E$2:$E$824="Career Gap/ Non Working")*('Picked Students (raw)'!$C$2:$C$824&lt;&gt;"")*(('Picked Students (raw)'!$C$2:$C$824-$B29)&lt;60)))))</f>
        <v/>
      </c>
      <c r="I29" s="5">
        <f>IF($A29="","",IF(H29="-","-",IF($D29=0,0,H29/$D29)))</f>
        <v/>
      </c>
      <c r="J29" s="3">
        <f>IF($A29="","",IF($B29="","",IF(TODAY()&lt;$B29+90,"-",SUMPRODUCT(('Picked Students (raw)'!$B$2:$B$824=$A29)*('Picked Students (raw)'!$E$2:$E$824="Career Gap/ Non Working")*('Picked Students (raw)'!$C$2:$C$824&lt;&gt;"")*(('Picked Students (raw)'!$C$2:$C$824-$B29)&lt;90)))))</f>
        <v/>
      </c>
      <c r="K29" s="5">
        <f>IF($A29="","",IF(J29="-","-",IF($D29=0,0,J29/$D29)))</f>
        <v/>
      </c>
      <c r="L29" s="3">
        <f>IF($A29="","",IF($B29="","",IF(TODAY()&lt;$B29+120,"-",SUMPRODUCT(('Picked Students (raw)'!$B$2:$B$824=$A29)*('Picked Students (raw)'!$E$2:$E$824="Career Gap/ Non Working")*('Picked Students (raw)'!$C$2:$C$824&lt;&gt;"")*(('Picked Students (raw)'!$C$2:$C$824-$B29)&lt;120)))))</f>
        <v/>
      </c>
      <c r="M29" s="5">
        <f>IF($A29="","",IF(L29="-","-",IF($D29=0,0,L29/$D29)))</f>
        <v/>
      </c>
      <c r="N29" s="3">
        <f>IF($A29="","",IF($B29="","",IF(TODAY()&lt;$B29+150,"-",SUMPRODUCT(('Picked Students (raw)'!$B$2:$B$824=$A29)*('Picked Students (raw)'!$E$2:$E$824="Career Gap/ Non Working")*('Picked Students (raw)'!$C$2:$C$824&lt;&gt;"")*(('Picked Students (raw)'!$C$2:$C$824-$B29)&lt;150)))))</f>
        <v/>
      </c>
      <c r="O29" s="5">
        <f>IF($A29="","",IF(N29="-","-",IF($D29=0,0,N29/$D29)))</f>
        <v/>
      </c>
      <c r="P29" s="3">
        <f>IF($A29="","",IF($B29="","",IF(TODAY()&lt;$B29+180,"-",SUMPRODUCT(('Picked Students (raw)'!$B$2:$B$824=$A29)*('Picked Students (raw)'!$E$2:$E$824="Career Gap/ Non Working")*('Picked Students (raw)'!$C$2:$C$824&lt;&gt;"")*(('Picked Students (raw)'!$C$2:$C$824-$B29)&lt;180)))))</f>
        <v/>
      </c>
      <c r="Q29" s="5">
        <f>IF($A29="","",IF(P29="-","-",IF($D29=0,0,P29/$D29)))</f>
        <v/>
      </c>
      <c r="R29" s="3">
        <f>IF($A29="","",IF($B29="","",IF(TODAY()&lt;$B29+210,"-",SUMPRODUCT(('Picked Students (raw)'!$B$2:$B$824=$A29)*('Picked Students (raw)'!$E$2:$E$824="Career Gap/ Non Working")*('Picked Students (raw)'!$C$2:$C$824&lt;&gt;"")*(('Picked Students (raw)'!$C$2:$C$824-$B29)&lt;210)))))</f>
        <v/>
      </c>
      <c r="S29" s="5">
        <f>IF($A29="","",IF(R29="-","-",IF($D29=0,0,R29/$D29)))</f>
        <v/>
      </c>
      <c r="T29" s="3">
        <f>IF($A29="","",IF($B29="","",IF(TODAY()&lt;$B29+240,"-",SUMPRODUCT(('Picked Students (raw)'!$B$2:$B$824=$A29)*('Picked Students (raw)'!$E$2:$E$824="Career Gap/ Non Working")*('Picked Students (raw)'!$C$2:$C$824&lt;&gt;"")*(('Picked Students (raw)'!$C$2:$C$824-$B29)&lt;240)))))</f>
        <v/>
      </c>
      <c r="U29" s="5">
        <f>IF($A29="","",IF(T29="-","-",IF($D29=0,0,T29/$D29)))</f>
        <v/>
      </c>
      <c r="V29" s="3">
        <f>IF($A29="","",IF($B29="","",IF(TODAY()&lt;$B29+270,"-",SUMPRODUCT(('Picked Students (raw)'!$B$2:$B$824=$A29)*('Picked Students (raw)'!$E$2:$E$824="Career Gap/ Non Working")*('Picked Students (raw)'!$C$2:$C$824&lt;&gt;"")*(('Picked Students (raw)'!$C$2:$C$824-$B29)&lt;270)))))</f>
        <v/>
      </c>
      <c r="W29" s="5">
        <f>IF($A29="","",IF(V29="-","-",IF($D29=0,0,V29/$D29)))</f>
        <v/>
      </c>
      <c r="X29" s="3">
        <f>IF($A29="","",IF($B29="","",IF(TODAY()&lt;$B29+300,"-",SUMPRODUCT(('Picked Students (raw)'!$B$2:$B$824=$A29)*('Picked Students (raw)'!$E$2:$E$824="Career Gap/ Non Working")*('Picked Students (raw)'!$C$2:$C$824&lt;&gt;"")*(('Picked Students (raw)'!$C$2:$C$824-$B29)&lt;300)))))</f>
        <v/>
      </c>
      <c r="Y29" s="5">
        <f>IF($A29="","",IF(X29="-","-",IF($D29=0,0,X29/$D29)))</f>
        <v/>
      </c>
      <c r="Z29" s="3">
        <f>IF($A29="","",IF($B29="","",IF(TODAY()&lt;$B29+330,"-",SUMPRODUCT(('Picked Students (raw)'!$B$2:$B$824=$A29)*('Picked Students (raw)'!$E$2:$E$824="Career Gap/ Non Working")*('Picked Students (raw)'!$C$2:$C$824&lt;&gt;"")*(('Picked Students (raw)'!$C$2:$C$824-$B29)&lt;330)))))</f>
        <v/>
      </c>
      <c r="AA29" s="5">
        <f>IF($A29="","",IF(Z29="-","-",IF($D29=0,0,Z29/$D29)))</f>
        <v/>
      </c>
      <c r="AB29" s="3">
        <f>IF($A29="","",IF($B29="","",IF(TODAY()&lt;$B29+360,"-",SUMPRODUCT(('Picked Students (raw)'!$B$2:$B$824=$A29)*('Picked Students (raw)'!$E$2:$E$824="Career Gap/ Non Working")*('Picked Students (raw)'!$C$2:$C$824&lt;&gt;"")*(('Picked Students (raw)'!$C$2:$C$824-$B29)&lt;360)))))</f>
        <v/>
      </c>
      <c r="AC29" s="5">
        <f>IF($A29="","",IF(AB29="-","-",IF($D29=0,0,AB29/$D29)))</f>
        <v/>
      </c>
      <c r="AD29" s="3">
        <f>IF($A29="","",IF($B29="","",IF(TODAY()&lt;$B29+390,"-",SUMPRODUCT(('Picked Students (raw)'!$B$2:$B$824=$A29)*('Picked Students (raw)'!$E$2:$E$824="Career Gap/ Non Working")*('Picked Students (raw)'!$C$2:$C$824&lt;&gt;"")*(('Picked Students (raw)'!$C$2:$C$824-$B29)&lt;390)))))</f>
        <v/>
      </c>
      <c r="AE29" s="5">
        <f>IF($A29="","",IF(AD29="-","-",IF($D29=0,0,AD29/$D29)))</f>
        <v/>
      </c>
      <c r="AF29" s="3">
        <f>IF($A29="","",IF($B29="","",IF(TODAY()&lt;$B29+420,"-",SUMPRODUCT(('Picked Students (raw)'!$B$2:$B$824=$A29)*('Picked Students (raw)'!$E$2:$E$824="Career Gap/ Non Working")*('Picked Students (raw)'!$C$2:$C$824&lt;&gt;"")*(('Picked Students (raw)'!$C$2:$C$824-$B29)&lt;420)))))</f>
        <v/>
      </c>
      <c r="AG29" s="5">
        <f>IF($A29="","",IF(AF29="-","-",IF($D29=0,0,AF29/$D29)))</f>
        <v/>
      </c>
      <c r="AH29" s="3">
        <f>IF($A29="","",IF($B29="","",IF(TODAY()&lt;$B29+450,"-",SUMPRODUCT(('Picked Students (raw)'!$B$2:$B$824=$A29)*('Picked Students (raw)'!$E$2:$E$824="Career Gap/ Non Working")*('Picked Students (raw)'!$C$2:$C$824&lt;&gt;"")*(('Picked Students (raw)'!$C$2:$C$824-$B29)&lt;450)))))</f>
        <v/>
      </c>
      <c r="AI29" s="5">
        <f>IF($A29="","",IF(AH29="-","-",IF($D29=0,0,AH29/$D29)))</f>
        <v/>
      </c>
      <c r="AJ29" s="3">
        <f>IF($A29="","",IF($B29="","",IF(TODAY()&lt;$B29+480,"-",SUMPRODUCT(('Picked Students (raw)'!$B$2:$B$824=$A29)*('Picked Students (raw)'!$E$2:$E$824="Career Gap/ Non Working")*('Picked Students (raw)'!$C$2:$C$824&lt;&gt;"")*(('Picked Students (raw)'!$C$2:$C$824-$B29)&lt;480)))))</f>
        <v/>
      </c>
      <c r="AK29" s="5">
        <f>IF($A29="","",IF(AJ29="-","-",IF($D29=0,0,AJ29/$D29)))</f>
        <v/>
      </c>
      <c r="AL29" s="3">
        <f>IF($A29="","",IF($B29="","",IF(TODAY()&lt;$B29+510,"-",SUMPRODUCT(('Picked Students (raw)'!$B$2:$B$824=$A29)*('Picked Students (raw)'!$E$2:$E$824="Career Gap/ Non Working")*('Picked Students (raw)'!$C$2:$C$824&lt;&gt;"")*(('Picked Students (raw)'!$C$2:$C$824-$B29)&lt;510)))))</f>
        <v/>
      </c>
      <c r="AM29" s="5">
        <f>IF($A29="","",IF(AL29="-","-",IF($D29=0,0,AL29/$D29)))</f>
        <v/>
      </c>
      <c r="AN29" s="3">
        <f>IF($A29="","",IF($B29="","",IF(TODAY()&lt;$B29+540,"-",SUMPRODUCT(('Picked Students (raw)'!$B$2:$B$824=$A29)*('Picked Students (raw)'!$E$2:$E$824="Career Gap/ Non Working")*('Picked Students (raw)'!$C$2:$C$824&lt;&gt;"")*(('Picked Students (raw)'!$C$2:$C$824-$B29)&lt;540)))))</f>
        <v/>
      </c>
      <c r="AO29" s="5">
        <f>IF($A29="","",IF(AN29="-","-",IF($D29=0,0,AN29/$D29)))</f>
        <v/>
      </c>
      <c r="AP29" s="3">
        <f>IF($A29="","",IF(AN29="-","-",$E29-AN29))</f>
        <v/>
      </c>
    </row>
    <row r="30">
      <c r="A30" s="3" t="inlineStr">
        <is>
          <t>Professional Certificate Course In Data Science - May 2025</t>
        </is>
      </c>
      <c r="B30" s="4">
        <f>IF($A30="","",IFERROR(INDEX('Batch Enrollment (Metabase)'!$D$2:$D$47,MATCH($A30,'Batch Enrollment (Metabase)'!$A$2:$A$47,0)),""))</f>
        <v/>
      </c>
      <c r="C30" s="3">
        <f>IF($A30="","",IFERROR(INDEX('Batch Enrollment (Metabase)'!$E$2:$E$47,MATCH($A30,'Batch Enrollment (Metabase)'!$A$2:$A$47,0)),""))</f>
        <v/>
      </c>
      <c r="D30" s="3">
        <f>IF($A30="","",IFERROR(INDEX('Batch Enrollment (Metabase)'!$F$2:$F$47,MATCH($A30,'Batch Enrollment (Metabase)'!$A$2:$A$47,0)),""))</f>
        <v/>
      </c>
      <c r="E30" s="3">
        <f>IF($A30="","",COUNTIFS('Picked Students (raw)'!$B$2:$B$824,$A30,'Picked Students (raw)'!$E$2:$E$824,"Career Gap/ Non Working"))</f>
        <v/>
      </c>
      <c r="F30" s="3">
        <f>IF($A30="","",IF($B30="","",IF(TODAY()&lt;$B30+30,"-",SUMPRODUCT(('Picked Students (raw)'!$B$2:$B$824=$A30)*('Picked Students (raw)'!$E$2:$E$824="Career Gap/ Non Working")*('Picked Students (raw)'!$C$2:$C$824&lt;&gt;"")*(('Picked Students (raw)'!$C$2:$C$824-$B30)&lt;30)))))</f>
        <v/>
      </c>
      <c r="G30" s="5">
        <f>IF($A30="","",IF(F30="-","-",IF($D30=0,0,F30/$D30)))</f>
        <v/>
      </c>
      <c r="H30" s="3">
        <f>IF($A30="","",IF($B30="","",IF(TODAY()&lt;$B30+60,"-",SUMPRODUCT(('Picked Students (raw)'!$B$2:$B$824=$A30)*('Picked Students (raw)'!$E$2:$E$824="Career Gap/ Non Working")*('Picked Students (raw)'!$C$2:$C$824&lt;&gt;"")*(('Picked Students (raw)'!$C$2:$C$824-$B30)&lt;60)))))</f>
        <v/>
      </c>
      <c r="I30" s="5">
        <f>IF($A30="","",IF(H30="-","-",IF($D30=0,0,H30/$D30)))</f>
        <v/>
      </c>
      <c r="J30" s="3">
        <f>IF($A30="","",IF($B30="","",IF(TODAY()&lt;$B30+90,"-",SUMPRODUCT(('Picked Students (raw)'!$B$2:$B$824=$A30)*('Picked Students (raw)'!$E$2:$E$824="Career Gap/ Non Working")*('Picked Students (raw)'!$C$2:$C$824&lt;&gt;"")*(('Picked Students (raw)'!$C$2:$C$824-$B30)&lt;90)))))</f>
        <v/>
      </c>
      <c r="K30" s="5">
        <f>IF($A30="","",IF(J30="-","-",IF($D30=0,0,J30/$D30)))</f>
        <v/>
      </c>
      <c r="L30" s="3">
        <f>IF($A30="","",IF($B30="","",IF(TODAY()&lt;$B30+120,"-",SUMPRODUCT(('Picked Students (raw)'!$B$2:$B$824=$A30)*('Picked Students (raw)'!$E$2:$E$824="Career Gap/ Non Working")*('Picked Students (raw)'!$C$2:$C$824&lt;&gt;"")*(('Picked Students (raw)'!$C$2:$C$824-$B30)&lt;120)))))</f>
        <v/>
      </c>
      <c r="M30" s="5">
        <f>IF($A30="","",IF(L30="-","-",IF($D30=0,0,L30/$D30)))</f>
        <v/>
      </c>
      <c r="N30" s="3">
        <f>IF($A30="","",IF($B30="","",IF(TODAY()&lt;$B30+150,"-",SUMPRODUCT(('Picked Students (raw)'!$B$2:$B$824=$A30)*('Picked Students (raw)'!$E$2:$E$824="Career Gap/ Non Working")*('Picked Students (raw)'!$C$2:$C$824&lt;&gt;"")*(('Picked Students (raw)'!$C$2:$C$824-$B30)&lt;150)))))</f>
        <v/>
      </c>
      <c r="O30" s="5">
        <f>IF($A30="","",IF(N30="-","-",IF($D30=0,0,N30/$D30)))</f>
        <v/>
      </c>
      <c r="P30" s="3">
        <f>IF($A30="","",IF($B30="","",IF(TODAY()&lt;$B30+180,"-",SUMPRODUCT(('Picked Students (raw)'!$B$2:$B$824=$A30)*('Picked Students (raw)'!$E$2:$E$824="Career Gap/ Non Working")*('Picked Students (raw)'!$C$2:$C$824&lt;&gt;"")*(('Picked Students (raw)'!$C$2:$C$824-$B30)&lt;180)))))</f>
        <v/>
      </c>
      <c r="Q30" s="5">
        <f>IF($A30="","",IF(P30="-","-",IF($D30=0,0,P30/$D30)))</f>
        <v/>
      </c>
      <c r="R30" s="3">
        <f>IF($A30="","",IF($B30="","",IF(TODAY()&lt;$B30+210,"-",SUMPRODUCT(('Picked Students (raw)'!$B$2:$B$824=$A30)*('Picked Students (raw)'!$E$2:$E$824="Career Gap/ Non Working")*('Picked Students (raw)'!$C$2:$C$824&lt;&gt;"")*(('Picked Students (raw)'!$C$2:$C$824-$B30)&lt;210)))))</f>
        <v/>
      </c>
      <c r="S30" s="5">
        <f>IF($A30="","",IF(R30="-","-",IF($D30=0,0,R30/$D30)))</f>
        <v/>
      </c>
      <c r="T30" s="3">
        <f>IF($A30="","",IF($B30="","",IF(TODAY()&lt;$B30+240,"-",SUMPRODUCT(('Picked Students (raw)'!$B$2:$B$824=$A30)*('Picked Students (raw)'!$E$2:$E$824="Career Gap/ Non Working")*('Picked Students (raw)'!$C$2:$C$824&lt;&gt;"")*(('Picked Students (raw)'!$C$2:$C$824-$B30)&lt;240)))))</f>
        <v/>
      </c>
      <c r="U30" s="5">
        <f>IF($A30="","",IF(T30="-","-",IF($D30=0,0,T30/$D30)))</f>
        <v/>
      </c>
      <c r="V30" s="3">
        <f>IF($A30="","",IF($B30="","",IF(TODAY()&lt;$B30+270,"-",SUMPRODUCT(('Picked Students (raw)'!$B$2:$B$824=$A30)*('Picked Students (raw)'!$E$2:$E$824="Career Gap/ Non Working")*('Picked Students (raw)'!$C$2:$C$824&lt;&gt;"")*(('Picked Students (raw)'!$C$2:$C$824-$B30)&lt;270)))))</f>
        <v/>
      </c>
      <c r="W30" s="5">
        <f>IF($A30="","",IF(V30="-","-",IF($D30=0,0,V30/$D30)))</f>
        <v/>
      </c>
      <c r="X30" s="3">
        <f>IF($A30="","",IF($B30="","",IF(TODAY()&lt;$B30+300,"-",SUMPRODUCT(('Picked Students (raw)'!$B$2:$B$824=$A30)*('Picked Students (raw)'!$E$2:$E$824="Career Gap/ Non Working")*('Picked Students (raw)'!$C$2:$C$824&lt;&gt;"")*(('Picked Students (raw)'!$C$2:$C$824-$B30)&lt;300)))))</f>
        <v/>
      </c>
      <c r="Y30" s="5">
        <f>IF($A30="","",IF(X30="-","-",IF($D30=0,0,X30/$D30)))</f>
        <v/>
      </c>
      <c r="Z30" s="3">
        <f>IF($A30="","",IF($B30="","",IF(TODAY()&lt;$B30+330,"-",SUMPRODUCT(('Picked Students (raw)'!$B$2:$B$824=$A30)*('Picked Students (raw)'!$E$2:$E$824="Career Gap/ Non Working")*('Picked Students (raw)'!$C$2:$C$824&lt;&gt;"")*(('Picked Students (raw)'!$C$2:$C$824-$B30)&lt;330)))))</f>
        <v/>
      </c>
      <c r="AA30" s="5">
        <f>IF($A30="","",IF(Z30="-","-",IF($D30=0,0,Z30/$D30)))</f>
        <v/>
      </c>
      <c r="AB30" s="3">
        <f>IF($A30="","",IF($B30="","",IF(TODAY()&lt;$B30+360,"-",SUMPRODUCT(('Picked Students (raw)'!$B$2:$B$824=$A30)*('Picked Students (raw)'!$E$2:$E$824="Career Gap/ Non Working")*('Picked Students (raw)'!$C$2:$C$824&lt;&gt;"")*(('Picked Students (raw)'!$C$2:$C$824-$B30)&lt;360)))))</f>
        <v/>
      </c>
      <c r="AC30" s="5">
        <f>IF($A30="","",IF(AB30="-","-",IF($D30=0,0,AB30/$D30)))</f>
        <v/>
      </c>
      <c r="AD30" s="3">
        <f>IF($A30="","",IF($B30="","",IF(TODAY()&lt;$B30+390,"-",SUMPRODUCT(('Picked Students (raw)'!$B$2:$B$824=$A30)*('Picked Students (raw)'!$E$2:$E$824="Career Gap/ Non Working")*('Picked Students (raw)'!$C$2:$C$824&lt;&gt;"")*(('Picked Students (raw)'!$C$2:$C$824-$B30)&lt;390)))))</f>
        <v/>
      </c>
      <c r="AE30" s="5">
        <f>IF($A30="","",IF(AD30="-","-",IF($D30=0,0,AD30/$D30)))</f>
        <v/>
      </c>
      <c r="AF30" s="3">
        <f>IF($A30="","",IF($B30="","",IF(TODAY()&lt;$B30+420,"-",SUMPRODUCT(('Picked Students (raw)'!$B$2:$B$824=$A30)*('Picked Students (raw)'!$E$2:$E$824="Career Gap/ Non Working")*('Picked Students (raw)'!$C$2:$C$824&lt;&gt;"")*(('Picked Students (raw)'!$C$2:$C$824-$B30)&lt;420)))))</f>
        <v/>
      </c>
      <c r="AG30" s="5">
        <f>IF($A30="","",IF(AF30="-","-",IF($D30=0,0,AF30/$D30)))</f>
        <v/>
      </c>
      <c r="AH30" s="3">
        <f>IF($A30="","",IF($B30="","",IF(TODAY()&lt;$B30+450,"-",SUMPRODUCT(('Picked Students (raw)'!$B$2:$B$824=$A30)*('Picked Students (raw)'!$E$2:$E$824="Career Gap/ Non Working")*('Picked Students (raw)'!$C$2:$C$824&lt;&gt;"")*(('Picked Students (raw)'!$C$2:$C$824-$B30)&lt;450)))))</f>
        <v/>
      </c>
      <c r="AI30" s="5">
        <f>IF($A30="","",IF(AH30="-","-",IF($D30=0,0,AH30/$D30)))</f>
        <v/>
      </c>
      <c r="AJ30" s="3">
        <f>IF($A30="","",IF($B30="","",IF(TODAY()&lt;$B30+480,"-",SUMPRODUCT(('Picked Students (raw)'!$B$2:$B$824=$A30)*('Picked Students (raw)'!$E$2:$E$824="Career Gap/ Non Working")*('Picked Students (raw)'!$C$2:$C$824&lt;&gt;"")*(('Picked Students (raw)'!$C$2:$C$824-$B30)&lt;480)))))</f>
        <v/>
      </c>
      <c r="AK30" s="5">
        <f>IF($A30="","",IF(AJ30="-","-",IF($D30=0,0,AJ30/$D30)))</f>
        <v/>
      </c>
      <c r="AL30" s="3">
        <f>IF($A30="","",IF($B30="","",IF(TODAY()&lt;$B30+510,"-",SUMPRODUCT(('Picked Students (raw)'!$B$2:$B$824=$A30)*('Picked Students (raw)'!$E$2:$E$824="Career Gap/ Non Working")*('Picked Students (raw)'!$C$2:$C$824&lt;&gt;"")*(('Picked Students (raw)'!$C$2:$C$824-$B30)&lt;510)))))</f>
        <v/>
      </c>
      <c r="AM30" s="5">
        <f>IF($A30="","",IF(AL30="-","-",IF($D30=0,0,AL30/$D30)))</f>
        <v/>
      </c>
      <c r="AN30" s="3">
        <f>IF($A30="","",IF($B30="","",IF(TODAY()&lt;$B30+540,"-",SUMPRODUCT(('Picked Students (raw)'!$B$2:$B$824=$A30)*('Picked Students (raw)'!$E$2:$E$824="Career Gap/ Non Working")*('Picked Students (raw)'!$C$2:$C$824&lt;&gt;"")*(('Picked Students (raw)'!$C$2:$C$824-$B30)&lt;540)))))</f>
        <v/>
      </c>
      <c r="AO30" s="5">
        <f>IF($A30="","",IF(AN30="-","-",IF($D30=0,0,AN30/$D30)))</f>
        <v/>
      </c>
      <c r="AP30" s="3">
        <f>IF($A30="","",IF(AN30="-","-",$E30-AN30))</f>
        <v/>
      </c>
    </row>
    <row r="31">
      <c r="A31" s="3" t="inlineStr">
        <is>
          <t>Professional Certificate Course In Data Science &amp; AI - June 2025</t>
        </is>
      </c>
      <c r="B31" s="4">
        <f>IF($A31="","",IFERROR(INDEX('Batch Enrollment (Metabase)'!$D$2:$D$47,MATCH($A31,'Batch Enrollment (Metabase)'!$A$2:$A$47,0)),""))</f>
        <v/>
      </c>
      <c r="C31" s="3">
        <f>IF($A31="","",IFERROR(INDEX('Batch Enrollment (Metabase)'!$E$2:$E$47,MATCH($A31,'Batch Enrollment (Metabase)'!$A$2:$A$47,0)),""))</f>
        <v/>
      </c>
      <c r="D31" s="3">
        <f>IF($A31="","",IFERROR(INDEX('Batch Enrollment (Metabase)'!$F$2:$F$47,MATCH($A31,'Batch Enrollment (Metabase)'!$A$2:$A$47,0)),""))</f>
        <v/>
      </c>
      <c r="E31" s="3">
        <f>IF($A31="","",COUNTIFS('Picked Students (raw)'!$B$2:$B$824,$A31,'Picked Students (raw)'!$E$2:$E$824,"Career Gap/ Non Working"))</f>
        <v/>
      </c>
      <c r="F31" s="3">
        <f>IF($A31="","",IF($B31="","",IF(TODAY()&lt;$B31+30,"-",SUMPRODUCT(('Picked Students (raw)'!$B$2:$B$824=$A31)*('Picked Students (raw)'!$E$2:$E$824="Career Gap/ Non Working")*('Picked Students (raw)'!$C$2:$C$824&lt;&gt;"")*(('Picked Students (raw)'!$C$2:$C$824-$B31)&lt;30)))))</f>
        <v/>
      </c>
      <c r="G31" s="5">
        <f>IF($A31="","",IF(F31="-","-",IF($D31=0,0,F31/$D31)))</f>
        <v/>
      </c>
      <c r="H31" s="3">
        <f>IF($A31="","",IF($B31="","",IF(TODAY()&lt;$B31+60,"-",SUMPRODUCT(('Picked Students (raw)'!$B$2:$B$824=$A31)*('Picked Students (raw)'!$E$2:$E$824="Career Gap/ Non Working")*('Picked Students (raw)'!$C$2:$C$824&lt;&gt;"")*(('Picked Students (raw)'!$C$2:$C$824-$B31)&lt;60)))))</f>
        <v/>
      </c>
      <c r="I31" s="5">
        <f>IF($A31="","",IF(H31="-","-",IF($D31=0,0,H31/$D31)))</f>
        <v/>
      </c>
      <c r="J31" s="3">
        <f>IF($A31="","",IF($B31="","",IF(TODAY()&lt;$B31+90,"-",SUMPRODUCT(('Picked Students (raw)'!$B$2:$B$824=$A31)*('Picked Students (raw)'!$E$2:$E$824="Career Gap/ Non Working")*('Picked Students (raw)'!$C$2:$C$824&lt;&gt;"")*(('Picked Students (raw)'!$C$2:$C$824-$B31)&lt;90)))))</f>
        <v/>
      </c>
      <c r="K31" s="5">
        <f>IF($A31="","",IF(J31="-","-",IF($D31=0,0,J31/$D31)))</f>
        <v/>
      </c>
      <c r="L31" s="3">
        <f>IF($A31="","",IF($B31="","",IF(TODAY()&lt;$B31+120,"-",SUMPRODUCT(('Picked Students (raw)'!$B$2:$B$824=$A31)*('Picked Students (raw)'!$E$2:$E$824="Career Gap/ Non Working")*('Picked Students (raw)'!$C$2:$C$824&lt;&gt;"")*(('Picked Students (raw)'!$C$2:$C$824-$B31)&lt;120)))))</f>
        <v/>
      </c>
      <c r="M31" s="5">
        <f>IF($A31="","",IF(L31="-","-",IF($D31=0,0,L31/$D31)))</f>
        <v/>
      </c>
      <c r="N31" s="3">
        <f>IF($A31="","",IF($B31="","",IF(TODAY()&lt;$B31+150,"-",SUMPRODUCT(('Picked Students (raw)'!$B$2:$B$824=$A31)*('Picked Students (raw)'!$E$2:$E$824="Career Gap/ Non Working")*('Picked Students (raw)'!$C$2:$C$824&lt;&gt;"")*(('Picked Students (raw)'!$C$2:$C$824-$B31)&lt;150)))))</f>
        <v/>
      </c>
      <c r="O31" s="5">
        <f>IF($A31="","",IF(N31="-","-",IF($D31=0,0,N31/$D31)))</f>
        <v/>
      </c>
      <c r="P31" s="3">
        <f>IF($A31="","",IF($B31="","",IF(TODAY()&lt;$B31+180,"-",SUMPRODUCT(('Picked Students (raw)'!$B$2:$B$824=$A31)*('Picked Students (raw)'!$E$2:$E$824="Career Gap/ Non Working")*('Picked Students (raw)'!$C$2:$C$824&lt;&gt;"")*(('Picked Students (raw)'!$C$2:$C$824-$B31)&lt;180)))))</f>
        <v/>
      </c>
      <c r="Q31" s="5">
        <f>IF($A31="","",IF(P31="-","-",IF($D31=0,0,P31/$D31)))</f>
        <v/>
      </c>
      <c r="R31" s="3">
        <f>IF($A31="","",IF($B31="","",IF(TODAY()&lt;$B31+210,"-",SUMPRODUCT(('Picked Students (raw)'!$B$2:$B$824=$A31)*('Picked Students (raw)'!$E$2:$E$824="Career Gap/ Non Working")*('Picked Students (raw)'!$C$2:$C$824&lt;&gt;"")*(('Picked Students (raw)'!$C$2:$C$824-$B31)&lt;210)))))</f>
        <v/>
      </c>
      <c r="S31" s="5">
        <f>IF($A31="","",IF(R31="-","-",IF($D31=0,0,R31/$D31)))</f>
        <v/>
      </c>
      <c r="T31" s="3">
        <f>IF($A31="","",IF($B31="","",IF(TODAY()&lt;$B31+240,"-",SUMPRODUCT(('Picked Students (raw)'!$B$2:$B$824=$A31)*('Picked Students (raw)'!$E$2:$E$824="Career Gap/ Non Working")*('Picked Students (raw)'!$C$2:$C$824&lt;&gt;"")*(('Picked Students (raw)'!$C$2:$C$824-$B31)&lt;240)))))</f>
        <v/>
      </c>
      <c r="U31" s="5">
        <f>IF($A31="","",IF(T31="-","-",IF($D31=0,0,T31/$D31)))</f>
        <v/>
      </c>
      <c r="V31" s="3">
        <f>IF($A31="","",IF($B31="","",IF(TODAY()&lt;$B31+270,"-",SUMPRODUCT(('Picked Students (raw)'!$B$2:$B$824=$A31)*('Picked Students (raw)'!$E$2:$E$824="Career Gap/ Non Working")*('Picked Students (raw)'!$C$2:$C$824&lt;&gt;"")*(('Picked Students (raw)'!$C$2:$C$824-$B31)&lt;270)))))</f>
        <v/>
      </c>
      <c r="W31" s="5">
        <f>IF($A31="","",IF(V31="-","-",IF($D31=0,0,V31/$D31)))</f>
        <v/>
      </c>
      <c r="X31" s="3">
        <f>IF($A31="","",IF($B31="","",IF(TODAY()&lt;$B31+300,"-",SUMPRODUCT(('Picked Students (raw)'!$B$2:$B$824=$A31)*('Picked Students (raw)'!$E$2:$E$824="Career Gap/ Non Working")*('Picked Students (raw)'!$C$2:$C$824&lt;&gt;"")*(('Picked Students (raw)'!$C$2:$C$824-$B31)&lt;300)))))</f>
        <v/>
      </c>
      <c r="Y31" s="5">
        <f>IF($A31="","",IF(X31="-","-",IF($D31=0,0,X31/$D31)))</f>
        <v/>
      </c>
      <c r="Z31" s="3">
        <f>IF($A31="","",IF($B31="","",IF(TODAY()&lt;$B31+330,"-",SUMPRODUCT(('Picked Students (raw)'!$B$2:$B$824=$A31)*('Picked Students (raw)'!$E$2:$E$824="Career Gap/ Non Working")*('Picked Students (raw)'!$C$2:$C$824&lt;&gt;"")*(('Picked Students (raw)'!$C$2:$C$824-$B31)&lt;330)))))</f>
        <v/>
      </c>
      <c r="AA31" s="5">
        <f>IF($A31="","",IF(Z31="-","-",IF($D31=0,0,Z31/$D31)))</f>
        <v/>
      </c>
      <c r="AB31" s="3">
        <f>IF($A31="","",IF($B31="","",IF(TODAY()&lt;$B31+360,"-",SUMPRODUCT(('Picked Students (raw)'!$B$2:$B$824=$A31)*('Picked Students (raw)'!$E$2:$E$824="Career Gap/ Non Working")*('Picked Students (raw)'!$C$2:$C$824&lt;&gt;"")*(('Picked Students (raw)'!$C$2:$C$824-$B31)&lt;360)))))</f>
        <v/>
      </c>
      <c r="AC31" s="5">
        <f>IF($A31="","",IF(AB31="-","-",IF($D31=0,0,AB31/$D31)))</f>
        <v/>
      </c>
      <c r="AD31" s="3">
        <f>IF($A31="","",IF($B31="","",IF(TODAY()&lt;$B31+390,"-",SUMPRODUCT(('Picked Students (raw)'!$B$2:$B$824=$A31)*('Picked Students (raw)'!$E$2:$E$824="Career Gap/ Non Working")*('Picked Students (raw)'!$C$2:$C$824&lt;&gt;"")*(('Picked Students (raw)'!$C$2:$C$824-$B31)&lt;390)))))</f>
        <v/>
      </c>
      <c r="AE31" s="5">
        <f>IF($A31="","",IF(AD31="-","-",IF($D31=0,0,AD31/$D31)))</f>
        <v/>
      </c>
      <c r="AF31" s="3">
        <f>IF($A31="","",IF($B31="","",IF(TODAY()&lt;$B31+420,"-",SUMPRODUCT(('Picked Students (raw)'!$B$2:$B$824=$A31)*('Picked Students (raw)'!$E$2:$E$824="Career Gap/ Non Working")*('Picked Students (raw)'!$C$2:$C$824&lt;&gt;"")*(('Picked Students (raw)'!$C$2:$C$824-$B31)&lt;420)))))</f>
        <v/>
      </c>
      <c r="AG31" s="5">
        <f>IF($A31="","",IF(AF31="-","-",IF($D31=0,0,AF31/$D31)))</f>
        <v/>
      </c>
      <c r="AH31" s="3">
        <f>IF($A31="","",IF($B31="","",IF(TODAY()&lt;$B31+450,"-",SUMPRODUCT(('Picked Students (raw)'!$B$2:$B$824=$A31)*('Picked Students (raw)'!$E$2:$E$824="Career Gap/ Non Working")*('Picked Students (raw)'!$C$2:$C$824&lt;&gt;"")*(('Picked Students (raw)'!$C$2:$C$824-$B31)&lt;450)))))</f>
        <v/>
      </c>
      <c r="AI31" s="5">
        <f>IF($A31="","",IF(AH31="-","-",IF($D31=0,0,AH31/$D31)))</f>
        <v/>
      </c>
      <c r="AJ31" s="3">
        <f>IF($A31="","",IF($B31="","",IF(TODAY()&lt;$B31+480,"-",SUMPRODUCT(('Picked Students (raw)'!$B$2:$B$824=$A31)*('Picked Students (raw)'!$E$2:$E$824="Career Gap/ Non Working")*('Picked Students (raw)'!$C$2:$C$824&lt;&gt;"")*(('Picked Students (raw)'!$C$2:$C$824-$B31)&lt;480)))))</f>
        <v/>
      </c>
      <c r="AK31" s="5">
        <f>IF($A31="","",IF(AJ31="-","-",IF($D31=0,0,AJ31/$D31)))</f>
        <v/>
      </c>
      <c r="AL31" s="3">
        <f>IF($A31="","",IF($B31="","",IF(TODAY()&lt;$B31+510,"-",SUMPRODUCT(('Picked Students (raw)'!$B$2:$B$824=$A31)*('Picked Students (raw)'!$E$2:$E$824="Career Gap/ Non Working")*('Picked Students (raw)'!$C$2:$C$824&lt;&gt;"")*(('Picked Students (raw)'!$C$2:$C$824-$B31)&lt;510)))))</f>
        <v/>
      </c>
      <c r="AM31" s="5">
        <f>IF($A31="","",IF(AL31="-","-",IF($D31=0,0,AL31/$D31)))</f>
        <v/>
      </c>
      <c r="AN31" s="3">
        <f>IF($A31="","",IF($B31="","",IF(TODAY()&lt;$B31+540,"-",SUMPRODUCT(('Picked Students (raw)'!$B$2:$B$824=$A31)*('Picked Students (raw)'!$E$2:$E$824="Career Gap/ Non Working")*('Picked Students (raw)'!$C$2:$C$824&lt;&gt;"")*(('Picked Students (raw)'!$C$2:$C$824-$B31)&lt;540)))))</f>
        <v/>
      </c>
      <c r="AO31" s="5">
        <f>IF($A31="","",IF(AN31="-","-",IF($D31=0,0,AN31/$D31)))</f>
        <v/>
      </c>
      <c r="AP31" s="3">
        <f>IF($A31="","",IF(AN31="-","-",$E31-AN31))</f>
        <v/>
      </c>
    </row>
    <row r="32">
      <c r="A32" s="3" t="inlineStr">
        <is>
          <t>Professional Certificate Course In Data Science - July 2025</t>
        </is>
      </c>
      <c r="B32" s="4">
        <f>IF($A32="","",IFERROR(INDEX('Batch Enrollment (Metabase)'!$D$2:$D$47,MATCH($A32,'Batch Enrollment (Metabase)'!$A$2:$A$47,0)),""))</f>
        <v/>
      </c>
      <c r="C32" s="3">
        <f>IF($A32="","",IFERROR(INDEX('Batch Enrollment (Metabase)'!$E$2:$E$47,MATCH($A32,'Batch Enrollment (Metabase)'!$A$2:$A$47,0)),""))</f>
        <v/>
      </c>
      <c r="D32" s="3">
        <f>IF($A32="","",IFERROR(INDEX('Batch Enrollment (Metabase)'!$F$2:$F$47,MATCH($A32,'Batch Enrollment (Metabase)'!$A$2:$A$47,0)),""))</f>
        <v/>
      </c>
      <c r="E32" s="3">
        <f>IF($A32="","",COUNTIFS('Picked Students (raw)'!$B$2:$B$824,$A32,'Picked Students (raw)'!$E$2:$E$824,"Career Gap/ Non Working"))</f>
        <v/>
      </c>
      <c r="F32" s="3">
        <f>IF($A32="","",IF($B32="","",IF(TODAY()&lt;$B32+30,"-",SUMPRODUCT(('Picked Students (raw)'!$B$2:$B$824=$A32)*('Picked Students (raw)'!$E$2:$E$824="Career Gap/ Non Working")*('Picked Students (raw)'!$C$2:$C$824&lt;&gt;"")*(('Picked Students (raw)'!$C$2:$C$824-$B32)&lt;30)))))</f>
        <v/>
      </c>
      <c r="G32" s="5">
        <f>IF($A32="","",IF(F32="-","-",IF($D32=0,0,F32/$D32)))</f>
        <v/>
      </c>
      <c r="H32" s="3">
        <f>IF($A32="","",IF($B32="","",IF(TODAY()&lt;$B32+60,"-",SUMPRODUCT(('Picked Students (raw)'!$B$2:$B$824=$A32)*('Picked Students (raw)'!$E$2:$E$824="Career Gap/ Non Working")*('Picked Students (raw)'!$C$2:$C$824&lt;&gt;"")*(('Picked Students (raw)'!$C$2:$C$824-$B32)&lt;60)))))</f>
        <v/>
      </c>
      <c r="I32" s="5">
        <f>IF($A32="","",IF(H32="-","-",IF($D32=0,0,H32/$D32)))</f>
        <v/>
      </c>
      <c r="J32" s="3">
        <f>IF($A32="","",IF($B32="","",IF(TODAY()&lt;$B32+90,"-",SUMPRODUCT(('Picked Students (raw)'!$B$2:$B$824=$A32)*('Picked Students (raw)'!$E$2:$E$824="Career Gap/ Non Working")*('Picked Students (raw)'!$C$2:$C$824&lt;&gt;"")*(('Picked Students (raw)'!$C$2:$C$824-$B32)&lt;90)))))</f>
        <v/>
      </c>
      <c r="K32" s="5">
        <f>IF($A32="","",IF(J32="-","-",IF($D32=0,0,J32/$D32)))</f>
        <v/>
      </c>
      <c r="L32" s="3">
        <f>IF($A32="","",IF($B32="","",IF(TODAY()&lt;$B32+120,"-",SUMPRODUCT(('Picked Students (raw)'!$B$2:$B$824=$A32)*('Picked Students (raw)'!$E$2:$E$824="Career Gap/ Non Working")*('Picked Students (raw)'!$C$2:$C$824&lt;&gt;"")*(('Picked Students (raw)'!$C$2:$C$824-$B32)&lt;120)))))</f>
        <v/>
      </c>
      <c r="M32" s="5">
        <f>IF($A32="","",IF(L32="-","-",IF($D32=0,0,L32/$D32)))</f>
        <v/>
      </c>
      <c r="N32" s="3">
        <f>IF($A32="","",IF($B32="","",IF(TODAY()&lt;$B32+150,"-",SUMPRODUCT(('Picked Students (raw)'!$B$2:$B$824=$A32)*('Picked Students (raw)'!$E$2:$E$824="Career Gap/ Non Working")*('Picked Students (raw)'!$C$2:$C$824&lt;&gt;"")*(('Picked Students (raw)'!$C$2:$C$824-$B32)&lt;150)))))</f>
        <v/>
      </c>
      <c r="O32" s="5">
        <f>IF($A32="","",IF(N32="-","-",IF($D32=0,0,N32/$D32)))</f>
        <v/>
      </c>
      <c r="P32" s="3">
        <f>IF($A32="","",IF($B32="","",IF(TODAY()&lt;$B32+180,"-",SUMPRODUCT(('Picked Students (raw)'!$B$2:$B$824=$A32)*('Picked Students (raw)'!$E$2:$E$824="Career Gap/ Non Working")*('Picked Students (raw)'!$C$2:$C$824&lt;&gt;"")*(('Picked Students (raw)'!$C$2:$C$824-$B32)&lt;180)))))</f>
        <v/>
      </c>
      <c r="Q32" s="5">
        <f>IF($A32="","",IF(P32="-","-",IF($D32=0,0,P32/$D32)))</f>
        <v/>
      </c>
      <c r="R32" s="3">
        <f>IF($A32="","",IF($B32="","",IF(TODAY()&lt;$B32+210,"-",SUMPRODUCT(('Picked Students (raw)'!$B$2:$B$824=$A32)*('Picked Students (raw)'!$E$2:$E$824="Career Gap/ Non Working")*('Picked Students (raw)'!$C$2:$C$824&lt;&gt;"")*(('Picked Students (raw)'!$C$2:$C$824-$B32)&lt;210)))))</f>
        <v/>
      </c>
      <c r="S32" s="5">
        <f>IF($A32="","",IF(R32="-","-",IF($D32=0,0,R32/$D32)))</f>
        <v/>
      </c>
      <c r="T32" s="3">
        <f>IF($A32="","",IF($B32="","",IF(TODAY()&lt;$B32+240,"-",SUMPRODUCT(('Picked Students (raw)'!$B$2:$B$824=$A32)*('Picked Students (raw)'!$E$2:$E$824="Career Gap/ Non Working")*('Picked Students (raw)'!$C$2:$C$824&lt;&gt;"")*(('Picked Students (raw)'!$C$2:$C$824-$B32)&lt;240)))))</f>
        <v/>
      </c>
      <c r="U32" s="5">
        <f>IF($A32="","",IF(T32="-","-",IF($D32=0,0,T32/$D32)))</f>
        <v/>
      </c>
      <c r="V32" s="3">
        <f>IF($A32="","",IF($B32="","",IF(TODAY()&lt;$B32+270,"-",SUMPRODUCT(('Picked Students (raw)'!$B$2:$B$824=$A32)*('Picked Students (raw)'!$E$2:$E$824="Career Gap/ Non Working")*('Picked Students (raw)'!$C$2:$C$824&lt;&gt;"")*(('Picked Students (raw)'!$C$2:$C$824-$B32)&lt;270)))))</f>
        <v/>
      </c>
      <c r="W32" s="5">
        <f>IF($A32="","",IF(V32="-","-",IF($D32=0,0,V32/$D32)))</f>
        <v/>
      </c>
      <c r="X32" s="3">
        <f>IF($A32="","",IF($B32="","",IF(TODAY()&lt;$B32+300,"-",SUMPRODUCT(('Picked Students (raw)'!$B$2:$B$824=$A32)*('Picked Students (raw)'!$E$2:$E$824="Career Gap/ Non Working")*('Picked Students (raw)'!$C$2:$C$824&lt;&gt;"")*(('Picked Students (raw)'!$C$2:$C$824-$B32)&lt;300)))))</f>
        <v/>
      </c>
      <c r="Y32" s="5">
        <f>IF($A32="","",IF(X32="-","-",IF($D32=0,0,X32/$D32)))</f>
        <v/>
      </c>
      <c r="Z32" s="3">
        <f>IF($A32="","",IF($B32="","",IF(TODAY()&lt;$B32+330,"-",SUMPRODUCT(('Picked Students (raw)'!$B$2:$B$824=$A32)*('Picked Students (raw)'!$E$2:$E$824="Career Gap/ Non Working")*('Picked Students (raw)'!$C$2:$C$824&lt;&gt;"")*(('Picked Students (raw)'!$C$2:$C$824-$B32)&lt;330)))))</f>
        <v/>
      </c>
      <c r="AA32" s="5">
        <f>IF($A32="","",IF(Z32="-","-",IF($D32=0,0,Z32/$D32)))</f>
        <v/>
      </c>
      <c r="AB32" s="3">
        <f>IF($A32="","",IF($B32="","",IF(TODAY()&lt;$B32+360,"-",SUMPRODUCT(('Picked Students (raw)'!$B$2:$B$824=$A32)*('Picked Students (raw)'!$E$2:$E$824="Career Gap/ Non Working")*('Picked Students (raw)'!$C$2:$C$824&lt;&gt;"")*(('Picked Students (raw)'!$C$2:$C$824-$B32)&lt;360)))))</f>
        <v/>
      </c>
      <c r="AC32" s="5">
        <f>IF($A32="","",IF(AB32="-","-",IF($D32=0,0,AB32/$D32)))</f>
        <v/>
      </c>
      <c r="AD32" s="3">
        <f>IF($A32="","",IF($B32="","",IF(TODAY()&lt;$B32+390,"-",SUMPRODUCT(('Picked Students (raw)'!$B$2:$B$824=$A32)*('Picked Students (raw)'!$E$2:$E$824="Career Gap/ Non Working")*('Picked Students (raw)'!$C$2:$C$824&lt;&gt;"")*(('Picked Students (raw)'!$C$2:$C$824-$B32)&lt;390)))))</f>
        <v/>
      </c>
      <c r="AE32" s="5">
        <f>IF($A32="","",IF(AD32="-","-",IF($D32=0,0,AD32/$D32)))</f>
        <v/>
      </c>
      <c r="AF32" s="3">
        <f>IF($A32="","",IF($B32="","",IF(TODAY()&lt;$B32+420,"-",SUMPRODUCT(('Picked Students (raw)'!$B$2:$B$824=$A32)*('Picked Students (raw)'!$E$2:$E$824="Career Gap/ Non Working")*('Picked Students (raw)'!$C$2:$C$824&lt;&gt;"")*(('Picked Students (raw)'!$C$2:$C$824-$B32)&lt;420)))))</f>
        <v/>
      </c>
      <c r="AG32" s="5">
        <f>IF($A32="","",IF(AF32="-","-",IF($D32=0,0,AF32/$D32)))</f>
        <v/>
      </c>
      <c r="AH32" s="3">
        <f>IF($A32="","",IF($B32="","",IF(TODAY()&lt;$B32+450,"-",SUMPRODUCT(('Picked Students (raw)'!$B$2:$B$824=$A32)*('Picked Students (raw)'!$E$2:$E$824="Career Gap/ Non Working")*('Picked Students (raw)'!$C$2:$C$824&lt;&gt;"")*(('Picked Students (raw)'!$C$2:$C$824-$B32)&lt;450)))))</f>
        <v/>
      </c>
      <c r="AI32" s="5">
        <f>IF($A32="","",IF(AH32="-","-",IF($D32=0,0,AH32/$D32)))</f>
        <v/>
      </c>
      <c r="AJ32" s="3">
        <f>IF($A32="","",IF($B32="","",IF(TODAY()&lt;$B32+480,"-",SUMPRODUCT(('Picked Students (raw)'!$B$2:$B$824=$A32)*('Picked Students (raw)'!$E$2:$E$824="Career Gap/ Non Working")*('Picked Students (raw)'!$C$2:$C$824&lt;&gt;"")*(('Picked Students (raw)'!$C$2:$C$824-$B32)&lt;480)))))</f>
        <v/>
      </c>
      <c r="AK32" s="5">
        <f>IF($A32="","",IF(AJ32="-","-",IF($D32=0,0,AJ32/$D32)))</f>
        <v/>
      </c>
      <c r="AL32" s="3">
        <f>IF($A32="","",IF($B32="","",IF(TODAY()&lt;$B32+510,"-",SUMPRODUCT(('Picked Students (raw)'!$B$2:$B$824=$A32)*('Picked Students (raw)'!$E$2:$E$824="Career Gap/ Non Working")*('Picked Students (raw)'!$C$2:$C$824&lt;&gt;"")*(('Picked Students (raw)'!$C$2:$C$824-$B32)&lt;510)))))</f>
        <v/>
      </c>
      <c r="AM32" s="5">
        <f>IF($A32="","",IF(AL32="-","-",IF($D32=0,0,AL32/$D32)))</f>
        <v/>
      </c>
      <c r="AN32" s="3">
        <f>IF($A32="","",IF($B32="","",IF(TODAY()&lt;$B32+540,"-",SUMPRODUCT(('Picked Students (raw)'!$B$2:$B$824=$A32)*('Picked Students (raw)'!$E$2:$E$824="Career Gap/ Non Working")*('Picked Students (raw)'!$C$2:$C$824&lt;&gt;"")*(('Picked Students (raw)'!$C$2:$C$824-$B32)&lt;540)))))</f>
        <v/>
      </c>
      <c r="AO32" s="5">
        <f>IF($A32="","",IF(AN32="-","-",IF($D32=0,0,AN32/$D32)))</f>
        <v/>
      </c>
      <c r="AP32" s="3">
        <f>IF($A32="","",IF(AN32="-","-",$E32-AN32))</f>
        <v/>
      </c>
    </row>
    <row r="33">
      <c r="A33" s="3" t="inlineStr">
        <is>
          <t>Professional Certificate Course In Data Science August 2025</t>
        </is>
      </c>
      <c r="B33" s="4">
        <f>IF($A33="","",IFERROR(INDEX('Batch Enrollment (Metabase)'!$D$2:$D$47,MATCH($A33,'Batch Enrollment (Metabase)'!$A$2:$A$47,0)),""))</f>
        <v/>
      </c>
      <c r="C33" s="3">
        <f>IF($A33="","",IFERROR(INDEX('Batch Enrollment (Metabase)'!$E$2:$E$47,MATCH($A33,'Batch Enrollment (Metabase)'!$A$2:$A$47,0)),""))</f>
        <v/>
      </c>
      <c r="D33" s="3">
        <f>IF($A33="","",IFERROR(INDEX('Batch Enrollment (Metabase)'!$F$2:$F$47,MATCH($A33,'Batch Enrollment (Metabase)'!$A$2:$A$47,0)),""))</f>
        <v/>
      </c>
      <c r="E33" s="3">
        <f>IF($A33="","",COUNTIFS('Picked Students (raw)'!$B$2:$B$824,$A33,'Picked Students (raw)'!$E$2:$E$824,"Career Gap/ Non Working"))</f>
        <v/>
      </c>
      <c r="F33" s="3">
        <f>IF($A33="","",IF($B33="","",IF(TODAY()&lt;$B33+30,"-",SUMPRODUCT(('Picked Students (raw)'!$B$2:$B$824=$A33)*('Picked Students (raw)'!$E$2:$E$824="Career Gap/ Non Working")*('Picked Students (raw)'!$C$2:$C$824&lt;&gt;"")*(('Picked Students (raw)'!$C$2:$C$824-$B33)&lt;30)))))</f>
        <v/>
      </c>
      <c r="G33" s="5">
        <f>IF($A33="","",IF(F33="-","-",IF($D33=0,0,F33/$D33)))</f>
        <v/>
      </c>
      <c r="H33" s="3">
        <f>IF($A33="","",IF($B33="","",IF(TODAY()&lt;$B33+60,"-",SUMPRODUCT(('Picked Students (raw)'!$B$2:$B$824=$A33)*('Picked Students (raw)'!$E$2:$E$824="Career Gap/ Non Working")*('Picked Students (raw)'!$C$2:$C$824&lt;&gt;"")*(('Picked Students (raw)'!$C$2:$C$824-$B33)&lt;60)))))</f>
        <v/>
      </c>
      <c r="I33" s="5">
        <f>IF($A33="","",IF(H33="-","-",IF($D33=0,0,H33/$D33)))</f>
        <v/>
      </c>
      <c r="J33" s="3">
        <f>IF($A33="","",IF($B33="","",IF(TODAY()&lt;$B33+90,"-",SUMPRODUCT(('Picked Students (raw)'!$B$2:$B$824=$A33)*('Picked Students (raw)'!$E$2:$E$824="Career Gap/ Non Working")*('Picked Students (raw)'!$C$2:$C$824&lt;&gt;"")*(('Picked Students (raw)'!$C$2:$C$824-$B33)&lt;90)))))</f>
        <v/>
      </c>
      <c r="K33" s="5">
        <f>IF($A33="","",IF(J33="-","-",IF($D33=0,0,J33/$D33)))</f>
        <v/>
      </c>
      <c r="L33" s="3">
        <f>IF($A33="","",IF($B33="","",IF(TODAY()&lt;$B33+120,"-",SUMPRODUCT(('Picked Students (raw)'!$B$2:$B$824=$A33)*('Picked Students (raw)'!$E$2:$E$824="Career Gap/ Non Working")*('Picked Students (raw)'!$C$2:$C$824&lt;&gt;"")*(('Picked Students (raw)'!$C$2:$C$824-$B33)&lt;120)))))</f>
        <v/>
      </c>
      <c r="M33" s="5">
        <f>IF($A33="","",IF(L33="-","-",IF($D33=0,0,L33/$D33)))</f>
        <v/>
      </c>
      <c r="N33" s="3">
        <f>IF($A33="","",IF($B33="","",IF(TODAY()&lt;$B33+150,"-",SUMPRODUCT(('Picked Students (raw)'!$B$2:$B$824=$A33)*('Picked Students (raw)'!$E$2:$E$824="Career Gap/ Non Working")*('Picked Students (raw)'!$C$2:$C$824&lt;&gt;"")*(('Picked Students (raw)'!$C$2:$C$824-$B33)&lt;150)))))</f>
        <v/>
      </c>
      <c r="O33" s="5">
        <f>IF($A33="","",IF(N33="-","-",IF($D33=0,0,N33/$D33)))</f>
        <v/>
      </c>
      <c r="P33" s="3">
        <f>IF($A33="","",IF($B33="","",IF(TODAY()&lt;$B33+180,"-",SUMPRODUCT(('Picked Students (raw)'!$B$2:$B$824=$A33)*('Picked Students (raw)'!$E$2:$E$824="Career Gap/ Non Working")*('Picked Students (raw)'!$C$2:$C$824&lt;&gt;"")*(('Picked Students (raw)'!$C$2:$C$824-$B33)&lt;180)))))</f>
        <v/>
      </c>
      <c r="Q33" s="5">
        <f>IF($A33="","",IF(P33="-","-",IF($D33=0,0,P33/$D33)))</f>
        <v/>
      </c>
      <c r="R33" s="3">
        <f>IF($A33="","",IF($B33="","",IF(TODAY()&lt;$B33+210,"-",SUMPRODUCT(('Picked Students (raw)'!$B$2:$B$824=$A33)*('Picked Students (raw)'!$E$2:$E$824="Career Gap/ Non Working")*('Picked Students (raw)'!$C$2:$C$824&lt;&gt;"")*(('Picked Students (raw)'!$C$2:$C$824-$B33)&lt;210)))))</f>
        <v/>
      </c>
      <c r="S33" s="5">
        <f>IF($A33="","",IF(R33="-","-",IF($D33=0,0,R33/$D33)))</f>
        <v/>
      </c>
      <c r="T33" s="3">
        <f>IF($A33="","",IF($B33="","",IF(TODAY()&lt;$B33+240,"-",SUMPRODUCT(('Picked Students (raw)'!$B$2:$B$824=$A33)*('Picked Students (raw)'!$E$2:$E$824="Career Gap/ Non Working")*('Picked Students (raw)'!$C$2:$C$824&lt;&gt;"")*(('Picked Students (raw)'!$C$2:$C$824-$B33)&lt;240)))))</f>
        <v/>
      </c>
      <c r="U33" s="5">
        <f>IF($A33="","",IF(T33="-","-",IF($D33=0,0,T33/$D33)))</f>
        <v/>
      </c>
      <c r="V33" s="3">
        <f>IF($A33="","",IF($B33="","",IF(TODAY()&lt;$B33+270,"-",SUMPRODUCT(('Picked Students (raw)'!$B$2:$B$824=$A33)*('Picked Students (raw)'!$E$2:$E$824="Career Gap/ Non Working")*('Picked Students (raw)'!$C$2:$C$824&lt;&gt;"")*(('Picked Students (raw)'!$C$2:$C$824-$B33)&lt;270)))))</f>
        <v/>
      </c>
      <c r="W33" s="5">
        <f>IF($A33="","",IF(V33="-","-",IF($D33=0,0,V33/$D33)))</f>
        <v/>
      </c>
      <c r="X33" s="3">
        <f>IF($A33="","",IF($B33="","",IF(TODAY()&lt;$B33+300,"-",SUMPRODUCT(('Picked Students (raw)'!$B$2:$B$824=$A33)*('Picked Students (raw)'!$E$2:$E$824="Career Gap/ Non Working")*('Picked Students (raw)'!$C$2:$C$824&lt;&gt;"")*(('Picked Students (raw)'!$C$2:$C$824-$B33)&lt;300)))))</f>
        <v/>
      </c>
      <c r="Y33" s="5">
        <f>IF($A33="","",IF(X33="-","-",IF($D33=0,0,X33/$D33)))</f>
        <v/>
      </c>
      <c r="Z33" s="3">
        <f>IF($A33="","",IF($B33="","",IF(TODAY()&lt;$B33+330,"-",SUMPRODUCT(('Picked Students (raw)'!$B$2:$B$824=$A33)*('Picked Students (raw)'!$E$2:$E$824="Career Gap/ Non Working")*('Picked Students (raw)'!$C$2:$C$824&lt;&gt;"")*(('Picked Students (raw)'!$C$2:$C$824-$B33)&lt;330)))))</f>
        <v/>
      </c>
      <c r="AA33" s="5">
        <f>IF($A33="","",IF(Z33="-","-",IF($D33=0,0,Z33/$D33)))</f>
        <v/>
      </c>
      <c r="AB33" s="3">
        <f>IF($A33="","",IF($B33="","",IF(TODAY()&lt;$B33+360,"-",SUMPRODUCT(('Picked Students (raw)'!$B$2:$B$824=$A33)*('Picked Students (raw)'!$E$2:$E$824="Career Gap/ Non Working")*('Picked Students (raw)'!$C$2:$C$824&lt;&gt;"")*(('Picked Students (raw)'!$C$2:$C$824-$B33)&lt;360)))))</f>
        <v/>
      </c>
      <c r="AC33" s="5">
        <f>IF($A33="","",IF(AB33="-","-",IF($D33=0,0,AB33/$D33)))</f>
        <v/>
      </c>
      <c r="AD33" s="3">
        <f>IF($A33="","",IF($B33="","",IF(TODAY()&lt;$B33+390,"-",SUMPRODUCT(('Picked Students (raw)'!$B$2:$B$824=$A33)*('Picked Students (raw)'!$E$2:$E$824="Career Gap/ Non Working")*('Picked Students (raw)'!$C$2:$C$824&lt;&gt;"")*(('Picked Students (raw)'!$C$2:$C$824-$B33)&lt;390)))))</f>
        <v/>
      </c>
      <c r="AE33" s="5">
        <f>IF($A33="","",IF(AD33="-","-",IF($D33=0,0,AD33/$D33)))</f>
        <v/>
      </c>
      <c r="AF33" s="3">
        <f>IF($A33="","",IF($B33="","",IF(TODAY()&lt;$B33+420,"-",SUMPRODUCT(('Picked Students (raw)'!$B$2:$B$824=$A33)*('Picked Students (raw)'!$E$2:$E$824="Career Gap/ Non Working")*('Picked Students (raw)'!$C$2:$C$824&lt;&gt;"")*(('Picked Students (raw)'!$C$2:$C$824-$B33)&lt;420)))))</f>
        <v/>
      </c>
      <c r="AG33" s="5">
        <f>IF($A33="","",IF(AF33="-","-",IF($D33=0,0,AF33/$D33)))</f>
        <v/>
      </c>
      <c r="AH33" s="3">
        <f>IF($A33="","",IF($B33="","",IF(TODAY()&lt;$B33+450,"-",SUMPRODUCT(('Picked Students (raw)'!$B$2:$B$824=$A33)*('Picked Students (raw)'!$E$2:$E$824="Career Gap/ Non Working")*('Picked Students (raw)'!$C$2:$C$824&lt;&gt;"")*(('Picked Students (raw)'!$C$2:$C$824-$B33)&lt;450)))))</f>
        <v/>
      </c>
      <c r="AI33" s="5">
        <f>IF($A33="","",IF(AH33="-","-",IF($D33=0,0,AH33/$D33)))</f>
        <v/>
      </c>
      <c r="AJ33" s="3">
        <f>IF($A33="","",IF($B33="","",IF(TODAY()&lt;$B33+480,"-",SUMPRODUCT(('Picked Students (raw)'!$B$2:$B$824=$A33)*('Picked Students (raw)'!$E$2:$E$824="Career Gap/ Non Working")*('Picked Students (raw)'!$C$2:$C$824&lt;&gt;"")*(('Picked Students (raw)'!$C$2:$C$824-$B33)&lt;480)))))</f>
        <v/>
      </c>
      <c r="AK33" s="5">
        <f>IF($A33="","",IF(AJ33="-","-",IF($D33=0,0,AJ33/$D33)))</f>
        <v/>
      </c>
      <c r="AL33" s="3">
        <f>IF($A33="","",IF($B33="","",IF(TODAY()&lt;$B33+510,"-",SUMPRODUCT(('Picked Students (raw)'!$B$2:$B$824=$A33)*('Picked Students (raw)'!$E$2:$E$824="Career Gap/ Non Working")*('Picked Students (raw)'!$C$2:$C$824&lt;&gt;"")*(('Picked Students (raw)'!$C$2:$C$824-$B33)&lt;510)))))</f>
        <v/>
      </c>
      <c r="AM33" s="5">
        <f>IF($A33="","",IF(AL33="-","-",IF($D33=0,0,AL33/$D33)))</f>
        <v/>
      </c>
      <c r="AN33" s="3">
        <f>IF($A33="","",IF($B33="","",IF(TODAY()&lt;$B33+540,"-",SUMPRODUCT(('Picked Students (raw)'!$B$2:$B$824=$A33)*('Picked Students (raw)'!$E$2:$E$824="Career Gap/ Non Working")*('Picked Students (raw)'!$C$2:$C$824&lt;&gt;"")*(('Picked Students (raw)'!$C$2:$C$824-$B33)&lt;540)))))</f>
        <v/>
      </c>
      <c r="AO33" s="5">
        <f>IF($A33="","",IF(AN33="-","-",IF($D33=0,0,AN33/$D33)))</f>
        <v/>
      </c>
      <c r="AP33" s="3">
        <f>IF($A33="","",IF(AN33="-","-",$E33-AN33))</f>
        <v/>
      </c>
    </row>
    <row r="34">
      <c r="A34" s="3" t="inlineStr">
        <is>
          <t>Professional Certificate Course In Data Science September 2025</t>
        </is>
      </c>
      <c r="B34" s="4">
        <f>IF($A34="","",IFERROR(INDEX('Batch Enrollment (Metabase)'!$D$2:$D$47,MATCH($A34,'Batch Enrollment (Metabase)'!$A$2:$A$47,0)),""))</f>
        <v/>
      </c>
      <c r="C34" s="3">
        <f>IF($A34="","",IFERROR(INDEX('Batch Enrollment (Metabase)'!$E$2:$E$47,MATCH($A34,'Batch Enrollment (Metabase)'!$A$2:$A$47,0)),""))</f>
        <v/>
      </c>
      <c r="D34" s="3">
        <f>IF($A34="","",IFERROR(INDEX('Batch Enrollment (Metabase)'!$F$2:$F$47,MATCH($A34,'Batch Enrollment (Metabase)'!$A$2:$A$47,0)),""))</f>
        <v/>
      </c>
      <c r="E34" s="3">
        <f>IF($A34="","",COUNTIFS('Picked Students (raw)'!$B$2:$B$824,$A34,'Picked Students (raw)'!$E$2:$E$824,"Career Gap/ Non Working"))</f>
        <v/>
      </c>
      <c r="F34" s="3">
        <f>IF($A34="","",IF($B34="","",IF(TODAY()&lt;$B34+30,"-",SUMPRODUCT(('Picked Students (raw)'!$B$2:$B$824=$A34)*('Picked Students (raw)'!$E$2:$E$824="Career Gap/ Non Working")*('Picked Students (raw)'!$C$2:$C$824&lt;&gt;"")*(('Picked Students (raw)'!$C$2:$C$824-$B34)&lt;30)))))</f>
        <v/>
      </c>
      <c r="G34" s="5">
        <f>IF($A34="","",IF(F34="-","-",IF($D34=0,0,F34/$D34)))</f>
        <v/>
      </c>
      <c r="H34" s="3">
        <f>IF($A34="","",IF($B34="","",IF(TODAY()&lt;$B34+60,"-",SUMPRODUCT(('Picked Students (raw)'!$B$2:$B$824=$A34)*('Picked Students (raw)'!$E$2:$E$824="Career Gap/ Non Working")*('Picked Students (raw)'!$C$2:$C$824&lt;&gt;"")*(('Picked Students (raw)'!$C$2:$C$824-$B34)&lt;60)))))</f>
        <v/>
      </c>
      <c r="I34" s="5">
        <f>IF($A34="","",IF(H34="-","-",IF($D34=0,0,H34/$D34)))</f>
        <v/>
      </c>
      <c r="J34" s="3">
        <f>IF($A34="","",IF($B34="","",IF(TODAY()&lt;$B34+90,"-",SUMPRODUCT(('Picked Students (raw)'!$B$2:$B$824=$A34)*('Picked Students (raw)'!$E$2:$E$824="Career Gap/ Non Working")*('Picked Students (raw)'!$C$2:$C$824&lt;&gt;"")*(('Picked Students (raw)'!$C$2:$C$824-$B34)&lt;90)))))</f>
        <v/>
      </c>
      <c r="K34" s="5">
        <f>IF($A34="","",IF(J34="-","-",IF($D34=0,0,J34/$D34)))</f>
        <v/>
      </c>
      <c r="L34" s="3">
        <f>IF($A34="","",IF($B34="","",IF(TODAY()&lt;$B34+120,"-",SUMPRODUCT(('Picked Students (raw)'!$B$2:$B$824=$A34)*('Picked Students (raw)'!$E$2:$E$824="Career Gap/ Non Working")*('Picked Students (raw)'!$C$2:$C$824&lt;&gt;"")*(('Picked Students (raw)'!$C$2:$C$824-$B34)&lt;120)))))</f>
        <v/>
      </c>
      <c r="M34" s="5">
        <f>IF($A34="","",IF(L34="-","-",IF($D34=0,0,L34/$D34)))</f>
        <v/>
      </c>
      <c r="N34" s="3">
        <f>IF($A34="","",IF($B34="","",IF(TODAY()&lt;$B34+150,"-",SUMPRODUCT(('Picked Students (raw)'!$B$2:$B$824=$A34)*('Picked Students (raw)'!$E$2:$E$824="Career Gap/ Non Working")*('Picked Students (raw)'!$C$2:$C$824&lt;&gt;"")*(('Picked Students (raw)'!$C$2:$C$824-$B34)&lt;150)))))</f>
        <v/>
      </c>
      <c r="O34" s="5">
        <f>IF($A34="","",IF(N34="-","-",IF($D34=0,0,N34/$D34)))</f>
        <v/>
      </c>
      <c r="P34" s="3">
        <f>IF($A34="","",IF($B34="","",IF(TODAY()&lt;$B34+180,"-",SUMPRODUCT(('Picked Students (raw)'!$B$2:$B$824=$A34)*('Picked Students (raw)'!$E$2:$E$824="Career Gap/ Non Working")*('Picked Students (raw)'!$C$2:$C$824&lt;&gt;"")*(('Picked Students (raw)'!$C$2:$C$824-$B34)&lt;180)))))</f>
        <v/>
      </c>
      <c r="Q34" s="5">
        <f>IF($A34="","",IF(P34="-","-",IF($D34=0,0,P34/$D34)))</f>
        <v/>
      </c>
      <c r="R34" s="3">
        <f>IF($A34="","",IF($B34="","",IF(TODAY()&lt;$B34+210,"-",SUMPRODUCT(('Picked Students (raw)'!$B$2:$B$824=$A34)*('Picked Students (raw)'!$E$2:$E$824="Career Gap/ Non Working")*('Picked Students (raw)'!$C$2:$C$824&lt;&gt;"")*(('Picked Students (raw)'!$C$2:$C$824-$B34)&lt;210)))))</f>
        <v/>
      </c>
      <c r="S34" s="5">
        <f>IF($A34="","",IF(R34="-","-",IF($D34=0,0,R34/$D34)))</f>
        <v/>
      </c>
      <c r="T34" s="3">
        <f>IF($A34="","",IF($B34="","",IF(TODAY()&lt;$B34+240,"-",SUMPRODUCT(('Picked Students (raw)'!$B$2:$B$824=$A34)*('Picked Students (raw)'!$E$2:$E$824="Career Gap/ Non Working")*('Picked Students (raw)'!$C$2:$C$824&lt;&gt;"")*(('Picked Students (raw)'!$C$2:$C$824-$B34)&lt;240)))))</f>
        <v/>
      </c>
      <c r="U34" s="5">
        <f>IF($A34="","",IF(T34="-","-",IF($D34=0,0,T34/$D34)))</f>
        <v/>
      </c>
      <c r="V34" s="3">
        <f>IF($A34="","",IF($B34="","",IF(TODAY()&lt;$B34+270,"-",SUMPRODUCT(('Picked Students (raw)'!$B$2:$B$824=$A34)*('Picked Students (raw)'!$E$2:$E$824="Career Gap/ Non Working")*('Picked Students (raw)'!$C$2:$C$824&lt;&gt;"")*(('Picked Students (raw)'!$C$2:$C$824-$B34)&lt;270)))))</f>
        <v/>
      </c>
      <c r="W34" s="5">
        <f>IF($A34="","",IF(V34="-","-",IF($D34=0,0,V34/$D34)))</f>
        <v/>
      </c>
      <c r="X34" s="3">
        <f>IF($A34="","",IF($B34="","",IF(TODAY()&lt;$B34+300,"-",SUMPRODUCT(('Picked Students (raw)'!$B$2:$B$824=$A34)*('Picked Students (raw)'!$E$2:$E$824="Career Gap/ Non Working")*('Picked Students (raw)'!$C$2:$C$824&lt;&gt;"")*(('Picked Students (raw)'!$C$2:$C$824-$B34)&lt;300)))))</f>
        <v/>
      </c>
      <c r="Y34" s="5">
        <f>IF($A34="","",IF(X34="-","-",IF($D34=0,0,X34/$D34)))</f>
        <v/>
      </c>
      <c r="Z34" s="3">
        <f>IF($A34="","",IF($B34="","",IF(TODAY()&lt;$B34+330,"-",SUMPRODUCT(('Picked Students (raw)'!$B$2:$B$824=$A34)*('Picked Students (raw)'!$E$2:$E$824="Career Gap/ Non Working")*('Picked Students (raw)'!$C$2:$C$824&lt;&gt;"")*(('Picked Students (raw)'!$C$2:$C$824-$B34)&lt;330)))))</f>
        <v/>
      </c>
      <c r="AA34" s="5">
        <f>IF($A34="","",IF(Z34="-","-",IF($D34=0,0,Z34/$D34)))</f>
        <v/>
      </c>
      <c r="AB34" s="3">
        <f>IF($A34="","",IF($B34="","",IF(TODAY()&lt;$B34+360,"-",SUMPRODUCT(('Picked Students (raw)'!$B$2:$B$824=$A34)*('Picked Students (raw)'!$E$2:$E$824="Career Gap/ Non Working")*('Picked Students (raw)'!$C$2:$C$824&lt;&gt;"")*(('Picked Students (raw)'!$C$2:$C$824-$B34)&lt;360)))))</f>
        <v/>
      </c>
      <c r="AC34" s="5">
        <f>IF($A34="","",IF(AB34="-","-",IF($D34=0,0,AB34/$D34)))</f>
        <v/>
      </c>
      <c r="AD34" s="3">
        <f>IF($A34="","",IF($B34="","",IF(TODAY()&lt;$B34+390,"-",SUMPRODUCT(('Picked Students (raw)'!$B$2:$B$824=$A34)*('Picked Students (raw)'!$E$2:$E$824="Career Gap/ Non Working")*('Picked Students (raw)'!$C$2:$C$824&lt;&gt;"")*(('Picked Students (raw)'!$C$2:$C$824-$B34)&lt;390)))))</f>
        <v/>
      </c>
      <c r="AE34" s="5">
        <f>IF($A34="","",IF(AD34="-","-",IF($D34=0,0,AD34/$D34)))</f>
        <v/>
      </c>
      <c r="AF34" s="3">
        <f>IF($A34="","",IF($B34="","",IF(TODAY()&lt;$B34+420,"-",SUMPRODUCT(('Picked Students (raw)'!$B$2:$B$824=$A34)*('Picked Students (raw)'!$E$2:$E$824="Career Gap/ Non Working")*('Picked Students (raw)'!$C$2:$C$824&lt;&gt;"")*(('Picked Students (raw)'!$C$2:$C$824-$B34)&lt;420)))))</f>
        <v/>
      </c>
      <c r="AG34" s="5">
        <f>IF($A34="","",IF(AF34="-","-",IF($D34=0,0,AF34/$D34)))</f>
        <v/>
      </c>
      <c r="AH34" s="3">
        <f>IF($A34="","",IF($B34="","",IF(TODAY()&lt;$B34+450,"-",SUMPRODUCT(('Picked Students (raw)'!$B$2:$B$824=$A34)*('Picked Students (raw)'!$E$2:$E$824="Career Gap/ Non Working")*('Picked Students (raw)'!$C$2:$C$824&lt;&gt;"")*(('Picked Students (raw)'!$C$2:$C$824-$B34)&lt;450)))))</f>
        <v/>
      </c>
      <c r="AI34" s="5">
        <f>IF($A34="","",IF(AH34="-","-",IF($D34=0,0,AH34/$D34)))</f>
        <v/>
      </c>
      <c r="AJ34" s="3">
        <f>IF($A34="","",IF($B34="","",IF(TODAY()&lt;$B34+480,"-",SUMPRODUCT(('Picked Students (raw)'!$B$2:$B$824=$A34)*('Picked Students (raw)'!$E$2:$E$824="Career Gap/ Non Working")*('Picked Students (raw)'!$C$2:$C$824&lt;&gt;"")*(('Picked Students (raw)'!$C$2:$C$824-$B34)&lt;480)))))</f>
        <v/>
      </c>
      <c r="AK34" s="5">
        <f>IF($A34="","",IF(AJ34="-","-",IF($D34=0,0,AJ34/$D34)))</f>
        <v/>
      </c>
      <c r="AL34" s="3">
        <f>IF($A34="","",IF($B34="","",IF(TODAY()&lt;$B34+510,"-",SUMPRODUCT(('Picked Students (raw)'!$B$2:$B$824=$A34)*('Picked Students (raw)'!$E$2:$E$824="Career Gap/ Non Working")*('Picked Students (raw)'!$C$2:$C$824&lt;&gt;"")*(('Picked Students (raw)'!$C$2:$C$824-$B34)&lt;510)))))</f>
        <v/>
      </c>
      <c r="AM34" s="5">
        <f>IF($A34="","",IF(AL34="-","-",IF($D34=0,0,AL34/$D34)))</f>
        <v/>
      </c>
      <c r="AN34" s="3">
        <f>IF($A34="","",IF($B34="","",IF(TODAY()&lt;$B34+540,"-",SUMPRODUCT(('Picked Students (raw)'!$B$2:$B$824=$A34)*('Picked Students (raw)'!$E$2:$E$824="Career Gap/ Non Working")*('Picked Students (raw)'!$C$2:$C$824&lt;&gt;"")*(('Picked Students (raw)'!$C$2:$C$824-$B34)&lt;540)))))</f>
        <v/>
      </c>
      <c r="AO34" s="5">
        <f>IF($A34="","",IF(AN34="-","-",IF($D34=0,0,AN34/$D34)))</f>
        <v/>
      </c>
      <c r="AP34" s="3">
        <f>IF($A34="","",IF(AN34="-","-",$E34-AN34))</f>
        <v/>
      </c>
    </row>
    <row r="35">
      <c r="A35" s="3" t="inlineStr">
        <is>
          <t>Professional Certificate Course In Data Science October 2025</t>
        </is>
      </c>
      <c r="B35" s="4">
        <f>IF($A35="","",IFERROR(INDEX('Batch Enrollment (Metabase)'!$D$2:$D$47,MATCH($A35,'Batch Enrollment (Metabase)'!$A$2:$A$47,0)),""))</f>
        <v/>
      </c>
      <c r="C35" s="3">
        <f>IF($A35="","",IFERROR(INDEX('Batch Enrollment (Metabase)'!$E$2:$E$47,MATCH($A35,'Batch Enrollment (Metabase)'!$A$2:$A$47,0)),""))</f>
        <v/>
      </c>
      <c r="D35" s="3">
        <f>IF($A35="","",IFERROR(INDEX('Batch Enrollment (Metabase)'!$F$2:$F$47,MATCH($A35,'Batch Enrollment (Metabase)'!$A$2:$A$47,0)),""))</f>
        <v/>
      </c>
      <c r="E35" s="3">
        <f>IF($A35="","",COUNTIFS('Picked Students (raw)'!$B$2:$B$824,$A35,'Picked Students (raw)'!$E$2:$E$824,"Career Gap/ Non Working"))</f>
        <v/>
      </c>
      <c r="F35" s="3">
        <f>IF($A35="","",IF($B35="","",IF(TODAY()&lt;$B35+30,"-",SUMPRODUCT(('Picked Students (raw)'!$B$2:$B$824=$A35)*('Picked Students (raw)'!$E$2:$E$824="Career Gap/ Non Working")*('Picked Students (raw)'!$C$2:$C$824&lt;&gt;"")*(('Picked Students (raw)'!$C$2:$C$824-$B35)&lt;30)))))</f>
        <v/>
      </c>
      <c r="G35" s="5">
        <f>IF($A35="","",IF(F35="-","-",IF($D35=0,0,F35/$D35)))</f>
        <v/>
      </c>
      <c r="H35" s="3">
        <f>IF($A35="","",IF($B35="","",IF(TODAY()&lt;$B35+60,"-",SUMPRODUCT(('Picked Students (raw)'!$B$2:$B$824=$A35)*('Picked Students (raw)'!$E$2:$E$824="Career Gap/ Non Working")*('Picked Students (raw)'!$C$2:$C$824&lt;&gt;"")*(('Picked Students (raw)'!$C$2:$C$824-$B35)&lt;60)))))</f>
        <v/>
      </c>
      <c r="I35" s="5">
        <f>IF($A35="","",IF(H35="-","-",IF($D35=0,0,H35/$D35)))</f>
        <v/>
      </c>
      <c r="J35" s="3">
        <f>IF($A35="","",IF($B35="","",IF(TODAY()&lt;$B35+90,"-",SUMPRODUCT(('Picked Students (raw)'!$B$2:$B$824=$A35)*('Picked Students (raw)'!$E$2:$E$824="Career Gap/ Non Working")*('Picked Students (raw)'!$C$2:$C$824&lt;&gt;"")*(('Picked Students (raw)'!$C$2:$C$824-$B35)&lt;90)))))</f>
        <v/>
      </c>
      <c r="K35" s="5">
        <f>IF($A35="","",IF(J35="-","-",IF($D35=0,0,J35/$D35)))</f>
        <v/>
      </c>
      <c r="L35" s="3">
        <f>IF($A35="","",IF($B35="","",IF(TODAY()&lt;$B35+120,"-",SUMPRODUCT(('Picked Students (raw)'!$B$2:$B$824=$A35)*('Picked Students (raw)'!$E$2:$E$824="Career Gap/ Non Working")*('Picked Students (raw)'!$C$2:$C$824&lt;&gt;"")*(('Picked Students (raw)'!$C$2:$C$824-$B35)&lt;120)))))</f>
        <v/>
      </c>
      <c r="M35" s="5">
        <f>IF($A35="","",IF(L35="-","-",IF($D35=0,0,L35/$D35)))</f>
        <v/>
      </c>
      <c r="N35" s="3">
        <f>IF($A35="","",IF($B35="","",IF(TODAY()&lt;$B35+150,"-",SUMPRODUCT(('Picked Students (raw)'!$B$2:$B$824=$A35)*('Picked Students (raw)'!$E$2:$E$824="Career Gap/ Non Working")*('Picked Students (raw)'!$C$2:$C$824&lt;&gt;"")*(('Picked Students (raw)'!$C$2:$C$824-$B35)&lt;150)))))</f>
        <v/>
      </c>
      <c r="O35" s="5">
        <f>IF($A35="","",IF(N35="-","-",IF($D35=0,0,N35/$D35)))</f>
        <v/>
      </c>
      <c r="P35" s="3">
        <f>IF($A35="","",IF($B35="","",IF(TODAY()&lt;$B35+180,"-",SUMPRODUCT(('Picked Students (raw)'!$B$2:$B$824=$A35)*('Picked Students (raw)'!$E$2:$E$824="Career Gap/ Non Working")*('Picked Students (raw)'!$C$2:$C$824&lt;&gt;"")*(('Picked Students (raw)'!$C$2:$C$824-$B35)&lt;180)))))</f>
        <v/>
      </c>
      <c r="Q35" s="5">
        <f>IF($A35="","",IF(P35="-","-",IF($D35=0,0,P35/$D35)))</f>
        <v/>
      </c>
      <c r="R35" s="3">
        <f>IF($A35="","",IF($B35="","",IF(TODAY()&lt;$B35+210,"-",SUMPRODUCT(('Picked Students (raw)'!$B$2:$B$824=$A35)*('Picked Students (raw)'!$E$2:$E$824="Career Gap/ Non Working")*('Picked Students (raw)'!$C$2:$C$824&lt;&gt;"")*(('Picked Students (raw)'!$C$2:$C$824-$B35)&lt;210)))))</f>
        <v/>
      </c>
      <c r="S35" s="5">
        <f>IF($A35="","",IF(R35="-","-",IF($D35=0,0,R35/$D35)))</f>
        <v/>
      </c>
      <c r="T35" s="3">
        <f>IF($A35="","",IF($B35="","",IF(TODAY()&lt;$B35+240,"-",SUMPRODUCT(('Picked Students (raw)'!$B$2:$B$824=$A35)*('Picked Students (raw)'!$E$2:$E$824="Career Gap/ Non Working")*('Picked Students (raw)'!$C$2:$C$824&lt;&gt;"")*(('Picked Students (raw)'!$C$2:$C$824-$B35)&lt;240)))))</f>
        <v/>
      </c>
      <c r="U35" s="5">
        <f>IF($A35="","",IF(T35="-","-",IF($D35=0,0,T35/$D35)))</f>
        <v/>
      </c>
      <c r="V35" s="3">
        <f>IF($A35="","",IF($B35="","",IF(TODAY()&lt;$B35+270,"-",SUMPRODUCT(('Picked Students (raw)'!$B$2:$B$824=$A35)*('Picked Students (raw)'!$E$2:$E$824="Career Gap/ Non Working")*('Picked Students (raw)'!$C$2:$C$824&lt;&gt;"")*(('Picked Students (raw)'!$C$2:$C$824-$B35)&lt;270)))))</f>
        <v/>
      </c>
      <c r="W35" s="5">
        <f>IF($A35="","",IF(V35="-","-",IF($D35=0,0,V35/$D35)))</f>
        <v/>
      </c>
      <c r="X35" s="3">
        <f>IF($A35="","",IF($B35="","",IF(TODAY()&lt;$B35+300,"-",SUMPRODUCT(('Picked Students (raw)'!$B$2:$B$824=$A35)*('Picked Students (raw)'!$E$2:$E$824="Career Gap/ Non Working")*('Picked Students (raw)'!$C$2:$C$824&lt;&gt;"")*(('Picked Students (raw)'!$C$2:$C$824-$B35)&lt;300)))))</f>
        <v/>
      </c>
      <c r="Y35" s="5">
        <f>IF($A35="","",IF(X35="-","-",IF($D35=0,0,X35/$D35)))</f>
        <v/>
      </c>
      <c r="Z35" s="3">
        <f>IF($A35="","",IF($B35="","",IF(TODAY()&lt;$B35+330,"-",SUMPRODUCT(('Picked Students (raw)'!$B$2:$B$824=$A35)*('Picked Students (raw)'!$E$2:$E$824="Career Gap/ Non Working")*('Picked Students (raw)'!$C$2:$C$824&lt;&gt;"")*(('Picked Students (raw)'!$C$2:$C$824-$B35)&lt;330)))))</f>
        <v/>
      </c>
      <c r="AA35" s="5">
        <f>IF($A35="","",IF(Z35="-","-",IF($D35=0,0,Z35/$D35)))</f>
        <v/>
      </c>
      <c r="AB35" s="3">
        <f>IF($A35="","",IF($B35="","",IF(TODAY()&lt;$B35+360,"-",SUMPRODUCT(('Picked Students (raw)'!$B$2:$B$824=$A35)*('Picked Students (raw)'!$E$2:$E$824="Career Gap/ Non Working")*('Picked Students (raw)'!$C$2:$C$824&lt;&gt;"")*(('Picked Students (raw)'!$C$2:$C$824-$B35)&lt;360)))))</f>
        <v/>
      </c>
      <c r="AC35" s="5">
        <f>IF($A35="","",IF(AB35="-","-",IF($D35=0,0,AB35/$D35)))</f>
        <v/>
      </c>
      <c r="AD35" s="3">
        <f>IF($A35="","",IF($B35="","",IF(TODAY()&lt;$B35+390,"-",SUMPRODUCT(('Picked Students (raw)'!$B$2:$B$824=$A35)*('Picked Students (raw)'!$E$2:$E$824="Career Gap/ Non Working")*('Picked Students (raw)'!$C$2:$C$824&lt;&gt;"")*(('Picked Students (raw)'!$C$2:$C$824-$B35)&lt;390)))))</f>
        <v/>
      </c>
      <c r="AE35" s="5">
        <f>IF($A35="","",IF(AD35="-","-",IF($D35=0,0,AD35/$D35)))</f>
        <v/>
      </c>
      <c r="AF35" s="3">
        <f>IF($A35="","",IF($B35="","",IF(TODAY()&lt;$B35+420,"-",SUMPRODUCT(('Picked Students (raw)'!$B$2:$B$824=$A35)*('Picked Students (raw)'!$E$2:$E$824="Career Gap/ Non Working")*('Picked Students (raw)'!$C$2:$C$824&lt;&gt;"")*(('Picked Students (raw)'!$C$2:$C$824-$B35)&lt;420)))))</f>
        <v/>
      </c>
      <c r="AG35" s="5">
        <f>IF($A35="","",IF(AF35="-","-",IF($D35=0,0,AF35/$D35)))</f>
        <v/>
      </c>
      <c r="AH35" s="3">
        <f>IF($A35="","",IF($B35="","",IF(TODAY()&lt;$B35+450,"-",SUMPRODUCT(('Picked Students (raw)'!$B$2:$B$824=$A35)*('Picked Students (raw)'!$E$2:$E$824="Career Gap/ Non Working")*('Picked Students (raw)'!$C$2:$C$824&lt;&gt;"")*(('Picked Students (raw)'!$C$2:$C$824-$B35)&lt;450)))))</f>
        <v/>
      </c>
      <c r="AI35" s="5">
        <f>IF($A35="","",IF(AH35="-","-",IF($D35=0,0,AH35/$D35)))</f>
        <v/>
      </c>
      <c r="AJ35" s="3">
        <f>IF($A35="","",IF($B35="","",IF(TODAY()&lt;$B35+480,"-",SUMPRODUCT(('Picked Students (raw)'!$B$2:$B$824=$A35)*('Picked Students (raw)'!$E$2:$E$824="Career Gap/ Non Working")*('Picked Students (raw)'!$C$2:$C$824&lt;&gt;"")*(('Picked Students (raw)'!$C$2:$C$824-$B35)&lt;480)))))</f>
        <v/>
      </c>
      <c r="AK35" s="5">
        <f>IF($A35="","",IF(AJ35="-","-",IF($D35=0,0,AJ35/$D35)))</f>
        <v/>
      </c>
      <c r="AL35" s="3">
        <f>IF($A35="","",IF($B35="","",IF(TODAY()&lt;$B35+510,"-",SUMPRODUCT(('Picked Students (raw)'!$B$2:$B$824=$A35)*('Picked Students (raw)'!$E$2:$E$824="Career Gap/ Non Working")*('Picked Students (raw)'!$C$2:$C$824&lt;&gt;"")*(('Picked Students (raw)'!$C$2:$C$824-$B35)&lt;510)))))</f>
        <v/>
      </c>
      <c r="AM35" s="5">
        <f>IF($A35="","",IF(AL35="-","-",IF($D35=0,0,AL35/$D35)))</f>
        <v/>
      </c>
      <c r="AN35" s="3">
        <f>IF($A35="","",IF($B35="","",IF(TODAY()&lt;$B35+540,"-",SUMPRODUCT(('Picked Students (raw)'!$B$2:$B$824=$A35)*('Picked Students (raw)'!$E$2:$E$824="Career Gap/ Non Working")*('Picked Students (raw)'!$C$2:$C$824&lt;&gt;"")*(('Picked Students (raw)'!$C$2:$C$824-$B35)&lt;540)))))</f>
        <v/>
      </c>
      <c r="AO35" s="5">
        <f>IF($A35="","",IF(AN35="-","-",IF($D35=0,0,AN35/$D35)))</f>
        <v/>
      </c>
      <c r="AP35" s="3">
        <f>IF($A35="","",IF(AN35="-","-",$E35-AN35))</f>
        <v/>
      </c>
    </row>
    <row r="36">
      <c r="A36" s="3" t="inlineStr">
        <is>
          <t>Professional Certificate Course In Data Science November 2025</t>
        </is>
      </c>
      <c r="B36" s="4">
        <f>IF($A36="","",IFERROR(INDEX('Batch Enrollment (Metabase)'!$D$2:$D$47,MATCH($A36,'Batch Enrollment (Metabase)'!$A$2:$A$47,0)),""))</f>
        <v/>
      </c>
      <c r="C36" s="3">
        <f>IF($A36="","",IFERROR(INDEX('Batch Enrollment (Metabase)'!$E$2:$E$47,MATCH($A36,'Batch Enrollment (Metabase)'!$A$2:$A$47,0)),""))</f>
        <v/>
      </c>
      <c r="D36" s="3">
        <f>IF($A36="","",IFERROR(INDEX('Batch Enrollment (Metabase)'!$F$2:$F$47,MATCH($A36,'Batch Enrollment (Metabase)'!$A$2:$A$47,0)),""))</f>
        <v/>
      </c>
      <c r="E36" s="3">
        <f>IF($A36="","",COUNTIFS('Picked Students (raw)'!$B$2:$B$824,$A36,'Picked Students (raw)'!$E$2:$E$824,"Career Gap/ Non Working"))</f>
        <v/>
      </c>
      <c r="F36" s="3">
        <f>IF($A36="","",IF($B36="","",IF(TODAY()&lt;$B36+30,"-",SUMPRODUCT(('Picked Students (raw)'!$B$2:$B$824=$A36)*('Picked Students (raw)'!$E$2:$E$824="Career Gap/ Non Working")*('Picked Students (raw)'!$C$2:$C$824&lt;&gt;"")*(('Picked Students (raw)'!$C$2:$C$824-$B36)&lt;30)))))</f>
        <v/>
      </c>
      <c r="G36" s="5">
        <f>IF($A36="","",IF(F36="-","-",IF($D36=0,0,F36/$D36)))</f>
        <v/>
      </c>
      <c r="H36" s="3">
        <f>IF($A36="","",IF($B36="","",IF(TODAY()&lt;$B36+60,"-",SUMPRODUCT(('Picked Students (raw)'!$B$2:$B$824=$A36)*('Picked Students (raw)'!$E$2:$E$824="Career Gap/ Non Working")*('Picked Students (raw)'!$C$2:$C$824&lt;&gt;"")*(('Picked Students (raw)'!$C$2:$C$824-$B36)&lt;60)))))</f>
        <v/>
      </c>
      <c r="I36" s="5">
        <f>IF($A36="","",IF(H36="-","-",IF($D36=0,0,H36/$D36)))</f>
        <v/>
      </c>
      <c r="J36" s="3">
        <f>IF($A36="","",IF($B36="","",IF(TODAY()&lt;$B36+90,"-",SUMPRODUCT(('Picked Students (raw)'!$B$2:$B$824=$A36)*('Picked Students (raw)'!$E$2:$E$824="Career Gap/ Non Working")*('Picked Students (raw)'!$C$2:$C$824&lt;&gt;"")*(('Picked Students (raw)'!$C$2:$C$824-$B36)&lt;90)))))</f>
        <v/>
      </c>
      <c r="K36" s="5">
        <f>IF($A36="","",IF(J36="-","-",IF($D36=0,0,J36/$D36)))</f>
        <v/>
      </c>
      <c r="L36" s="3">
        <f>IF($A36="","",IF($B36="","",IF(TODAY()&lt;$B36+120,"-",SUMPRODUCT(('Picked Students (raw)'!$B$2:$B$824=$A36)*('Picked Students (raw)'!$E$2:$E$824="Career Gap/ Non Working")*('Picked Students (raw)'!$C$2:$C$824&lt;&gt;"")*(('Picked Students (raw)'!$C$2:$C$824-$B36)&lt;120)))))</f>
        <v/>
      </c>
      <c r="M36" s="5">
        <f>IF($A36="","",IF(L36="-","-",IF($D36=0,0,L36/$D36)))</f>
        <v/>
      </c>
      <c r="N36" s="3">
        <f>IF($A36="","",IF($B36="","",IF(TODAY()&lt;$B36+150,"-",SUMPRODUCT(('Picked Students (raw)'!$B$2:$B$824=$A36)*('Picked Students (raw)'!$E$2:$E$824="Career Gap/ Non Working")*('Picked Students (raw)'!$C$2:$C$824&lt;&gt;"")*(('Picked Students (raw)'!$C$2:$C$824-$B36)&lt;150)))))</f>
        <v/>
      </c>
      <c r="O36" s="5">
        <f>IF($A36="","",IF(N36="-","-",IF($D36=0,0,N36/$D36)))</f>
        <v/>
      </c>
      <c r="P36" s="3">
        <f>IF($A36="","",IF($B36="","",IF(TODAY()&lt;$B36+180,"-",SUMPRODUCT(('Picked Students (raw)'!$B$2:$B$824=$A36)*('Picked Students (raw)'!$E$2:$E$824="Career Gap/ Non Working")*('Picked Students (raw)'!$C$2:$C$824&lt;&gt;"")*(('Picked Students (raw)'!$C$2:$C$824-$B36)&lt;180)))))</f>
        <v/>
      </c>
      <c r="Q36" s="5">
        <f>IF($A36="","",IF(P36="-","-",IF($D36=0,0,P36/$D36)))</f>
        <v/>
      </c>
      <c r="R36" s="3">
        <f>IF($A36="","",IF($B36="","",IF(TODAY()&lt;$B36+210,"-",SUMPRODUCT(('Picked Students (raw)'!$B$2:$B$824=$A36)*('Picked Students (raw)'!$E$2:$E$824="Career Gap/ Non Working")*('Picked Students (raw)'!$C$2:$C$824&lt;&gt;"")*(('Picked Students (raw)'!$C$2:$C$824-$B36)&lt;210)))))</f>
        <v/>
      </c>
      <c r="S36" s="5">
        <f>IF($A36="","",IF(R36="-","-",IF($D36=0,0,R36/$D36)))</f>
        <v/>
      </c>
      <c r="T36" s="3">
        <f>IF($A36="","",IF($B36="","",IF(TODAY()&lt;$B36+240,"-",SUMPRODUCT(('Picked Students (raw)'!$B$2:$B$824=$A36)*('Picked Students (raw)'!$E$2:$E$824="Career Gap/ Non Working")*('Picked Students (raw)'!$C$2:$C$824&lt;&gt;"")*(('Picked Students (raw)'!$C$2:$C$824-$B36)&lt;240)))))</f>
        <v/>
      </c>
      <c r="U36" s="5">
        <f>IF($A36="","",IF(T36="-","-",IF($D36=0,0,T36/$D36)))</f>
        <v/>
      </c>
      <c r="V36" s="3">
        <f>IF($A36="","",IF($B36="","",IF(TODAY()&lt;$B36+270,"-",SUMPRODUCT(('Picked Students (raw)'!$B$2:$B$824=$A36)*('Picked Students (raw)'!$E$2:$E$824="Career Gap/ Non Working")*('Picked Students (raw)'!$C$2:$C$824&lt;&gt;"")*(('Picked Students (raw)'!$C$2:$C$824-$B36)&lt;270)))))</f>
        <v/>
      </c>
      <c r="W36" s="5">
        <f>IF($A36="","",IF(V36="-","-",IF($D36=0,0,V36/$D36)))</f>
        <v/>
      </c>
      <c r="X36" s="3">
        <f>IF($A36="","",IF($B36="","",IF(TODAY()&lt;$B36+300,"-",SUMPRODUCT(('Picked Students (raw)'!$B$2:$B$824=$A36)*('Picked Students (raw)'!$E$2:$E$824="Career Gap/ Non Working")*('Picked Students (raw)'!$C$2:$C$824&lt;&gt;"")*(('Picked Students (raw)'!$C$2:$C$824-$B36)&lt;300)))))</f>
        <v/>
      </c>
      <c r="Y36" s="5">
        <f>IF($A36="","",IF(X36="-","-",IF($D36=0,0,X36/$D36)))</f>
        <v/>
      </c>
      <c r="Z36" s="3">
        <f>IF($A36="","",IF($B36="","",IF(TODAY()&lt;$B36+330,"-",SUMPRODUCT(('Picked Students (raw)'!$B$2:$B$824=$A36)*('Picked Students (raw)'!$E$2:$E$824="Career Gap/ Non Working")*('Picked Students (raw)'!$C$2:$C$824&lt;&gt;"")*(('Picked Students (raw)'!$C$2:$C$824-$B36)&lt;330)))))</f>
        <v/>
      </c>
      <c r="AA36" s="5">
        <f>IF($A36="","",IF(Z36="-","-",IF($D36=0,0,Z36/$D36)))</f>
        <v/>
      </c>
      <c r="AB36" s="3">
        <f>IF($A36="","",IF($B36="","",IF(TODAY()&lt;$B36+360,"-",SUMPRODUCT(('Picked Students (raw)'!$B$2:$B$824=$A36)*('Picked Students (raw)'!$E$2:$E$824="Career Gap/ Non Working")*('Picked Students (raw)'!$C$2:$C$824&lt;&gt;"")*(('Picked Students (raw)'!$C$2:$C$824-$B36)&lt;360)))))</f>
        <v/>
      </c>
      <c r="AC36" s="5">
        <f>IF($A36="","",IF(AB36="-","-",IF($D36=0,0,AB36/$D36)))</f>
        <v/>
      </c>
      <c r="AD36" s="3">
        <f>IF($A36="","",IF($B36="","",IF(TODAY()&lt;$B36+390,"-",SUMPRODUCT(('Picked Students (raw)'!$B$2:$B$824=$A36)*('Picked Students (raw)'!$E$2:$E$824="Career Gap/ Non Working")*('Picked Students (raw)'!$C$2:$C$824&lt;&gt;"")*(('Picked Students (raw)'!$C$2:$C$824-$B36)&lt;390)))))</f>
        <v/>
      </c>
      <c r="AE36" s="5">
        <f>IF($A36="","",IF(AD36="-","-",IF($D36=0,0,AD36/$D36)))</f>
        <v/>
      </c>
      <c r="AF36" s="3">
        <f>IF($A36="","",IF($B36="","",IF(TODAY()&lt;$B36+420,"-",SUMPRODUCT(('Picked Students (raw)'!$B$2:$B$824=$A36)*('Picked Students (raw)'!$E$2:$E$824="Career Gap/ Non Working")*('Picked Students (raw)'!$C$2:$C$824&lt;&gt;"")*(('Picked Students (raw)'!$C$2:$C$824-$B36)&lt;420)))))</f>
        <v/>
      </c>
      <c r="AG36" s="5">
        <f>IF($A36="","",IF(AF36="-","-",IF($D36=0,0,AF36/$D36)))</f>
        <v/>
      </c>
      <c r="AH36" s="3">
        <f>IF($A36="","",IF($B36="","",IF(TODAY()&lt;$B36+450,"-",SUMPRODUCT(('Picked Students (raw)'!$B$2:$B$824=$A36)*('Picked Students (raw)'!$E$2:$E$824="Career Gap/ Non Working")*('Picked Students (raw)'!$C$2:$C$824&lt;&gt;"")*(('Picked Students (raw)'!$C$2:$C$824-$B36)&lt;450)))))</f>
        <v/>
      </c>
      <c r="AI36" s="5">
        <f>IF($A36="","",IF(AH36="-","-",IF($D36=0,0,AH36/$D36)))</f>
        <v/>
      </c>
      <c r="AJ36" s="3">
        <f>IF($A36="","",IF($B36="","",IF(TODAY()&lt;$B36+480,"-",SUMPRODUCT(('Picked Students (raw)'!$B$2:$B$824=$A36)*('Picked Students (raw)'!$E$2:$E$824="Career Gap/ Non Working")*('Picked Students (raw)'!$C$2:$C$824&lt;&gt;"")*(('Picked Students (raw)'!$C$2:$C$824-$B36)&lt;480)))))</f>
        <v/>
      </c>
      <c r="AK36" s="5">
        <f>IF($A36="","",IF(AJ36="-","-",IF($D36=0,0,AJ36/$D36)))</f>
        <v/>
      </c>
      <c r="AL36" s="3">
        <f>IF($A36="","",IF($B36="","",IF(TODAY()&lt;$B36+510,"-",SUMPRODUCT(('Picked Students (raw)'!$B$2:$B$824=$A36)*('Picked Students (raw)'!$E$2:$E$824="Career Gap/ Non Working")*('Picked Students (raw)'!$C$2:$C$824&lt;&gt;"")*(('Picked Students (raw)'!$C$2:$C$824-$B36)&lt;510)))))</f>
        <v/>
      </c>
      <c r="AM36" s="5">
        <f>IF($A36="","",IF(AL36="-","-",IF($D36=0,0,AL36/$D36)))</f>
        <v/>
      </c>
      <c r="AN36" s="3">
        <f>IF($A36="","",IF($B36="","",IF(TODAY()&lt;$B36+540,"-",SUMPRODUCT(('Picked Students (raw)'!$B$2:$B$824=$A36)*('Picked Students (raw)'!$E$2:$E$824="Career Gap/ Non Working")*('Picked Students (raw)'!$C$2:$C$824&lt;&gt;"")*(('Picked Students (raw)'!$C$2:$C$824-$B36)&lt;540)))))</f>
        <v/>
      </c>
      <c r="AO36" s="5">
        <f>IF($A36="","",IF(AN36="-","-",IF($D36=0,0,AN36/$D36)))</f>
        <v/>
      </c>
      <c r="AP36" s="3">
        <f>IF($A36="","",IF(AN36="-","-",$E36-AN36))</f>
        <v/>
      </c>
    </row>
    <row r="37">
      <c r="A37" s="3" t="inlineStr">
        <is>
          <t>Professional Certificate Course In Data Science December 2025</t>
        </is>
      </c>
      <c r="B37" s="4">
        <f>IF($A37="","",IFERROR(INDEX('Batch Enrollment (Metabase)'!$D$2:$D$47,MATCH($A37,'Batch Enrollment (Metabase)'!$A$2:$A$47,0)),""))</f>
        <v/>
      </c>
      <c r="C37" s="3">
        <f>IF($A37="","",IFERROR(INDEX('Batch Enrollment (Metabase)'!$E$2:$E$47,MATCH($A37,'Batch Enrollment (Metabase)'!$A$2:$A$47,0)),""))</f>
        <v/>
      </c>
      <c r="D37" s="3">
        <f>IF($A37="","",IFERROR(INDEX('Batch Enrollment (Metabase)'!$F$2:$F$47,MATCH($A37,'Batch Enrollment (Metabase)'!$A$2:$A$47,0)),""))</f>
        <v/>
      </c>
      <c r="E37" s="3">
        <f>IF($A37="","",COUNTIFS('Picked Students (raw)'!$B$2:$B$824,$A37,'Picked Students (raw)'!$E$2:$E$824,"Career Gap/ Non Working"))</f>
        <v/>
      </c>
      <c r="F37" s="3">
        <f>IF($A37="","",IF($B37="","",IF(TODAY()&lt;$B37+30,"-",SUMPRODUCT(('Picked Students (raw)'!$B$2:$B$824=$A37)*('Picked Students (raw)'!$E$2:$E$824="Career Gap/ Non Working")*('Picked Students (raw)'!$C$2:$C$824&lt;&gt;"")*(('Picked Students (raw)'!$C$2:$C$824-$B37)&lt;30)))))</f>
        <v/>
      </c>
      <c r="G37" s="5">
        <f>IF($A37="","",IF(F37="-","-",IF($D37=0,0,F37/$D37)))</f>
        <v/>
      </c>
      <c r="H37" s="3">
        <f>IF($A37="","",IF($B37="","",IF(TODAY()&lt;$B37+60,"-",SUMPRODUCT(('Picked Students (raw)'!$B$2:$B$824=$A37)*('Picked Students (raw)'!$E$2:$E$824="Career Gap/ Non Working")*('Picked Students (raw)'!$C$2:$C$824&lt;&gt;"")*(('Picked Students (raw)'!$C$2:$C$824-$B37)&lt;60)))))</f>
        <v/>
      </c>
      <c r="I37" s="5">
        <f>IF($A37="","",IF(H37="-","-",IF($D37=0,0,H37/$D37)))</f>
        <v/>
      </c>
      <c r="J37" s="3">
        <f>IF($A37="","",IF($B37="","",IF(TODAY()&lt;$B37+90,"-",SUMPRODUCT(('Picked Students (raw)'!$B$2:$B$824=$A37)*('Picked Students (raw)'!$E$2:$E$824="Career Gap/ Non Working")*('Picked Students (raw)'!$C$2:$C$824&lt;&gt;"")*(('Picked Students (raw)'!$C$2:$C$824-$B37)&lt;90)))))</f>
        <v/>
      </c>
      <c r="K37" s="5">
        <f>IF($A37="","",IF(J37="-","-",IF($D37=0,0,J37/$D37)))</f>
        <v/>
      </c>
      <c r="L37" s="3">
        <f>IF($A37="","",IF($B37="","",IF(TODAY()&lt;$B37+120,"-",SUMPRODUCT(('Picked Students (raw)'!$B$2:$B$824=$A37)*('Picked Students (raw)'!$E$2:$E$824="Career Gap/ Non Working")*('Picked Students (raw)'!$C$2:$C$824&lt;&gt;"")*(('Picked Students (raw)'!$C$2:$C$824-$B37)&lt;120)))))</f>
        <v/>
      </c>
      <c r="M37" s="5">
        <f>IF($A37="","",IF(L37="-","-",IF($D37=0,0,L37/$D37)))</f>
        <v/>
      </c>
      <c r="N37" s="3">
        <f>IF($A37="","",IF($B37="","",IF(TODAY()&lt;$B37+150,"-",SUMPRODUCT(('Picked Students (raw)'!$B$2:$B$824=$A37)*('Picked Students (raw)'!$E$2:$E$824="Career Gap/ Non Working")*('Picked Students (raw)'!$C$2:$C$824&lt;&gt;"")*(('Picked Students (raw)'!$C$2:$C$824-$B37)&lt;150)))))</f>
        <v/>
      </c>
      <c r="O37" s="5">
        <f>IF($A37="","",IF(N37="-","-",IF($D37=0,0,N37/$D37)))</f>
        <v/>
      </c>
      <c r="P37" s="3">
        <f>IF($A37="","",IF($B37="","",IF(TODAY()&lt;$B37+180,"-",SUMPRODUCT(('Picked Students (raw)'!$B$2:$B$824=$A37)*('Picked Students (raw)'!$E$2:$E$824="Career Gap/ Non Working")*('Picked Students (raw)'!$C$2:$C$824&lt;&gt;"")*(('Picked Students (raw)'!$C$2:$C$824-$B37)&lt;180)))))</f>
        <v/>
      </c>
      <c r="Q37" s="5">
        <f>IF($A37="","",IF(P37="-","-",IF($D37=0,0,P37/$D37)))</f>
        <v/>
      </c>
      <c r="R37" s="3">
        <f>IF($A37="","",IF($B37="","",IF(TODAY()&lt;$B37+210,"-",SUMPRODUCT(('Picked Students (raw)'!$B$2:$B$824=$A37)*('Picked Students (raw)'!$E$2:$E$824="Career Gap/ Non Working")*('Picked Students (raw)'!$C$2:$C$824&lt;&gt;"")*(('Picked Students (raw)'!$C$2:$C$824-$B37)&lt;210)))))</f>
        <v/>
      </c>
      <c r="S37" s="5">
        <f>IF($A37="","",IF(R37="-","-",IF($D37=0,0,R37/$D37)))</f>
        <v/>
      </c>
      <c r="T37" s="3">
        <f>IF($A37="","",IF($B37="","",IF(TODAY()&lt;$B37+240,"-",SUMPRODUCT(('Picked Students (raw)'!$B$2:$B$824=$A37)*('Picked Students (raw)'!$E$2:$E$824="Career Gap/ Non Working")*('Picked Students (raw)'!$C$2:$C$824&lt;&gt;"")*(('Picked Students (raw)'!$C$2:$C$824-$B37)&lt;240)))))</f>
        <v/>
      </c>
      <c r="U37" s="5">
        <f>IF($A37="","",IF(T37="-","-",IF($D37=0,0,T37/$D37)))</f>
        <v/>
      </c>
      <c r="V37" s="3">
        <f>IF($A37="","",IF($B37="","",IF(TODAY()&lt;$B37+270,"-",SUMPRODUCT(('Picked Students (raw)'!$B$2:$B$824=$A37)*('Picked Students (raw)'!$E$2:$E$824="Career Gap/ Non Working")*('Picked Students (raw)'!$C$2:$C$824&lt;&gt;"")*(('Picked Students (raw)'!$C$2:$C$824-$B37)&lt;270)))))</f>
        <v/>
      </c>
      <c r="W37" s="5">
        <f>IF($A37="","",IF(V37="-","-",IF($D37=0,0,V37/$D37)))</f>
        <v/>
      </c>
      <c r="X37" s="3">
        <f>IF($A37="","",IF($B37="","",IF(TODAY()&lt;$B37+300,"-",SUMPRODUCT(('Picked Students (raw)'!$B$2:$B$824=$A37)*('Picked Students (raw)'!$E$2:$E$824="Career Gap/ Non Working")*('Picked Students (raw)'!$C$2:$C$824&lt;&gt;"")*(('Picked Students (raw)'!$C$2:$C$824-$B37)&lt;300)))))</f>
        <v/>
      </c>
      <c r="Y37" s="5">
        <f>IF($A37="","",IF(X37="-","-",IF($D37=0,0,X37/$D37)))</f>
        <v/>
      </c>
      <c r="Z37" s="3">
        <f>IF($A37="","",IF($B37="","",IF(TODAY()&lt;$B37+330,"-",SUMPRODUCT(('Picked Students (raw)'!$B$2:$B$824=$A37)*('Picked Students (raw)'!$E$2:$E$824="Career Gap/ Non Working")*('Picked Students (raw)'!$C$2:$C$824&lt;&gt;"")*(('Picked Students (raw)'!$C$2:$C$824-$B37)&lt;330)))))</f>
        <v/>
      </c>
      <c r="AA37" s="5">
        <f>IF($A37="","",IF(Z37="-","-",IF($D37=0,0,Z37/$D37)))</f>
        <v/>
      </c>
      <c r="AB37" s="3">
        <f>IF($A37="","",IF($B37="","",IF(TODAY()&lt;$B37+360,"-",SUMPRODUCT(('Picked Students (raw)'!$B$2:$B$824=$A37)*('Picked Students (raw)'!$E$2:$E$824="Career Gap/ Non Working")*('Picked Students (raw)'!$C$2:$C$824&lt;&gt;"")*(('Picked Students (raw)'!$C$2:$C$824-$B37)&lt;360)))))</f>
        <v/>
      </c>
      <c r="AC37" s="5">
        <f>IF($A37="","",IF(AB37="-","-",IF($D37=0,0,AB37/$D37)))</f>
        <v/>
      </c>
      <c r="AD37" s="3">
        <f>IF($A37="","",IF($B37="","",IF(TODAY()&lt;$B37+390,"-",SUMPRODUCT(('Picked Students (raw)'!$B$2:$B$824=$A37)*('Picked Students (raw)'!$E$2:$E$824="Career Gap/ Non Working")*('Picked Students (raw)'!$C$2:$C$824&lt;&gt;"")*(('Picked Students (raw)'!$C$2:$C$824-$B37)&lt;390)))))</f>
        <v/>
      </c>
      <c r="AE37" s="5">
        <f>IF($A37="","",IF(AD37="-","-",IF($D37=0,0,AD37/$D37)))</f>
        <v/>
      </c>
      <c r="AF37" s="3">
        <f>IF($A37="","",IF($B37="","",IF(TODAY()&lt;$B37+420,"-",SUMPRODUCT(('Picked Students (raw)'!$B$2:$B$824=$A37)*('Picked Students (raw)'!$E$2:$E$824="Career Gap/ Non Working")*('Picked Students (raw)'!$C$2:$C$824&lt;&gt;"")*(('Picked Students (raw)'!$C$2:$C$824-$B37)&lt;420)))))</f>
        <v/>
      </c>
      <c r="AG37" s="5">
        <f>IF($A37="","",IF(AF37="-","-",IF($D37=0,0,AF37/$D37)))</f>
        <v/>
      </c>
      <c r="AH37" s="3">
        <f>IF($A37="","",IF($B37="","",IF(TODAY()&lt;$B37+450,"-",SUMPRODUCT(('Picked Students (raw)'!$B$2:$B$824=$A37)*('Picked Students (raw)'!$E$2:$E$824="Career Gap/ Non Working")*('Picked Students (raw)'!$C$2:$C$824&lt;&gt;"")*(('Picked Students (raw)'!$C$2:$C$824-$B37)&lt;450)))))</f>
        <v/>
      </c>
      <c r="AI37" s="5">
        <f>IF($A37="","",IF(AH37="-","-",IF($D37=0,0,AH37/$D37)))</f>
        <v/>
      </c>
      <c r="AJ37" s="3">
        <f>IF($A37="","",IF($B37="","",IF(TODAY()&lt;$B37+480,"-",SUMPRODUCT(('Picked Students (raw)'!$B$2:$B$824=$A37)*('Picked Students (raw)'!$E$2:$E$824="Career Gap/ Non Working")*('Picked Students (raw)'!$C$2:$C$824&lt;&gt;"")*(('Picked Students (raw)'!$C$2:$C$824-$B37)&lt;480)))))</f>
        <v/>
      </c>
      <c r="AK37" s="5">
        <f>IF($A37="","",IF(AJ37="-","-",IF($D37=0,0,AJ37/$D37)))</f>
        <v/>
      </c>
      <c r="AL37" s="3">
        <f>IF($A37="","",IF($B37="","",IF(TODAY()&lt;$B37+510,"-",SUMPRODUCT(('Picked Students (raw)'!$B$2:$B$824=$A37)*('Picked Students (raw)'!$E$2:$E$824="Career Gap/ Non Working")*('Picked Students (raw)'!$C$2:$C$824&lt;&gt;"")*(('Picked Students (raw)'!$C$2:$C$824-$B37)&lt;510)))))</f>
        <v/>
      </c>
      <c r="AM37" s="5">
        <f>IF($A37="","",IF(AL37="-","-",IF($D37=0,0,AL37/$D37)))</f>
        <v/>
      </c>
      <c r="AN37" s="3">
        <f>IF($A37="","",IF($B37="","",IF(TODAY()&lt;$B37+540,"-",SUMPRODUCT(('Picked Students (raw)'!$B$2:$B$824=$A37)*('Picked Students (raw)'!$E$2:$E$824="Career Gap/ Non Working")*('Picked Students (raw)'!$C$2:$C$824&lt;&gt;"")*(('Picked Students (raw)'!$C$2:$C$824-$B37)&lt;540)))))</f>
        <v/>
      </c>
      <c r="AO37" s="5">
        <f>IF($A37="","",IF(AN37="-","-",IF($D37=0,0,AN37/$D37)))</f>
        <v/>
      </c>
      <c r="AP37" s="3">
        <f>IF($A37="","",IF(AN37="-","-",$E37-AN37))</f>
        <v/>
      </c>
    </row>
    <row r="38">
      <c r="A38" s="3" t="inlineStr">
        <is>
          <t>Professional Certificate Course In Data Science January 2026</t>
        </is>
      </c>
      <c r="B38" s="4">
        <f>IF($A38="","",IFERROR(INDEX('Batch Enrollment (Metabase)'!$D$2:$D$47,MATCH($A38,'Batch Enrollment (Metabase)'!$A$2:$A$47,0)),""))</f>
        <v/>
      </c>
      <c r="C38" s="3">
        <f>IF($A38="","",IFERROR(INDEX('Batch Enrollment (Metabase)'!$E$2:$E$47,MATCH($A38,'Batch Enrollment (Metabase)'!$A$2:$A$47,0)),""))</f>
        <v/>
      </c>
      <c r="D38" s="3">
        <f>IF($A38="","",IFERROR(INDEX('Batch Enrollment (Metabase)'!$F$2:$F$47,MATCH($A38,'Batch Enrollment (Metabase)'!$A$2:$A$47,0)),""))</f>
        <v/>
      </c>
      <c r="E38" s="3">
        <f>IF($A38="","",COUNTIFS('Picked Students (raw)'!$B$2:$B$824,$A38,'Picked Students (raw)'!$E$2:$E$824,"Career Gap/ Non Working"))</f>
        <v/>
      </c>
      <c r="F38" s="3">
        <f>IF($A38="","",IF($B38="","",IF(TODAY()&lt;$B38+30,"-",SUMPRODUCT(('Picked Students (raw)'!$B$2:$B$824=$A38)*('Picked Students (raw)'!$E$2:$E$824="Career Gap/ Non Working")*('Picked Students (raw)'!$C$2:$C$824&lt;&gt;"")*(('Picked Students (raw)'!$C$2:$C$824-$B38)&lt;30)))))</f>
        <v/>
      </c>
      <c r="G38" s="5">
        <f>IF($A38="","",IF(F38="-","-",IF($D38=0,0,F38/$D38)))</f>
        <v/>
      </c>
      <c r="H38" s="3">
        <f>IF($A38="","",IF($B38="","",IF(TODAY()&lt;$B38+60,"-",SUMPRODUCT(('Picked Students (raw)'!$B$2:$B$824=$A38)*('Picked Students (raw)'!$E$2:$E$824="Career Gap/ Non Working")*('Picked Students (raw)'!$C$2:$C$824&lt;&gt;"")*(('Picked Students (raw)'!$C$2:$C$824-$B38)&lt;60)))))</f>
        <v/>
      </c>
      <c r="I38" s="5">
        <f>IF($A38="","",IF(H38="-","-",IF($D38=0,0,H38/$D38)))</f>
        <v/>
      </c>
      <c r="J38" s="3">
        <f>IF($A38="","",IF($B38="","",IF(TODAY()&lt;$B38+90,"-",SUMPRODUCT(('Picked Students (raw)'!$B$2:$B$824=$A38)*('Picked Students (raw)'!$E$2:$E$824="Career Gap/ Non Working")*('Picked Students (raw)'!$C$2:$C$824&lt;&gt;"")*(('Picked Students (raw)'!$C$2:$C$824-$B38)&lt;90)))))</f>
        <v/>
      </c>
      <c r="K38" s="5">
        <f>IF($A38="","",IF(J38="-","-",IF($D38=0,0,J38/$D38)))</f>
        <v/>
      </c>
      <c r="L38" s="3">
        <f>IF($A38="","",IF($B38="","",IF(TODAY()&lt;$B38+120,"-",SUMPRODUCT(('Picked Students (raw)'!$B$2:$B$824=$A38)*('Picked Students (raw)'!$E$2:$E$824="Career Gap/ Non Working")*('Picked Students (raw)'!$C$2:$C$824&lt;&gt;"")*(('Picked Students (raw)'!$C$2:$C$824-$B38)&lt;120)))))</f>
        <v/>
      </c>
      <c r="M38" s="5">
        <f>IF($A38="","",IF(L38="-","-",IF($D38=0,0,L38/$D38)))</f>
        <v/>
      </c>
      <c r="N38" s="3">
        <f>IF($A38="","",IF($B38="","",IF(TODAY()&lt;$B38+150,"-",SUMPRODUCT(('Picked Students (raw)'!$B$2:$B$824=$A38)*('Picked Students (raw)'!$E$2:$E$824="Career Gap/ Non Working")*('Picked Students (raw)'!$C$2:$C$824&lt;&gt;"")*(('Picked Students (raw)'!$C$2:$C$824-$B38)&lt;150)))))</f>
        <v/>
      </c>
      <c r="O38" s="5">
        <f>IF($A38="","",IF(N38="-","-",IF($D38=0,0,N38/$D38)))</f>
        <v/>
      </c>
      <c r="P38" s="3">
        <f>IF($A38="","",IF($B38="","",IF(TODAY()&lt;$B38+180,"-",SUMPRODUCT(('Picked Students (raw)'!$B$2:$B$824=$A38)*('Picked Students (raw)'!$E$2:$E$824="Career Gap/ Non Working")*('Picked Students (raw)'!$C$2:$C$824&lt;&gt;"")*(('Picked Students (raw)'!$C$2:$C$824-$B38)&lt;180)))))</f>
        <v/>
      </c>
      <c r="Q38" s="5">
        <f>IF($A38="","",IF(P38="-","-",IF($D38=0,0,P38/$D38)))</f>
        <v/>
      </c>
      <c r="R38" s="3">
        <f>IF($A38="","",IF($B38="","",IF(TODAY()&lt;$B38+210,"-",SUMPRODUCT(('Picked Students (raw)'!$B$2:$B$824=$A38)*('Picked Students (raw)'!$E$2:$E$824="Career Gap/ Non Working")*('Picked Students (raw)'!$C$2:$C$824&lt;&gt;"")*(('Picked Students (raw)'!$C$2:$C$824-$B38)&lt;210)))))</f>
        <v/>
      </c>
      <c r="S38" s="5">
        <f>IF($A38="","",IF(R38="-","-",IF($D38=0,0,R38/$D38)))</f>
        <v/>
      </c>
      <c r="T38" s="3">
        <f>IF($A38="","",IF($B38="","",IF(TODAY()&lt;$B38+240,"-",SUMPRODUCT(('Picked Students (raw)'!$B$2:$B$824=$A38)*('Picked Students (raw)'!$E$2:$E$824="Career Gap/ Non Working")*('Picked Students (raw)'!$C$2:$C$824&lt;&gt;"")*(('Picked Students (raw)'!$C$2:$C$824-$B38)&lt;240)))))</f>
        <v/>
      </c>
      <c r="U38" s="5">
        <f>IF($A38="","",IF(T38="-","-",IF($D38=0,0,T38/$D38)))</f>
        <v/>
      </c>
      <c r="V38" s="3">
        <f>IF($A38="","",IF($B38="","",IF(TODAY()&lt;$B38+270,"-",SUMPRODUCT(('Picked Students (raw)'!$B$2:$B$824=$A38)*('Picked Students (raw)'!$E$2:$E$824="Career Gap/ Non Working")*('Picked Students (raw)'!$C$2:$C$824&lt;&gt;"")*(('Picked Students (raw)'!$C$2:$C$824-$B38)&lt;270)))))</f>
        <v/>
      </c>
      <c r="W38" s="5">
        <f>IF($A38="","",IF(V38="-","-",IF($D38=0,0,V38/$D38)))</f>
        <v/>
      </c>
      <c r="X38" s="3">
        <f>IF($A38="","",IF($B38="","",IF(TODAY()&lt;$B38+300,"-",SUMPRODUCT(('Picked Students (raw)'!$B$2:$B$824=$A38)*('Picked Students (raw)'!$E$2:$E$824="Career Gap/ Non Working")*('Picked Students (raw)'!$C$2:$C$824&lt;&gt;"")*(('Picked Students (raw)'!$C$2:$C$824-$B38)&lt;300)))))</f>
        <v/>
      </c>
      <c r="Y38" s="5">
        <f>IF($A38="","",IF(X38="-","-",IF($D38=0,0,X38/$D38)))</f>
        <v/>
      </c>
      <c r="Z38" s="3">
        <f>IF($A38="","",IF($B38="","",IF(TODAY()&lt;$B38+330,"-",SUMPRODUCT(('Picked Students (raw)'!$B$2:$B$824=$A38)*('Picked Students (raw)'!$E$2:$E$824="Career Gap/ Non Working")*('Picked Students (raw)'!$C$2:$C$824&lt;&gt;"")*(('Picked Students (raw)'!$C$2:$C$824-$B38)&lt;330)))))</f>
        <v/>
      </c>
      <c r="AA38" s="5">
        <f>IF($A38="","",IF(Z38="-","-",IF($D38=0,0,Z38/$D38)))</f>
        <v/>
      </c>
      <c r="AB38" s="3">
        <f>IF($A38="","",IF($B38="","",IF(TODAY()&lt;$B38+360,"-",SUMPRODUCT(('Picked Students (raw)'!$B$2:$B$824=$A38)*('Picked Students (raw)'!$E$2:$E$824="Career Gap/ Non Working")*('Picked Students (raw)'!$C$2:$C$824&lt;&gt;"")*(('Picked Students (raw)'!$C$2:$C$824-$B38)&lt;360)))))</f>
        <v/>
      </c>
      <c r="AC38" s="5">
        <f>IF($A38="","",IF(AB38="-","-",IF($D38=0,0,AB38/$D38)))</f>
        <v/>
      </c>
      <c r="AD38" s="3">
        <f>IF($A38="","",IF($B38="","",IF(TODAY()&lt;$B38+390,"-",SUMPRODUCT(('Picked Students (raw)'!$B$2:$B$824=$A38)*('Picked Students (raw)'!$E$2:$E$824="Career Gap/ Non Working")*('Picked Students (raw)'!$C$2:$C$824&lt;&gt;"")*(('Picked Students (raw)'!$C$2:$C$824-$B38)&lt;390)))))</f>
        <v/>
      </c>
      <c r="AE38" s="5">
        <f>IF($A38="","",IF(AD38="-","-",IF($D38=0,0,AD38/$D38)))</f>
        <v/>
      </c>
      <c r="AF38" s="3">
        <f>IF($A38="","",IF($B38="","",IF(TODAY()&lt;$B38+420,"-",SUMPRODUCT(('Picked Students (raw)'!$B$2:$B$824=$A38)*('Picked Students (raw)'!$E$2:$E$824="Career Gap/ Non Working")*('Picked Students (raw)'!$C$2:$C$824&lt;&gt;"")*(('Picked Students (raw)'!$C$2:$C$824-$B38)&lt;420)))))</f>
        <v/>
      </c>
      <c r="AG38" s="5">
        <f>IF($A38="","",IF(AF38="-","-",IF($D38=0,0,AF38/$D38)))</f>
        <v/>
      </c>
      <c r="AH38" s="3">
        <f>IF($A38="","",IF($B38="","",IF(TODAY()&lt;$B38+450,"-",SUMPRODUCT(('Picked Students (raw)'!$B$2:$B$824=$A38)*('Picked Students (raw)'!$E$2:$E$824="Career Gap/ Non Working")*('Picked Students (raw)'!$C$2:$C$824&lt;&gt;"")*(('Picked Students (raw)'!$C$2:$C$824-$B38)&lt;450)))))</f>
        <v/>
      </c>
      <c r="AI38" s="5">
        <f>IF($A38="","",IF(AH38="-","-",IF($D38=0,0,AH38/$D38)))</f>
        <v/>
      </c>
      <c r="AJ38" s="3">
        <f>IF($A38="","",IF($B38="","",IF(TODAY()&lt;$B38+480,"-",SUMPRODUCT(('Picked Students (raw)'!$B$2:$B$824=$A38)*('Picked Students (raw)'!$E$2:$E$824="Career Gap/ Non Working")*('Picked Students (raw)'!$C$2:$C$824&lt;&gt;"")*(('Picked Students (raw)'!$C$2:$C$824-$B38)&lt;480)))))</f>
        <v/>
      </c>
      <c r="AK38" s="5">
        <f>IF($A38="","",IF(AJ38="-","-",IF($D38=0,0,AJ38/$D38)))</f>
        <v/>
      </c>
      <c r="AL38" s="3">
        <f>IF($A38="","",IF($B38="","",IF(TODAY()&lt;$B38+510,"-",SUMPRODUCT(('Picked Students (raw)'!$B$2:$B$824=$A38)*('Picked Students (raw)'!$E$2:$E$824="Career Gap/ Non Working")*('Picked Students (raw)'!$C$2:$C$824&lt;&gt;"")*(('Picked Students (raw)'!$C$2:$C$824-$B38)&lt;510)))))</f>
        <v/>
      </c>
      <c r="AM38" s="5">
        <f>IF($A38="","",IF(AL38="-","-",IF($D38=0,0,AL38/$D38)))</f>
        <v/>
      </c>
      <c r="AN38" s="3">
        <f>IF($A38="","",IF($B38="","",IF(TODAY()&lt;$B38+540,"-",SUMPRODUCT(('Picked Students (raw)'!$B$2:$B$824=$A38)*('Picked Students (raw)'!$E$2:$E$824="Career Gap/ Non Working")*('Picked Students (raw)'!$C$2:$C$824&lt;&gt;"")*(('Picked Students (raw)'!$C$2:$C$824-$B38)&lt;540)))))</f>
        <v/>
      </c>
      <c r="AO38" s="5">
        <f>IF($A38="","",IF(AN38="-","-",IF($D38=0,0,AN38/$D38)))</f>
        <v/>
      </c>
      <c r="AP38" s="3">
        <f>IF($A38="","",IF(AN38="-","-",$E38-AN38))</f>
        <v/>
      </c>
    </row>
    <row r="39">
      <c r="A39" s="3" t="inlineStr">
        <is>
          <t>Professional Certificate Course In Data Science February 2026</t>
        </is>
      </c>
      <c r="B39" s="4">
        <f>IF($A39="","",IFERROR(INDEX('Batch Enrollment (Metabase)'!$D$2:$D$47,MATCH($A39,'Batch Enrollment (Metabase)'!$A$2:$A$47,0)),""))</f>
        <v/>
      </c>
      <c r="C39" s="3">
        <f>IF($A39="","",IFERROR(INDEX('Batch Enrollment (Metabase)'!$E$2:$E$47,MATCH($A39,'Batch Enrollment (Metabase)'!$A$2:$A$47,0)),""))</f>
        <v/>
      </c>
      <c r="D39" s="3">
        <f>IF($A39="","",IFERROR(INDEX('Batch Enrollment (Metabase)'!$F$2:$F$47,MATCH($A39,'Batch Enrollment (Metabase)'!$A$2:$A$47,0)),""))</f>
        <v/>
      </c>
      <c r="E39" s="3">
        <f>IF($A39="","",COUNTIFS('Picked Students (raw)'!$B$2:$B$824,$A39,'Picked Students (raw)'!$E$2:$E$824,"Career Gap/ Non Working"))</f>
        <v/>
      </c>
      <c r="F39" s="3">
        <f>IF($A39="","",IF($B39="","",IF(TODAY()&lt;$B39+30,"-",SUMPRODUCT(('Picked Students (raw)'!$B$2:$B$824=$A39)*('Picked Students (raw)'!$E$2:$E$824="Career Gap/ Non Working")*('Picked Students (raw)'!$C$2:$C$824&lt;&gt;"")*(('Picked Students (raw)'!$C$2:$C$824-$B39)&lt;30)))))</f>
        <v/>
      </c>
      <c r="G39" s="5">
        <f>IF($A39="","",IF(F39="-","-",IF($D39=0,0,F39/$D39)))</f>
        <v/>
      </c>
      <c r="H39" s="3">
        <f>IF($A39="","",IF($B39="","",IF(TODAY()&lt;$B39+60,"-",SUMPRODUCT(('Picked Students (raw)'!$B$2:$B$824=$A39)*('Picked Students (raw)'!$E$2:$E$824="Career Gap/ Non Working")*('Picked Students (raw)'!$C$2:$C$824&lt;&gt;"")*(('Picked Students (raw)'!$C$2:$C$824-$B39)&lt;60)))))</f>
        <v/>
      </c>
      <c r="I39" s="5">
        <f>IF($A39="","",IF(H39="-","-",IF($D39=0,0,H39/$D39)))</f>
        <v/>
      </c>
      <c r="J39" s="3">
        <f>IF($A39="","",IF($B39="","",IF(TODAY()&lt;$B39+90,"-",SUMPRODUCT(('Picked Students (raw)'!$B$2:$B$824=$A39)*('Picked Students (raw)'!$E$2:$E$824="Career Gap/ Non Working")*('Picked Students (raw)'!$C$2:$C$824&lt;&gt;"")*(('Picked Students (raw)'!$C$2:$C$824-$B39)&lt;90)))))</f>
        <v/>
      </c>
      <c r="K39" s="5">
        <f>IF($A39="","",IF(J39="-","-",IF($D39=0,0,J39/$D39)))</f>
        <v/>
      </c>
      <c r="L39" s="3">
        <f>IF($A39="","",IF($B39="","",IF(TODAY()&lt;$B39+120,"-",SUMPRODUCT(('Picked Students (raw)'!$B$2:$B$824=$A39)*('Picked Students (raw)'!$E$2:$E$824="Career Gap/ Non Working")*('Picked Students (raw)'!$C$2:$C$824&lt;&gt;"")*(('Picked Students (raw)'!$C$2:$C$824-$B39)&lt;120)))))</f>
        <v/>
      </c>
      <c r="M39" s="5">
        <f>IF($A39="","",IF(L39="-","-",IF($D39=0,0,L39/$D39)))</f>
        <v/>
      </c>
      <c r="N39" s="3">
        <f>IF($A39="","",IF($B39="","",IF(TODAY()&lt;$B39+150,"-",SUMPRODUCT(('Picked Students (raw)'!$B$2:$B$824=$A39)*('Picked Students (raw)'!$E$2:$E$824="Career Gap/ Non Working")*('Picked Students (raw)'!$C$2:$C$824&lt;&gt;"")*(('Picked Students (raw)'!$C$2:$C$824-$B39)&lt;150)))))</f>
        <v/>
      </c>
      <c r="O39" s="5">
        <f>IF($A39="","",IF(N39="-","-",IF($D39=0,0,N39/$D39)))</f>
        <v/>
      </c>
      <c r="P39" s="3">
        <f>IF($A39="","",IF($B39="","",IF(TODAY()&lt;$B39+180,"-",SUMPRODUCT(('Picked Students (raw)'!$B$2:$B$824=$A39)*('Picked Students (raw)'!$E$2:$E$824="Career Gap/ Non Working")*('Picked Students (raw)'!$C$2:$C$824&lt;&gt;"")*(('Picked Students (raw)'!$C$2:$C$824-$B39)&lt;180)))))</f>
        <v/>
      </c>
      <c r="Q39" s="5">
        <f>IF($A39="","",IF(P39="-","-",IF($D39=0,0,P39/$D39)))</f>
        <v/>
      </c>
      <c r="R39" s="3">
        <f>IF($A39="","",IF($B39="","",IF(TODAY()&lt;$B39+210,"-",SUMPRODUCT(('Picked Students (raw)'!$B$2:$B$824=$A39)*('Picked Students (raw)'!$E$2:$E$824="Career Gap/ Non Working")*('Picked Students (raw)'!$C$2:$C$824&lt;&gt;"")*(('Picked Students (raw)'!$C$2:$C$824-$B39)&lt;210)))))</f>
        <v/>
      </c>
      <c r="S39" s="5">
        <f>IF($A39="","",IF(R39="-","-",IF($D39=0,0,R39/$D39)))</f>
        <v/>
      </c>
      <c r="T39" s="3">
        <f>IF($A39="","",IF($B39="","",IF(TODAY()&lt;$B39+240,"-",SUMPRODUCT(('Picked Students (raw)'!$B$2:$B$824=$A39)*('Picked Students (raw)'!$E$2:$E$824="Career Gap/ Non Working")*('Picked Students (raw)'!$C$2:$C$824&lt;&gt;"")*(('Picked Students (raw)'!$C$2:$C$824-$B39)&lt;240)))))</f>
        <v/>
      </c>
      <c r="U39" s="5">
        <f>IF($A39="","",IF(T39="-","-",IF($D39=0,0,T39/$D39)))</f>
        <v/>
      </c>
      <c r="V39" s="3">
        <f>IF($A39="","",IF($B39="","",IF(TODAY()&lt;$B39+270,"-",SUMPRODUCT(('Picked Students (raw)'!$B$2:$B$824=$A39)*('Picked Students (raw)'!$E$2:$E$824="Career Gap/ Non Working")*('Picked Students (raw)'!$C$2:$C$824&lt;&gt;"")*(('Picked Students (raw)'!$C$2:$C$824-$B39)&lt;270)))))</f>
        <v/>
      </c>
      <c r="W39" s="5">
        <f>IF($A39="","",IF(V39="-","-",IF($D39=0,0,V39/$D39)))</f>
        <v/>
      </c>
      <c r="X39" s="3">
        <f>IF($A39="","",IF($B39="","",IF(TODAY()&lt;$B39+300,"-",SUMPRODUCT(('Picked Students (raw)'!$B$2:$B$824=$A39)*('Picked Students (raw)'!$E$2:$E$824="Career Gap/ Non Working")*('Picked Students (raw)'!$C$2:$C$824&lt;&gt;"")*(('Picked Students (raw)'!$C$2:$C$824-$B39)&lt;300)))))</f>
        <v/>
      </c>
      <c r="Y39" s="5">
        <f>IF($A39="","",IF(X39="-","-",IF($D39=0,0,X39/$D39)))</f>
        <v/>
      </c>
      <c r="Z39" s="3">
        <f>IF($A39="","",IF($B39="","",IF(TODAY()&lt;$B39+330,"-",SUMPRODUCT(('Picked Students (raw)'!$B$2:$B$824=$A39)*('Picked Students (raw)'!$E$2:$E$824="Career Gap/ Non Working")*('Picked Students (raw)'!$C$2:$C$824&lt;&gt;"")*(('Picked Students (raw)'!$C$2:$C$824-$B39)&lt;330)))))</f>
        <v/>
      </c>
      <c r="AA39" s="5">
        <f>IF($A39="","",IF(Z39="-","-",IF($D39=0,0,Z39/$D39)))</f>
        <v/>
      </c>
      <c r="AB39" s="3">
        <f>IF($A39="","",IF($B39="","",IF(TODAY()&lt;$B39+360,"-",SUMPRODUCT(('Picked Students (raw)'!$B$2:$B$824=$A39)*('Picked Students (raw)'!$E$2:$E$824="Career Gap/ Non Working")*('Picked Students (raw)'!$C$2:$C$824&lt;&gt;"")*(('Picked Students (raw)'!$C$2:$C$824-$B39)&lt;360)))))</f>
        <v/>
      </c>
      <c r="AC39" s="5">
        <f>IF($A39="","",IF(AB39="-","-",IF($D39=0,0,AB39/$D39)))</f>
        <v/>
      </c>
      <c r="AD39" s="3">
        <f>IF($A39="","",IF($B39="","",IF(TODAY()&lt;$B39+390,"-",SUMPRODUCT(('Picked Students (raw)'!$B$2:$B$824=$A39)*('Picked Students (raw)'!$E$2:$E$824="Career Gap/ Non Working")*('Picked Students (raw)'!$C$2:$C$824&lt;&gt;"")*(('Picked Students (raw)'!$C$2:$C$824-$B39)&lt;390)))))</f>
        <v/>
      </c>
      <c r="AE39" s="5">
        <f>IF($A39="","",IF(AD39="-","-",IF($D39=0,0,AD39/$D39)))</f>
        <v/>
      </c>
      <c r="AF39" s="3">
        <f>IF($A39="","",IF($B39="","",IF(TODAY()&lt;$B39+420,"-",SUMPRODUCT(('Picked Students (raw)'!$B$2:$B$824=$A39)*('Picked Students (raw)'!$E$2:$E$824="Career Gap/ Non Working")*('Picked Students (raw)'!$C$2:$C$824&lt;&gt;"")*(('Picked Students (raw)'!$C$2:$C$824-$B39)&lt;420)))))</f>
        <v/>
      </c>
      <c r="AG39" s="5">
        <f>IF($A39="","",IF(AF39="-","-",IF($D39=0,0,AF39/$D39)))</f>
        <v/>
      </c>
      <c r="AH39" s="3">
        <f>IF($A39="","",IF($B39="","",IF(TODAY()&lt;$B39+450,"-",SUMPRODUCT(('Picked Students (raw)'!$B$2:$B$824=$A39)*('Picked Students (raw)'!$E$2:$E$824="Career Gap/ Non Working")*('Picked Students (raw)'!$C$2:$C$824&lt;&gt;"")*(('Picked Students (raw)'!$C$2:$C$824-$B39)&lt;450)))))</f>
        <v/>
      </c>
      <c r="AI39" s="5">
        <f>IF($A39="","",IF(AH39="-","-",IF($D39=0,0,AH39/$D39)))</f>
        <v/>
      </c>
      <c r="AJ39" s="3">
        <f>IF($A39="","",IF($B39="","",IF(TODAY()&lt;$B39+480,"-",SUMPRODUCT(('Picked Students (raw)'!$B$2:$B$824=$A39)*('Picked Students (raw)'!$E$2:$E$824="Career Gap/ Non Working")*('Picked Students (raw)'!$C$2:$C$824&lt;&gt;"")*(('Picked Students (raw)'!$C$2:$C$824-$B39)&lt;480)))))</f>
        <v/>
      </c>
      <c r="AK39" s="5">
        <f>IF($A39="","",IF(AJ39="-","-",IF($D39=0,0,AJ39/$D39)))</f>
        <v/>
      </c>
      <c r="AL39" s="3">
        <f>IF($A39="","",IF($B39="","",IF(TODAY()&lt;$B39+510,"-",SUMPRODUCT(('Picked Students (raw)'!$B$2:$B$824=$A39)*('Picked Students (raw)'!$E$2:$E$824="Career Gap/ Non Working")*('Picked Students (raw)'!$C$2:$C$824&lt;&gt;"")*(('Picked Students (raw)'!$C$2:$C$824-$B39)&lt;510)))))</f>
        <v/>
      </c>
      <c r="AM39" s="5">
        <f>IF($A39="","",IF(AL39="-","-",IF($D39=0,0,AL39/$D39)))</f>
        <v/>
      </c>
      <c r="AN39" s="3">
        <f>IF($A39="","",IF($B39="","",IF(TODAY()&lt;$B39+540,"-",SUMPRODUCT(('Picked Students (raw)'!$B$2:$B$824=$A39)*('Picked Students (raw)'!$E$2:$E$824="Career Gap/ Non Working")*('Picked Students (raw)'!$C$2:$C$824&lt;&gt;"")*(('Picked Students (raw)'!$C$2:$C$824-$B39)&lt;540)))))</f>
        <v/>
      </c>
      <c r="AO39" s="5">
        <f>IF($A39="","",IF(AN39="-","-",IF($D39=0,0,AN39/$D39)))</f>
        <v/>
      </c>
      <c r="AP39" s="3">
        <f>IF($A39="","",IF(AN39="-","-",$E39-AN39))</f>
        <v/>
      </c>
    </row>
    <row r="40">
      <c r="A40" s="3" t="inlineStr">
        <is>
          <t>Professional Certificate Course In Data Science March 2026</t>
        </is>
      </c>
      <c r="B40" s="4">
        <f>IF($A40="","",IFERROR(INDEX('Batch Enrollment (Metabase)'!$D$2:$D$47,MATCH($A40,'Batch Enrollment (Metabase)'!$A$2:$A$47,0)),""))</f>
        <v/>
      </c>
      <c r="C40" s="3">
        <f>IF($A40="","",IFERROR(INDEX('Batch Enrollment (Metabase)'!$E$2:$E$47,MATCH($A40,'Batch Enrollment (Metabase)'!$A$2:$A$47,0)),""))</f>
        <v/>
      </c>
      <c r="D40" s="3">
        <f>IF($A40="","",IFERROR(INDEX('Batch Enrollment (Metabase)'!$F$2:$F$47,MATCH($A40,'Batch Enrollment (Metabase)'!$A$2:$A$47,0)),""))</f>
        <v/>
      </c>
      <c r="E40" s="3">
        <f>IF($A40="","",COUNTIFS('Picked Students (raw)'!$B$2:$B$824,$A40,'Picked Students (raw)'!$E$2:$E$824,"Career Gap/ Non Working"))</f>
        <v/>
      </c>
      <c r="F40" s="3">
        <f>IF($A40="","",IF($B40="","",IF(TODAY()&lt;$B40+30,"-",SUMPRODUCT(('Picked Students (raw)'!$B$2:$B$824=$A40)*('Picked Students (raw)'!$E$2:$E$824="Career Gap/ Non Working")*('Picked Students (raw)'!$C$2:$C$824&lt;&gt;"")*(('Picked Students (raw)'!$C$2:$C$824-$B40)&lt;30)))))</f>
        <v/>
      </c>
      <c r="G40" s="5">
        <f>IF($A40="","",IF(F40="-","-",IF($D40=0,0,F40/$D40)))</f>
        <v/>
      </c>
      <c r="H40" s="3">
        <f>IF($A40="","",IF($B40="","",IF(TODAY()&lt;$B40+60,"-",SUMPRODUCT(('Picked Students (raw)'!$B$2:$B$824=$A40)*('Picked Students (raw)'!$E$2:$E$824="Career Gap/ Non Working")*('Picked Students (raw)'!$C$2:$C$824&lt;&gt;"")*(('Picked Students (raw)'!$C$2:$C$824-$B40)&lt;60)))))</f>
        <v/>
      </c>
      <c r="I40" s="5">
        <f>IF($A40="","",IF(H40="-","-",IF($D40=0,0,H40/$D40)))</f>
        <v/>
      </c>
      <c r="J40" s="3">
        <f>IF($A40="","",IF($B40="","",IF(TODAY()&lt;$B40+90,"-",SUMPRODUCT(('Picked Students (raw)'!$B$2:$B$824=$A40)*('Picked Students (raw)'!$E$2:$E$824="Career Gap/ Non Working")*('Picked Students (raw)'!$C$2:$C$824&lt;&gt;"")*(('Picked Students (raw)'!$C$2:$C$824-$B40)&lt;90)))))</f>
        <v/>
      </c>
      <c r="K40" s="5">
        <f>IF($A40="","",IF(J40="-","-",IF($D40=0,0,J40/$D40)))</f>
        <v/>
      </c>
      <c r="L40" s="3">
        <f>IF($A40="","",IF($B40="","",IF(TODAY()&lt;$B40+120,"-",SUMPRODUCT(('Picked Students (raw)'!$B$2:$B$824=$A40)*('Picked Students (raw)'!$E$2:$E$824="Career Gap/ Non Working")*('Picked Students (raw)'!$C$2:$C$824&lt;&gt;"")*(('Picked Students (raw)'!$C$2:$C$824-$B40)&lt;120)))))</f>
        <v/>
      </c>
      <c r="M40" s="5">
        <f>IF($A40="","",IF(L40="-","-",IF($D40=0,0,L40/$D40)))</f>
        <v/>
      </c>
      <c r="N40" s="3">
        <f>IF($A40="","",IF($B40="","",IF(TODAY()&lt;$B40+150,"-",SUMPRODUCT(('Picked Students (raw)'!$B$2:$B$824=$A40)*('Picked Students (raw)'!$E$2:$E$824="Career Gap/ Non Working")*('Picked Students (raw)'!$C$2:$C$824&lt;&gt;"")*(('Picked Students (raw)'!$C$2:$C$824-$B40)&lt;150)))))</f>
        <v/>
      </c>
      <c r="O40" s="5">
        <f>IF($A40="","",IF(N40="-","-",IF($D40=0,0,N40/$D40)))</f>
        <v/>
      </c>
      <c r="P40" s="3">
        <f>IF($A40="","",IF($B40="","",IF(TODAY()&lt;$B40+180,"-",SUMPRODUCT(('Picked Students (raw)'!$B$2:$B$824=$A40)*('Picked Students (raw)'!$E$2:$E$824="Career Gap/ Non Working")*('Picked Students (raw)'!$C$2:$C$824&lt;&gt;"")*(('Picked Students (raw)'!$C$2:$C$824-$B40)&lt;180)))))</f>
        <v/>
      </c>
      <c r="Q40" s="5">
        <f>IF($A40="","",IF(P40="-","-",IF($D40=0,0,P40/$D40)))</f>
        <v/>
      </c>
      <c r="R40" s="3">
        <f>IF($A40="","",IF($B40="","",IF(TODAY()&lt;$B40+210,"-",SUMPRODUCT(('Picked Students (raw)'!$B$2:$B$824=$A40)*('Picked Students (raw)'!$E$2:$E$824="Career Gap/ Non Working")*('Picked Students (raw)'!$C$2:$C$824&lt;&gt;"")*(('Picked Students (raw)'!$C$2:$C$824-$B40)&lt;210)))))</f>
        <v/>
      </c>
      <c r="S40" s="5">
        <f>IF($A40="","",IF(R40="-","-",IF($D40=0,0,R40/$D40)))</f>
        <v/>
      </c>
      <c r="T40" s="3">
        <f>IF($A40="","",IF($B40="","",IF(TODAY()&lt;$B40+240,"-",SUMPRODUCT(('Picked Students (raw)'!$B$2:$B$824=$A40)*('Picked Students (raw)'!$E$2:$E$824="Career Gap/ Non Working")*('Picked Students (raw)'!$C$2:$C$824&lt;&gt;"")*(('Picked Students (raw)'!$C$2:$C$824-$B40)&lt;240)))))</f>
        <v/>
      </c>
      <c r="U40" s="5">
        <f>IF($A40="","",IF(T40="-","-",IF($D40=0,0,T40/$D40)))</f>
        <v/>
      </c>
      <c r="V40" s="3">
        <f>IF($A40="","",IF($B40="","",IF(TODAY()&lt;$B40+270,"-",SUMPRODUCT(('Picked Students (raw)'!$B$2:$B$824=$A40)*('Picked Students (raw)'!$E$2:$E$824="Career Gap/ Non Working")*('Picked Students (raw)'!$C$2:$C$824&lt;&gt;"")*(('Picked Students (raw)'!$C$2:$C$824-$B40)&lt;270)))))</f>
        <v/>
      </c>
      <c r="W40" s="5">
        <f>IF($A40="","",IF(V40="-","-",IF($D40=0,0,V40/$D40)))</f>
        <v/>
      </c>
      <c r="X40" s="3">
        <f>IF($A40="","",IF($B40="","",IF(TODAY()&lt;$B40+300,"-",SUMPRODUCT(('Picked Students (raw)'!$B$2:$B$824=$A40)*('Picked Students (raw)'!$E$2:$E$824="Career Gap/ Non Working")*('Picked Students (raw)'!$C$2:$C$824&lt;&gt;"")*(('Picked Students (raw)'!$C$2:$C$824-$B40)&lt;300)))))</f>
        <v/>
      </c>
      <c r="Y40" s="5">
        <f>IF($A40="","",IF(X40="-","-",IF($D40=0,0,X40/$D40)))</f>
        <v/>
      </c>
      <c r="Z40" s="3">
        <f>IF($A40="","",IF($B40="","",IF(TODAY()&lt;$B40+330,"-",SUMPRODUCT(('Picked Students (raw)'!$B$2:$B$824=$A40)*('Picked Students (raw)'!$E$2:$E$824="Career Gap/ Non Working")*('Picked Students (raw)'!$C$2:$C$824&lt;&gt;"")*(('Picked Students (raw)'!$C$2:$C$824-$B40)&lt;330)))))</f>
        <v/>
      </c>
      <c r="AA40" s="5">
        <f>IF($A40="","",IF(Z40="-","-",IF($D40=0,0,Z40/$D40)))</f>
        <v/>
      </c>
      <c r="AB40" s="3">
        <f>IF($A40="","",IF($B40="","",IF(TODAY()&lt;$B40+360,"-",SUMPRODUCT(('Picked Students (raw)'!$B$2:$B$824=$A40)*('Picked Students (raw)'!$E$2:$E$824="Career Gap/ Non Working")*('Picked Students (raw)'!$C$2:$C$824&lt;&gt;"")*(('Picked Students (raw)'!$C$2:$C$824-$B40)&lt;360)))))</f>
        <v/>
      </c>
      <c r="AC40" s="5">
        <f>IF($A40="","",IF(AB40="-","-",IF($D40=0,0,AB40/$D40)))</f>
        <v/>
      </c>
      <c r="AD40" s="3">
        <f>IF($A40="","",IF($B40="","",IF(TODAY()&lt;$B40+390,"-",SUMPRODUCT(('Picked Students (raw)'!$B$2:$B$824=$A40)*('Picked Students (raw)'!$E$2:$E$824="Career Gap/ Non Working")*('Picked Students (raw)'!$C$2:$C$824&lt;&gt;"")*(('Picked Students (raw)'!$C$2:$C$824-$B40)&lt;390)))))</f>
        <v/>
      </c>
      <c r="AE40" s="5">
        <f>IF($A40="","",IF(AD40="-","-",IF($D40=0,0,AD40/$D40)))</f>
        <v/>
      </c>
      <c r="AF40" s="3">
        <f>IF($A40="","",IF($B40="","",IF(TODAY()&lt;$B40+420,"-",SUMPRODUCT(('Picked Students (raw)'!$B$2:$B$824=$A40)*('Picked Students (raw)'!$E$2:$E$824="Career Gap/ Non Working")*('Picked Students (raw)'!$C$2:$C$824&lt;&gt;"")*(('Picked Students (raw)'!$C$2:$C$824-$B40)&lt;420)))))</f>
        <v/>
      </c>
      <c r="AG40" s="5">
        <f>IF($A40="","",IF(AF40="-","-",IF($D40=0,0,AF40/$D40)))</f>
        <v/>
      </c>
      <c r="AH40" s="3">
        <f>IF($A40="","",IF($B40="","",IF(TODAY()&lt;$B40+450,"-",SUMPRODUCT(('Picked Students (raw)'!$B$2:$B$824=$A40)*('Picked Students (raw)'!$E$2:$E$824="Career Gap/ Non Working")*('Picked Students (raw)'!$C$2:$C$824&lt;&gt;"")*(('Picked Students (raw)'!$C$2:$C$824-$B40)&lt;450)))))</f>
        <v/>
      </c>
      <c r="AI40" s="5">
        <f>IF($A40="","",IF(AH40="-","-",IF($D40=0,0,AH40/$D40)))</f>
        <v/>
      </c>
      <c r="AJ40" s="3">
        <f>IF($A40="","",IF($B40="","",IF(TODAY()&lt;$B40+480,"-",SUMPRODUCT(('Picked Students (raw)'!$B$2:$B$824=$A40)*('Picked Students (raw)'!$E$2:$E$824="Career Gap/ Non Working")*('Picked Students (raw)'!$C$2:$C$824&lt;&gt;"")*(('Picked Students (raw)'!$C$2:$C$824-$B40)&lt;480)))))</f>
        <v/>
      </c>
      <c r="AK40" s="5">
        <f>IF($A40="","",IF(AJ40="-","-",IF($D40=0,0,AJ40/$D40)))</f>
        <v/>
      </c>
      <c r="AL40" s="3">
        <f>IF($A40="","",IF($B40="","",IF(TODAY()&lt;$B40+510,"-",SUMPRODUCT(('Picked Students (raw)'!$B$2:$B$824=$A40)*('Picked Students (raw)'!$E$2:$E$824="Career Gap/ Non Working")*('Picked Students (raw)'!$C$2:$C$824&lt;&gt;"")*(('Picked Students (raw)'!$C$2:$C$824-$B40)&lt;510)))))</f>
        <v/>
      </c>
      <c r="AM40" s="5">
        <f>IF($A40="","",IF(AL40="-","-",IF($D40=0,0,AL40/$D40)))</f>
        <v/>
      </c>
      <c r="AN40" s="3">
        <f>IF($A40="","",IF($B40="","",IF(TODAY()&lt;$B40+540,"-",SUMPRODUCT(('Picked Students (raw)'!$B$2:$B$824=$A40)*('Picked Students (raw)'!$E$2:$E$824="Career Gap/ Non Working")*('Picked Students (raw)'!$C$2:$C$824&lt;&gt;"")*(('Picked Students (raw)'!$C$2:$C$824-$B40)&lt;540)))))</f>
        <v/>
      </c>
      <c r="AO40" s="5">
        <f>IF($A40="","",IF(AN40="-","-",IF($D40=0,0,AN40/$D40)))</f>
        <v/>
      </c>
      <c r="AP40" s="3">
        <f>IF($A40="","",IF(AN40="-","-",$E40-AN40))</f>
        <v/>
      </c>
    </row>
    <row r="41">
      <c r="A41" s="3" t="inlineStr">
        <is>
          <t>Professional Certificate Course In Data Science April 2026</t>
        </is>
      </c>
      <c r="B41" s="4">
        <f>IF($A41="","",IFERROR(INDEX('Batch Enrollment (Metabase)'!$D$2:$D$47,MATCH($A41,'Batch Enrollment (Metabase)'!$A$2:$A$47,0)),""))</f>
        <v/>
      </c>
      <c r="C41" s="3">
        <f>IF($A41="","",IFERROR(INDEX('Batch Enrollment (Metabase)'!$E$2:$E$47,MATCH($A41,'Batch Enrollment (Metabase)'!$A$2:$A$47,0)),""))</f>
        <v/>
      </c>
      <c r="D41" s="3">
        <f>IF($A41="","",IFERROR(INDEX('Batch Enrollment (Metabase)'!$F$2:$F$47,MATCH($A41,'Batch Enrollment (Metabase)'!$A$2:$A$47,0)),""))</f>
        <v/>
      </c>
      <c r="E41" s="3">
        <f>IF($A41="","",COUNTIFS('Picked Students (raw)'!$B$2:$B$824,$A41,'Picked Students (raw)'!$E$2:$E$824,"Career Gap/ Non Working"))</f>
        <v/>
      </c>
      <c r="F41" s="3">
        <f>IF($A41="","",IF($B41="","",IF(TODAY()&lt;$B41+30,"-",SUMPRODUCT(('Picked Students (raw)'!$B$2:$B$824=$A41)*('Picked Students (raw)'!$E$2:$E$824="Career Gap/ Non Working")*('Picked Students (raw)'!$C$2:$C$824&lt;&gt;"")*(('Picked Students (raw)'!$C$2:$C$824-$B41)&lt;30)))))</f>
        <v/>
      </c>
      <c r="G41" s="5">
        <f>IF($A41="","",IF(F41="-","-",IF($D41=0,0,F41/$D41)))</f>
        <v/>
      </c>
      <c r="H41" s="3">
        <f>IF($A41="","",IF($B41="","",IF(TODAY()&lt;$B41+60,"-",SUMPRODUCT(('Picked Students (raw)'!$B$2:$B$824=$A41)*('Picked Students (raw)'!$E$2:$E$824="Career Gap/ Non Working")*('Picked Students (raw)'!$C$2:$C$824&lt;&gt;"")*(('Picked Students (raw)'!$C$2:$C$824-$B41)&lt;60)))))</f>
        <v/>
      </c>
      <c r="I41" s="5">
        <f>IF($A41="","",IF(H41="-","-",IF($D41=0,0,H41/$D41)))</f>
        <v/>
      </c>
      <c r="J41" s="3">
        <f>IF($A41="","",IF($B41="","",IF(TODAY()&lt;$B41+90,"-",SUMPRODUCT(('Picked Students (raw)'!$B$2:$B$824=$A41)*('Picked Students (raw)'!$E$2:$E$824="Career Gap/ Non Working")*('Picked Students (raw)'!$C$2:$C$824&lt;&gt;"")*(('Picked Students (raw)'!$C$2:$C$824-$B41)&lt;90)))))</f>
        <v/>
      </c>
      <c r="K41" s="5">
        <f>IF($A41="","",IF(J41="-","-",IF($D41=0,0,J41/$D41)))</f>
        <v/>
      </c>
      <c r="L41" s="3">
        <f>IF($A41="","",IF($B41="","",IF(TODAY()&lt;$B41+120,"-",SUMPRODUCT(('Picked Students (raw)'!$B$2:$B$824=$A41)*('Picked Students (raw)'!$E$2:$E$824="Career Gap/ Non Working")*('Picked Students (raw)'!$C$2:$C$824&lt;&gt;"")*(('Picked Students (raw)'!$C$2:$C$824-$B41)&lt;120)))))</f>
        <v/>
      </c>
      <c r="M41" s="5">
        <f>IF($A41="","",IF(L41="-","-",IF($D41=0,0,L41/$D41)))</f>
        <v/>
      </c>
      <c r="N41" s="3">
        <f>IF($A41="","",IF($B41="","",IF(TODAY()&lt;$B41+150,"-",SUMPRODUCT(('Picked Students (raw)'!$B$2:$B$824=$A41)*('Picked Students (raw)'!$E$2:$E$824="Career Gap/ Non Working")*('Picked Students (raw)'!$C$2:$C$824&lt;&gt;"")*(('Picked Students (raw)'!$C$2:$C$824-$B41)&lt;150)))))</f>
        <v/>
      </c>
      <c r="O41" s="5">
        <f>IF($A41="","",IF(N41="-","-",IF($D41=0,0,N41/$D41)))</f>
        <v/>
      </c>
      <c r="P41" s="3">
        <f>IF($A41="","",IF($B41="","",IF(TODAY()&lt;$B41+180,"-",SUMPRODUCT(('Picked Students (raw)'!$B$2:$B$824=$A41)*('Picked Students (raw)'!$E$2:$E$824="Career Gap/ Non Working")*('Picked Students (raw)'!$C$2:$C$824&lt;&gt;"")*(('Picked Students (raw)'!$C$2:$C$824-$B41)&lt;180)))))</f>
        <v/>
      </c>
      <c r="Q41" s="5">
        <f>IF($A41="","",IF(P41="-","-",IF($D41=0,0,P41/$D41)))</f>
        <v/>
      </c>
      <c r="R41" s="3">
        <f>IF($A41="","",IF($B41="","",IF(TODAY()&lt;$B41+210,"-",SUMPRODUCT(('Picked Students (raw)'!$B$2:$B$824=$A41)*('Picked Students (raw)'!$E$2:$E$824="Career Gap/ Non Working")*('Picked Students (raw)'!$C$2:$C$824&lt;&gt;"")*(('Picked Students (raw)'!$C$2:$C$824-$B41)&lt;210)))))</f>
        <v/>
      </c>
      <c r="S41" s="5">
        <f>IF($A41="","",IF(R41="-","-",IF($D41=0,0,R41/$D41)))</f>
        <v/>
      </c>
      <c r="T41" s="3">
        <f>IF($A41="","",IF($B41="","",IF(TODAY()&lt;$B41+240,"-",SUMPRODUCT(('Picked Students (raw)'!$B$2:$B$824=$A41)*('Picked Students (raw)'!$E$2:$E$824="Career Gap/ Non Working")*('Picked Students (raw)'!$C$2:$C$824&lt;&gt;"")*(('Picked Students (raw)'!$C$2:$C$824-$B41)&lt;240)))))</f>
        <v/>
      </c>
      <c r="U41" s="5">
        <f>IF($A41="","",IF(T41="-","-",IF($D41=0,0,T41/$D41)))</f>
        <v/>
      </c>
      <c r="V41" s="3">
        <f>IF($A41="","",IF($B41="","",IF(TODAY()&lt;$B41+270,"-",SUMPRODUCT(('Picked Students (raw)'!$B$2:$B$824=$A41)*('Picked Students (raw)'!$E$2:$E$824="Career Gap/ Non Working")*('Picked Students (raw)'!$C$2:$C$824&lt;&gt;"")*(('Picked Students (raw)'!$C$2:$C$824-$B41)&lt;270)))))</f>
        <v/>
      </c>
      <c r="W41" s="5">
        <f>IF($A41="","",IF(V41="-","-",IF($D41=0,0,V41/$D41)))</f>
        <v/>
      </c>
      <c r="X41" s="3">
        <f>IF($A41="","",IF($B41="","",IF(TODAY()&lt;$B41+300,"-",SUMPRODUCT(('Picked Students (raw)'!$B$2:$B$824=$A41)*('Picked Students (raw)'!$E$2:$E$824="Career Gap/ Non Working")*('Picked Students (raw)'!$C$2:$C$824&lt;&gt;"")*(('Picked Students (raw)'!$C$2:$C$824-$B41)&lt;300)))))</f>
        <v/>
      </c>
      <c r="Y41" s="5">
        <f>IF($A41="","",IF(X41="-","-",IF($D41=0,0,X41/$D41)))</f>
        <v/>
      </c>
      <c r="Z41" s="3">
        <f>IF($A41="","",IF($B41="","",IF(TODAY()&lt;$B41+330,"-",SUMPRODUCT(('Picked Students (raw)'!$B$2:$B$824=$A41)*('Picked Students (raw)'!$E$2:$E$824="Career Gap/ Non Working")*('Picked Students (raw)'!$C$2:$C$824&lt;&gt;"")*(('Picked Students (raw)'!$C$2:$C$824-$B41)&lt;330)))))</f>
        <v/>
      </c>
      <c r="AA41" s="5">
        <f>IF($A41="","",IF(Z41="-","-",IF($D41=0,0,Z41/$D41)))</f>
        <v/>
      </c>
      <c r="AB41" s="3">
        <f>IF($A41="","",IF($B41="","",IF(TODAY()&lt;$B41+360,"-",SUMPRODUCT(('Picked Students (raw)'!$B$2:$B$824=$A41)*('Picked Students (raw)'!$E$2:$E$824="Career Gap/ Non Working")*('Picked Students (raw)'!$C$2:$C$824&lt;&gt;"")*(('Picked Students (raw)'!$C$2:$C$824-$B41)&lt;360)))))</f>
        <v/>
      </c>
      <c r="AC41" s="5">
        <f>IF($A41="","",IF(AB41="-","-",IF($D41=0,0,AB41/$D41)))</f>
        <v/>
      </c>
      <c r="AD41" s="3">
        <f>IF($A41="","",IF($B41="","",IF(TODAY()&lt;$B41+390,"-",SUMPRODUCT(('Picked Students (raw)'!$B$2:$B$824=$A41)*('Picked Students (raw)'!$E$2:$E$824="Career Gap/ Non Working")*('Picked Students (raw)'!$C$2:$C$824&lt;&gt;"")*(('Picked Students (raw)'!$C$2:$C$824-$B41)&lt;390)))))</f>
        <v/>
      </c>
      <c r="AE41" s="5">
        <f>IF($A41="","",IF(AD41="-","-",IF($D41=0,0,AD41/$D41)))</f>
        <v/>
      </c>
      <c r="AF41" s="3">
        <f>IF($A41="","",IF($B41="","",IF(TODAY()&lt;$B41+420,"-",SUMPRODUCT(('Picked Students (raw)'!$B$2:$B$824=$A41)*('Picked Students (raw)'!$E$2:$E$824="Career Gap/ Non Working")*('Picked Students (raw)'!$C$2:$C$824&lt;&gt;"")*(('Picked Students (raw)'!$C$2:$C$824-$B41)&lt;420)))))</f>
        <v/>
      </c>
      <c r="AG41" s="5">
        <f>IF($A41="","",IF(AF41="-","-",IF($D41=0,0,AF41/$D41)))</f>
        <v/>
      </c>
      <c r="AH41" s="3">
        <f>IF($A41="","",IF($B41="","",IF(TODAY()&lt;$B41+450,"-",SUMPRODUCT(('Picked Students (raw)'!$B$2:$B$824=$A41)*('Picked Students (raw)'!$E$2:$E$824="Career Gap/ Non Working")*('Picked Students (raw)'!$C$2:$C$824&lt;&gt;"")*(('Picked Students (raw)'!$C$2:$C$824-$B41)&lt;450)))))</f>
        <v/>
      </c>
      <c r="AI41" s="5">
        <f>IF($A41="","",IF(AH41="-","-",IF($D41=0,0,AH41/$D41)))</f>
        <v/>
      </c>
      <c r="AJ41" s="3">
        <f>IF($A41="","",IF($B41="","",IF(TODAY()&lt;$B41+480,"-",SUMPRODUCT(('Picked Students (raw)'!$B$2:$B$824=$A41)*('Picked Students (raw)'!$E$2:$E$824="Career Gap/ Non Working")*('Picked Students (raw)'!$C$2:$C$824&lt;&gt;"")*(('Picked Students (raw)'!$C$2:$C$824-$B41)&lt;480)))))</f>
        <v/>
      </c>
      <c r="AK41" s="5">
        <f>IF($A41="","",IF(AJ41="-","-",IF($D41=0,0,AJ41/$D41)))</f>
        <v/>
      </c>
      <c r="AL41" s="3">
        <f>IF($A41="","",IF($B41="","",IF(TODAY()&lt;$B41+510,"-",SUMPRODUCT(('Picked Students (raw)'!$B$2:$B$824=$A41)*('Picked Students (raw)'!$E$2:$E$824="Career Gap/ Non Working")*('Picked Students (raw)'!$C$2:$C$824&lt;&gt;"")*(('Picked Students (raw)'!$C$2:$C$824-$B41)&lt;510)))))</f>
        <v/>
      </c>
      <c r="AM41" s="5">
        <f>IF($A41="","",IF(AL41="-","-",IF($D41=0,0,AL41/$D41)))</f>
        <v/>
      </c>
      <c r="AN41" s="3">
        <f>IF($A41="","",IF($B41="","",IF(TODAY()&lt;$B41+540,"-",SUMPRODUCT(('Picked Students (raw)'!$B$2:$B$824=$A41)*('Picked Students (raw)'!$E$2:$E$824="Career Gap/ Non Working")*('Picked Students (raw)'!$C$2:$C$824&lt;&gt;"")*(('Picked Students (raw)'!$C$2:$C$824-$B41)&lt;540)))))</f>
        <v/>
      </c>
      <c r="AO41" s="5">
        <f>IF($A41="","",IF(AN41="-","-",IF($D41=0,0,AN41/$D41)))</f>
        <v/>
      </c>
      <c r="AP41" s="3">
        <f>IF($A41="","",IF(AN41="-","-",$E41-AN41))</f>
        <v/>
      </c>
    </row>
    <row r="42">
      <c r="A42" s="3" t="inlineStr">
        <is>
          <t>Professional Certificate Course In Data Science May 2026</t>
        </is>
      </c>
      <c r="B42" s="4">
        <f>IF($A42="","",IFERROR(INDEX('Batch Enrollment (Metabase)'!$D$2:$D$47,MATCH($A42,'Batch Enrollment (Metabase)'!$A$2:$A$47,0)),""))</f>
        <v/>
      </c>
      <c r="C42" s="3">
        <f>IF($A42="","",IFERROR(INDEX('Batch Enrollment (Metabase)'!$E$2:$E$47,MATCH($A42,'Batch Enrollment (Metabase)'!$A$2:$A$47,0)),""))</f>
        <v/>
      </c>
      <c r="D42" s="3">
        <f>IF($A42="","",IFERROR(INDEX('Batch Enrollment (Metabase)'!$F$2:$F$47,MATCH($A42,'Batch Enrollment (Metabase)'!$A$2:$A$47,0)),""))</f>
        <v/>
      </c>
      <c r="E42" s="3">
        <f>IF($A42="","",COUNTIFS('Picked Students (raw)'!$B$2:$B$824,$A42,'Picked Students (raw)'!$E$2:$E$824,"Career Gap/ Non Working"))</f>
        <v/>
      </c>
      <c r="F42" s="3">
        <f>IF($A42="","",IF($B42="","",IF(TODAY()&lt;$B42+30,"-",SUMPRODUCT(('Picked Students (raw)'!$B$2:$B$824=$A42)*('Picked Students (raw)'!$E$2:$E$824="Career Gap/ Non Working")*('Picked Students (raw)'!$C$2:$C$824&lt;&gt;"")*(('Picked Students (raw)'!$C$2:$C$824-$B42)&lt;30)))))</f>
        <v/>
      </c>
      <c r="G42" s="5">
        <f>IF($A42="","",IF(F42="-","-",IF($D42=0,0,F42/$D42)))</f>
        <v/>
      </c>
      <c r="H42" s="3">
        <f>IF($A42="","",IF($B42="","",IF(TODAY()&lt;$B42+60,"-",SUMPRODUCT(('Picked Students (raw)'!$B$2:$B$824=$A42)*('Picked Students (raw)'!$E$2:$E$824="Career Gap/ Non Working")*('Picked Students (raw)'!$C$2:$C$824&lt;&gt;"")*(('Picked Students (raw)'!$C$2:$C$824-$B42)&lt;60)))))</f>
        <v/>
      </c>
      <c r="I42" s="5">
        <f>IF($A42="","",IF(H42="-","-",IF($D42=0,0,H42/$D42)))</f>
        <v/>
      </c>
      <c r="J42" s="3">
        <f>IF($A42="","",IF($B42="","",IF(TODAY()&lt;$B42+90,"-",SUMPRODUCT(('Picked Students (raw)'!$B$2:$B$824=$A42)*('Picked Students (raw)'!$E$2:$E$824="Career Gap/ Non Working")*('Picked Students (raw)'!$C$2:$C$824&lt;&gt;"")*(('Picked Students (raw)'!$C$2:$C$824-$B42)&lt;90)))))</f>
        <v/>
      </c>
      <c r="K42" s="5">
        <f>IF($A42="","",IF(J42="-","-",IF($D42=0,0,J42/$D42)))</f>
        <v/>
      </c>
      <c r="L42" s="3">
        <f>IF($A42="","",IF($B42="","",IF(TODAY()&lt;$B42+120,"-",SUMPRODUCT(('Picked Students (raw)'!$B$2:$B$824=$A42)*('Picked Students (raw)'!$E$2:$E$824="Career Gap/ Non Working")*('Picked Students (raw)'!$C$2:$C$824&lt;&gt;"")*(('Picked Students (raw)'!$C$2:$C$824-$B42)&lt;120)))))</f>
        <v/>
      </c>
      <c r="M42" s="5">
        <f>IF($A42="","",IF(L42="-","-",IF($D42=0,0,L42/$D42)))</f>
        <v/>
      </c>
      <c r="N42" s="3">
        <f>IF($A42="","",IF($B42="","",IF(TODAY()&lt;$B42+150,"-",SUMPRODUCT(('Picked Students (raw)'!$B$2:$B$824=$A42)*('Picked Students (raw)'!$E$2:$E$824="Career Gap/ Non Working")*('Picked Students (raw)'!$C$2:$C$824&lt;&gt;"")*(('Picked Students (raw)'!$C$2:$C$824-$B42)&lt;150)))))</f>
        <v/>
      </c>
      <c r="O42" s="5">
        <f>IF($A42="","",IF(N42="-","-",IF($D42=0,0,N42/$D42)))</f>
        <v/>
      </c>
      <c r="P42" s="3">
        <f>IF($A42="","",IF($B42="","",IF(TODAY()&lt;$B42+180,"-",SUMPRODUCT(('Picked Students (raw)'!$B$2:$B$824=$A42)*('Picked Students (raw)'!$E$2:$E$824="Career Gap/ Non Working")*('Picked Students (raw)'!$C$2:$C$824&lt;&gt;"")*(('Picked Students (raw)'!$C$2:$C$824-$B42)&lt;180)))))</f>
        <v/>
      </c>
      <c r="Q42" s="5">
        <f>IF($A42="","",IF(P42="-","-",IF($D42=0,0,P42/$D42)))</f>
        <v/>
      </c>
      <c r="R42" s="3">
        <f>IF($A42="","",IF($B42="","",IF(TODAY()&lt;$B42+210,"-",SUMPRODUCT(('Picked Students (raw)'!$B$2:$B$824=$A42)*('Picked Students (raw)'!$E$2:$E$824="Career Gap/ Non Working")*('Picked Students (raw)'!$C$2:$C$824&lt;&gt;"")*(('Picked Students (raw)'!$C$2:$C$824-$B42)&lt;210)))))</f>
        <v/>
      </c>
      <c r="S42" s="5">
        <f>IF($A42="","",IF(R42="-","-",IF($D42=0,0,R42/$D42)))</f>
        <v/>
      </c>
      <c r="T42" s="3">
        <f>IF($A42="","",IF($B42="","",IF(TODAY()&lt;$B42+240,"-",SUMPRODUCT(('Picked Students (raw)'!$B$2:$B$824=$A42)*('Picked Students (raw)'!$E$2:$E$824="Career Gap/ Non Working")*('Picked Students (raw)'!$C$2:$C$824&lt;&gt;"")*(('Picked Students (raw)'!$C$2:$C$824-$B42)&lt;240)))))</f>
        <v/>
      </c>
      <c r="U42" s="5">
        <f>IF($A42="","",IF(T42="-","-",IF($D42=0,0,T42/$D42)))</f>
        <v/>
      </c>
      <c r="V42" s="3">
        <f>IF($A42="","",IF($B42="","",IF(TODAY()&lt;$B42+270,"-",SUMPRODUCT(('Picked Students (raw)'!$B$2:$B$824=$A42)*('Picked Students (raw)'!$E$2:$E$824="Career Gap/ Non Working")*('Picked Students (raw)'!$C$2:$C$824&lt;&gt;"")*(('Picked Students (raw)'!$C$2:$C$824-$B42)&lt;270)))))</f>
        <v/>
      </c>
      <c r="W42" s="5">
        <f>IF($A42="","",IF(V42="-","-",IF($D42=0,0,V42/$D42)))</f>
        <v/>
      </c>
      <c r="X42" s="3">
        <f>IF($A42="","",IF($B42="","",IF(TODAY()&lt;$B42+300,"-",SUMPRODUCT(('Picked Students (raw)'!$B$2:$B$824=$A42)*('Picked Students (raw)'!$E$2:$E$824="Career Gap/ Non Working")*('Picked Students (raw)'!$C$2:$C$824&lt;&gt;"")*(('Picked Students (raw)'!$C$2:$C$824-$B42)&lt;300)))))</f>
        <v/>
      </c>
      <c r="Y42" s="5">
        <f>IF($A42="","",IF(X42="-","-",IF($D42=0,0,X42/$D42)))</f>
        <v/>
      </c>
      <c r="Z42" s="3">
        <f>IF($A42="","",IF($B42="","",IF(TODAY()&lt;$B42+330,"-",SUMPRODUCT(('Picked Students (raw)'!$B$2:$B$824=$A42)*('Picked Students (raw)'!$E$2:$E$824="Career Gap/ Non Working")*('Picked Students (raw)'!$C$2:$C$824&lt;&gt;"")*(('Picked Students (raw)'!$C$2:$C$824-$B42)&lt;330)))))</f>
        <v/>
      </c>
      <c r="AA42" s="5">
        <f>IF($A42="","",IF(Z42="-","-",IF($D42=0,0,Z42/$D42)))</f>
        <v/>
      </c>
      <c r="AB42" s="3">
        <f>IF($A42="","",IF($B42="","",IF(TODAY()&lt;$B42+360,"-",SUMPRODUCT(('Picked Students (raw)'!$B$2:$B$824=$A42)*('Picked Students (raw)'!$E$2:$E$824="Career Gap/ Non Working")*('Picked Students (raw)'!$C$2:$C$824&lt;&gt;"")*(('Picked Students (raw)'!$C$2:$C$824-$B42)&lt;360)))))</f>
        <v/>
      </c>
      <c r="AC42" s="5">
        <f>IF($A42="","",IF(AB42="-","-",IF($D42=0,0,AB42/$D42)))</f>
        <v/>
      </c>
      <c r="AD42" s="3">
        <f>IF($A42="","",IF($B42="","",IF(TODAY()&lt;$B42+390,"-",SUMPRODUCT(('Picked Students (raw)'!$B$2:$B$824=$A42)*('Picked Students (raw)'!$E$2:$E$824="Career Gap/ Non Working")*('Picked Students (raw)'!$C$2:$C$824&lt;&gt;"")*(('Picked Students (raw)'!$C$2:$C$824-$B42)&lt;390)))))</f>
        <v/>
      </c>
      <c r="AE42" s="5">
        <f>IF($A42="","",IF(AD42="-","-",IF($D42=0,0,AD42/$D42)))</f>
        <v/>
      </c>
      <c r="AF42" s="3">
        <f>IF($A42="","",IF($B42="","",IF(TODAY()&lt;$B42+420,"-",SUMPRODUCT(('Picked Students (raw)'!$B$2:$B$824=$A42)*('Picked Students (raw)'!$E$2:$E$824="Career Gap/ Non Working")*('Picked Students (raw)'!$C$2:$C$824&lt;&gt;"")*(('Picked Students (raw)'!$C$2:$C$824-$B42)&lt;420)))))</f>
        <v/>
      </c>
      <c r="AG42" s="5">
        <f>IF($A42="","",IF(AF42="-","-",IF($D42=0,0,AF42/$D42)))</f>
        <v/>
      </c>
      <c r="AH42" s="3">
        <f>IF($A42="","",IF($B42="","",IF(TODAY()&lt;$B42+450,"-",SUMPRODUCT(('Picked Students (raw)'!$B$2:$B$824=$A42)*('Picked Students (raw)'!$E$2:$E$824="Career Gap/ Non Working")*('Picked Students (raw)'!$C$2:$C$824&lt;&gt;"")*(('Picked Students (raw)'!$C$2:$C$824-$B42)&lt;450)))))</f>
        <v/>
      </c>
      <c r="AI42" s="5">
        <f>IF($A42="","",IF(AH42="-","-",IF($D42=0,0,AH42/$D42)))</f>
        <v/>
      </c>
      <c r="AJ42" s="3">
        <f>IF($A42="","",IF($B42="","",IF(TODAY()&lt;$B42+480,"-",SUMPRODUCT(('Picked Students (raw)'!$B$2:$B$824=$A42)*('Picked Students (raw)'!$E$2:$E$824="Career Gap/ Non Working")*('Picked Students (raw)'!$C$2:$C$824&lt;&gt;"")*(('Picked Students (raw)'!$C$2:$C$824-$B42)&lt;480)))))</f>
        <v/>
      </c>
      <c r="AK42" s="5">
        <f>IF($A42="","",IF(AJ42="-","-",IF($D42=0,0,AJ42/$D42)))</f>
        <v/>
      </c>
      <c r="AL42" s="3">
        <f>IF($A42="","",IF($B42="","",IF(TODAY()&lt;$B42+510,"-",SUMPRODUCT(('Picked Students (raw)'!$B$2:$B$824=$A42)*('Picked Students (raw)'!$E$2:$E$824="Career Gap/ Non Working")*('Picked Students (raw)'!$C$2:$C$824&lt;&gt;"")*(('Picked Students (raw)'!$C$2:$C$824-$B42)&lt;510)))))</f>
        <v/>
      </c>
      <c r="AM42" s="5">
        <f>IF($A42="","",IF(AL42="-","-",IF($D42=0,0,AL42/$D42)))</f>
        <v/>
      </c>
      <c r="AN42" s="3">
        <f>IF($A42="","",IF($B42="","",IF(TODAY()&lt;$B42+540,"-",SUMPRODUCT(('Picked Students (raw)'!$B$2:$B$824=$A42)*('Picked Students (raw)'!$E$2:$E$824="Career Gap/ Non Working")*('Picked Students (raw)'!$C$2:$C$824&lt;&gt;"")*(('Picked Students (raw)'!$C$2:$C$824-$B42)&lt;540)))))</f>
        <v/>
      </c>
      <c r="AO42" s="5">
        <f>IF($A42="","",IF(AN42="-","-",IF($D42=0,0,AN42/$D42)))</f>
        <v/>
      </c>
      <c r="AP42" s="3">
        <f>IF($A42="","",IF(AN42="-","-",$E42-AN42))</f>
        <v/>
      </c>
    </row>
    <row r="43">
      <c r="A43" s="3" t="inlineStr">
        <is>
          <t>Professional Certificate Course In Data Science June 2026</t>
        </is>
      </c>
      <c r="B43" s="4">
        <f>IF($A43="","",IFERROR(INDEX('Batch Enrollment (Metabase)'!$D$2:$D$47,MATCH($A43,'Batch Enrollment (Metabase)'!$A$2:$A$47,0)),""))</f>
        <v/>
      </c>
      <c r="C43" s="3">
        <f>IF($A43="","",IFERROR(INDEX('Batch Enrollment (Metabase)'!$E$2:$E$47,MATCH($A43,'Batch Enrollment (Metabase)'!$A$2:$A$47,0)),""))</f>
        <v/>
      </c>
      <c r="D43" s="3">
        <f>IF($A43="","",IFERROR(INDEX('Batch Enrollment (Metabase)'!$F$2:$F$47,MATCH($A43,'Batch Enrollment (Metabase)'!$A$2:$A$47,0)),""))</f>
        <v/>
      </c>
      <c r="E43" s="3">
        <f>IF($A43="","",COUNTIFS('Picked Students (raw)'!$B$2:$B$824,$A43,'Picked Students (raw)'!$E$2:$E$824,"Career Gap/ Non Working"))</f>
        <v/>
      </c>
      <c r="F43" s="3">
        <f>IF($A43="","",IF($B43="","",IF(TODAY()&lt;$B43+30,"-",SUMPRODUCT(('Picked Students (raw)'!$B$2:$B$824=$A43)*('Picked Students (raw)'!$E$2:$E$824="Career Gap/ Non Working")*('Picked Students (raw)'!$C$2:$C$824&lt;&gt;"")*(('Picked Students (raw)'!$C$2:$C$824-$B43)&lt;30)))))</f>
        <v/>
      </c>
      <c r="G43" s="5">
        <f>IF($A43="","",IF(F43="-","-",IF($D43=0,0,F43/$D43)))</f>
        <v/>
      </c>
      <c r="H43" s="3">
        <f>IF($A43="","",IF($B43="","",IF(TODAY()&lt;$B43+60,"-",SUMPRODUCT(('Picked Students (raw)'!$B$2:$B$824=$A43)*('Picked Students (raw)'!$E$2:$E$824="Career Gap/ Non Working")*('Picked Students (raw)'!$C$2:$C$824&lt;&gt;"")*(('Picked Students (raw)'!$C$2:$C$824-$B43)&lt;60)))))</f>
        <v/>
      </c>
      <c r="I43" s="5">
        <f>IF($A43="","",IF(H43="-","-",IF($D43=0,0,H43/$D43)))</f>
        <v/>
      </c>
      <c r="J43" s="3">
        <f>IF($A43="","",IF($B43="","",IF(TODAY()&lt;$B43+90,"-",SUMPRODUCT(('Picked Students (raw)'!$B$2:$B$824=$A43)*('Picked Students (raw)'!$E$2:$E$824="Career Gap/ Non Working")*('Picked Students (raw)'!$C$2:$C$824&lt;&gt;"")*(('Picked Students (raw)'!$C$2:$C$824-$B43)&lt;90)))))</f>
        <v/>
      </c>
      <c r="K43" s="5">
        <f>IF($A43="","",IF(J43="-","-",IF($D43=0,0,J43/$D43)))</f>
        <v/>
      </c>
      <c r="L43" s="3">
        <f>IF($A43="","",IF($B43="","",IF(TODAY()&lt;$B43+120,"-",SUMPRODUCT(('Picked Students (raw)'!$B$2:$B$824=$A43)*('Picked Students (raw)'!$E$2:$E$824="Career Gap/ Non Working")*('Picked Students (raw)'!$C$2:$C$824&lt;&gt;"")*(('Picked Students (raw)'!$C$2:$C$824-$B43)&lt;120)))))</f>
        <v/>
      </c>
      <c r="M43" s="5">
        <f>IF($A43="","",IF(L43="-","-",IF($D43=0,0,L43/$D43)))</f>
        <v/>
      </c>
      <c r="N43" s="3">
        <f>IF($A43="","",IF($B43="","",IF(TODAY()&lt;$B43+150,"-",SUMPRODUCT(('Picked Students (raw)'!$B$2:$B$824=$A43)*('Picked Students (raw)'!$E$2:$E$824="Career Gap/ Non Working")*('Picked Students (raw)'!$C$2:$C$824&lt;&gt;"")*(('Picked Students (raw)'!$C$2:$C$824-$B43)&lt;150)))))</f>
        <v/>
      </c>
      <c r="O43" s="5">
        <f>IF($A43="","",IF(N43="-","-",IF($D43=0,0,N43/$D43)))</f>
        <v/>
      </c>
      <c r="P43" s="3">
        <f>IF($A43="","",IF($B43="","",IF(TODAY()&lt;$B43+180,"-",SUMPRODUCT(('Picked Students (raw)'!$B$2:$B$824=$A43)*('Picked Students (raw)'!$E$2:$E$824="Career Gap/ Non Working")*('Picked Students (raw)'!$C$2:$C$824&lt;&gt;"")*(('Picked Students (raw)'!$C$2:$C$824-$B43)&lt;180)))))</f>
        <v/>
      </c>
      <c r="Q43" s="5">
        <f>IF($A43="","",IF(P43="-","-",IF($D43=0,0,P43/$D43)))</f>
        <v/>
      </c>
      <c r="R43" s="3">
        <f>IF($A43="","",IF($B43="","",IF(TODAY()&lt;$B43+210,"-",SUMPRODUCT(('Picked Students (raw)'!$B$2:$B$824=$A43)*('Picked Students (raw)'!$E$2:$E$824="Career Gap/ Non Working")*('Picked Students (raw)'!$C$2:$C$824&lt;&gt;"")*(('Picked Students (raw)'!$C$2:$C$824-$B43)&lt;210)))))</f>
        <v/>
      </c>
      <c r="S43" s="5">
        <f>IF($A43="","",IF(R43="-","-",IF($D43=0,0,R43/$D43)))</f>
        <v/>
      </c>
      <c r="T43" s="3">
        <f>IF($A43="","",IF($B43="","",IF(TODAY()&lt;$B43+240,"-",SUMPRODUCT(('Picked Students (raw)'!$B$2:$B$824=$A43)*('Picked Students (raw)'!$E$2:$E$824="Career Gap/ Non Working")*('Picked Students (raw)'!$C$2:$C$824&lt;&gt;"")*(('Picked Students (raw)'!$C$2:$C$824-$B43)&lt;240)))))</f>
        <v/>
      </c>
      <c r="U43" s="5">
        <f>IF($A43="","",IF(T43="-","-",IF($D43=0,0,T43/$D43)))</f>
        <v/>
      </c>
      <c r="V43" s="3">
        <f>IF($A43="","",IF($B43="","",IF(TODAY()&lt;$B43+270,"-",SUMPRODUCT(('Picked Students (raw)'!$B$2:$B$824=$A43)*('Picked Students (raw)'!$E$2:$E$824="Career Gap/ Non Working")*('Picked Students (raw)'!$C$2:$C$824&lt;&gt;"")*(('Picked Students (raw)'!$C$2:$C$824-$B43)&lt;270)))))</f>
        <v/>
      </c>
      <c r="W43" s="5">
        <f>IF($A43="","",IF(V43="-","-",IF($D43=0,0,V43/$D43)))</f>
        <v/>
      </c>
      <c r="X43" s="3">
        <f>IF($A43="","",IF($B43="","",IF(TODAY()&lt;$B43+300,"-",SUMPRODUCT(('Picked Students (raw)'!$B$2:$B$824=$A43)*('Picked Students (raw)'!$E$2:$E$824="Career Gap/ Non Working")*('Picked Students (raw)'!$C$2:$C$824&lt;&gt;"")*(('Picked Students (raw)'!$C$2:$C$824-$B43)&lt;300)))))</f>
        <v/>
      </c>
      <c r="Y43" s="5">
        <f>IF($A43="","",IF(X43="-","-",IF($D43=0,0,X43/$D43)))</f>
        <v/>
      </c>
      <c r="Z43" s="3">
        <f>IF($A43="","",IF($B43="","",IF(TODAY()&lt;$B43+330,"-",SUMPRODUCT(('Picked Students (raw)'!$B$2:$B$824=$A43)*('Picked Students (raw)'!$E$2:$E$824="Career Gap/ Non Working")*('Picked Students (raw)'!$C$2:$C$824&lt;&gt;"")*(('Picked Students (raw)'!$C$2:$C$824-$B43)&lt;330)))))</f>
        <v/>
      </c>
      <c r="AA43" s="5">
        <f>IF($A43="","",IF(Z43="-","-",IF($D43=0,0,Z43/$D43)))</f>
        <v/>
      </c>
      <c r="AB43" s="3">
        <f>IF($A43="","",IF($B43="","",IF(TODAY()&lt;$B43+360,"-",SUMPRODUCT(('Picked Students (raw)'!$B$2:$B$824=$A43)*('Picked Students (raw)'!$E$2:$E$824="Career Gap/ Non Working")*('Picked Students (raw)'!$C$2:$C$824&lt;&gt;"")*(('Picked Students (raw)'!$C$2:$C$824-$B43)&lt;360)))))</f>
        <v/>
      </c>
      <c r="AC43" s="5">
        <f>IF($A43="","",IF(AB43="-","-",IF($D43=0,0,AB43/$D43)))</f>
        <v/>
      </c>
      <c r="AD43" s="3">
        <f>IF($A43="","",IF($B43="","",IF(TODAY()&lt;$B43+390,"-",SUMPRODUCT(('Picked Students (raw)'!$B$2:$B$824=$A43)*('Picked Students (raw)'!$E$2:$E$824="Career Gap/ Non Working")*('Picked Students (raw)'!$C$2:$C$824&lt;&gt;"")*(('Picked Students (raw)'!$C$2:$C$824-$B43)&lt;390)))))</f>
        <v/>
      </c>
      <c r="AE43" s="5">
        <f>IF($A43="","",IF(AD43="-","-",IF($D43=0,0,AD43/$D43)))</f>
        <v/>
      </c>
      <c r="AF43" s="3">
        <f>IF($A43="","",IF($B43="","",IF(TODAY()&lt;$B43+420,"-",SUMPRODUCT(('Picked Students (raw)'!$B$2:$B$824=$A43)*('Picked Students (raw)'!$E$2:$E$824="Career Gap/ Non Working")*('Picked Students (raw)'!$C$2:$C$824&lt;&gt;"")*(('Picked Students (raw)'!$C$2:$C$824-$B43)&lt;420)))))</f>
        <v/>
      </c>
      <c r="AG43" s="5">
        <f>IF($A43="","",IF(AF43="-","-",IF($D43=0,0,AF43/$D43)))</f>
        <v/>
      </c>
      <c r="AH43" s="3">
        <f>IF($A43="","",IF($B43="","",IF(TODAY()&lt;$B43+450,"-",SUMPRODUCT(('Picked Students (raw)'!$B$2:$B$824=$A43)*('Picked Students (raw)'!$E$2:$E$824="Career Gap/ Non Working")*('Picked Students (raw)'!$C$2:$C$824&lt;&gt;"")*(('Picked Students (raw)'!$C$2:$C$824-$B43)&lt;450)))))</f>
        <v/>
      </c>
      <c r="AI43" s="5">
        <f>IF($A43="","",IF(AH43="-","-",IF($D43=0,0,AH43/$D43)))</f>
        <v/>
      </c>
      <c r="AJ43" s="3">
        <f>IF($A43="","",IF($B43="","",IF(TODAY()&lt;$B43+480,"-",SUMPRODUCT(('Picked Students (raw)'!$B$2:$B$824=$A43)*('Picked Students (raw)'!$E$2:$E$824="Career Gap/ Non Working")*('Picked Students (raw)'!$C$2:$C$824&lt;&gt;"")*(('Picked Students (raw)'!$C$2:$C$824-$B43)&lt;480)))))</f>
        <v/>
      </c>
      <c r="AK43" s="5">
        <f>IF($A43="","",IF(AJ43="-","-",IF($D43=0,0,AJ43/$D43)))</f>
        <v/>
      </c>
      <c r="AL43" s="3">
        <f>IF($A43="","",IF($B43="","",IF(TODAY()&lt;$B43+510,"-",SUMPRODUCT(('Picked Students (raw)'!$B$2:$B$824=$A43)*('Picked Students (raw)'!$E$2:$E$824="Career Gap/ Non Working")*('Picked Students (raw)'!$C$2:$C$824&lt;&gt;"")*(('Picked Students (raw)'!$C$2:$C$824-$B43)&lt;510)))))</f>
        <v/>
      </c>
      <c r="AM43" s="5">
        <f>IF($A43="","",IF(AL43="-","-",IF($D43=0,0,AL43/$D43)))</f>
        <v/>
      </c>
      <c r="AN43" s="3">
        <f>IF($A43="","",IF($B43="","",IF(TODAY()&lt;$B43+540,"-",SUMPRODUCT(('Picked Students (raw)'!$B$2:$B$824=$A43)*('Picked Students (raw)'!$E$2:$E$824="Career Gap/ Non Working")*('Picked Students (raw)'!$C$2:$C$824&lt;&gt;"")*(('Picked Students (raw)'!$C$2:$C$824-$B43)&lt;540)))))</f>
        <v/>
      </c>
      <c r="AO43" s="5">
        <f>IF($A43="","",IF(AN43="-","-",IF($D43=0,0,AN43/$D43)))</f>
        <v/>
      </c>
      <c r="AP43" s="3">
        <f>IF($A43="","",IF(AN43="-","-",$E43-AN43))</f>
        <v/>
      </c>
    </row>
    <row r="44">
      <c r="A44" s="3" t="inlineStr">
        <is>
          <t>Professional Certificate Course In Data Science July 2026</t>
        </is>
      </c>
      <c r="B44" s="4">
        <f>IF($A44="","",IFERROR(INDEX('Batch Enrollment (Metabase)'!$D$2:$D$47,MATCH($A44,'Batch Enrollment (Metabase)'!$A$2:$A$47,0)),""))</f>
        <v/>
      </c>
      <c r="C44" s="3">
        <f>IF($A44="","",IFERROR(INDEX('Batch Enrollment (Metabase)'!$E$2:$E$47,MATCH($A44,'Batch Enrollment (Metabase)'!$A$2:$A$47,0)),""))</f>
        <v/>
      </c>
      <c r="D44" s="3">
        <f>IF($A44="","",IFERROR(INDEX('Batch Enrollment (Metabase)'!$F$2:$F$47,MATCH($A44,'Batch Enrollment (Metabase)'!$A$2:$A$47,0)),""))</f>
        <v/>
      </c>
      <c r="E44" s="3">
        <f>IF($A44="","",COUNTIFS('Picked Students (raw)'!$B$2:$B$824,$A44,'Picked Students (raw)'!$E$2:$E$824,"Career Gap/ Non Working"))</f>
        <v/>
      </c>
      <c r="F44" s="3">
        <f>IF($A44="","",IF($B44="","",IF(TODAY()&lt;$B44+30,"-",SUMPRODUCT(('Picked Students (raw)'!$B$2:$B$824=$A44)*('Picked Students (raw)'!$E$2:$E$824="Career Gap/ Non Working")*('Picked Students (raw)'!$C$2:$C$824&lt;&gt;"")*(('Picked Students (raw)'!$C$2:$C$824-$B44)&lt;30)))))</f>
        <v/>
      </c>
      <c r="G44" s="5">
        <f>IF($A44="","",IF(F44="-","-",IF($D44=0,0,F44/$D44)))</f>
        <v/>
      </c>
      <c r="H44" s="3">
        <f>IF($A44="","",IF($B44="","",IF(TODAY()&lt;$B44+60,"-",SUMPRODUCT(('Picked Students (raw)'!$B$2:$B$824=$A44)*('Picked Students (raw)'!$E$2:$E$824="Career Gap/ Non Working")*('Picked Students (raw)'!$C$2:$C$824&lt;&gt;"")*(('Picked Students (raw)'!$C$2:$C$824-$B44)&lt;60)))))</f>
        <v/>
      </c>
      <c r="I44" s="5">
        <f>IF($A44="","",IF(H44="-","-",IF($D44=0,0,H44/$D44)))</f>
        <v/>
      </c>
      <c r="J44" s="3">
        <f>IF($A44="","",IF($B44="","",IF(TODAY()&lt;$B44+90,"-",SUMPRODUCT(('Picked Students (raw)'!$B$2:$B$824=$A44)*('Picked Students (raw)'!$E$2:$E$824="Career Gap/ Non Working")*('Picked Students (raw)'!$C$2:$C$824&lt;&gt;"")*(('Picked Students (raw)'!$C$2:$C$824-$B44)&lt;90)))))</f>
        <v/>
      </c>
      <c r="K44" s="5">
        <f>IF($A44="","",IF(J44="-","-",IF($D44=0,0,J44/$D44)))</f>
        <v/>
      </c>
      <c r="L44" s="3">
        <f>IF($A44="","",IF($B44="","",IF(TODAY()&lt;$B44+120,"-",SUMPRODUCT(('Picked Students (raw)'!$B$2:$B$824=$A44)*('Picked Students (raw)'!$E$2:$E$824="Career Gap/ Non Working")*('Picked Students (raw)'!$C$2:$C$824&lt;&gt;"")*(('Picked Students (raw)'!$C$2:$C$824-$B44)&lt;120)))))</f>
        <v/>
      </c>
      <c r="M44" s="5">
        <f>IF($A44="","",IF(L44="-","-",IF($D44=0,0,L44/$D44)))</f>
        <v/>
      </c>
      <c r="N44" s="3">
        <f>IF($A44="","",IF($B44="","",IF(TODAY()&lt;$B44+150,"-",SUMPRODUCT(('Picked Students (raw)'!$B$2:$B$824=$A44)*('Picked Students (raw)'!$E$2:$E$824="Career Gap/ Non Working")*('Picked Students (raw)'!$C$2:$C$824&lt;&gt;"")*(('Picked Students (raw)'!$C$2:$C$824-$B44)&lt;150)))))</f>
        <v/>
      </c>
      <c r="O44" s="5">
        <f>IF($A44="","",IF(N44="-","-",IF($D44=0,0,N44/$D44)))</f>
        <v/>
      </c>
      <c r="P44" s="3">
        <f>IF($A44="","",IF($B44="","",IF(TODAY()&lt;$B44+180,"-",SUMPRODUCT(('Picked Students (raw)'!$B$2:$B$824=$A44)*('Picked Students (raw)'!$E$2:$E$824="Career Gap/ Non Working")*('Picked Students (raw)'!$C$2:$C$824&lt;&gt;"")*(('Picked Students (raw)'!$C$2:$C$824-$B44)&lt;180)))))</f>
        <v/>
      </c>
      <c r="Q44" s="5">
        <f>IF($A44="","",IF(P44="-","-",IF($D44=0,0,P44/$D44)))</f>
        <v/>
      </c>
      <c r="R44" s="3">
        <f>IF($A44="","",IF($B44="","",IF(TODAY()&lt;$B44+210,"-",SUMPRODUCT(('Picked Students (raw)'!$B$2:$B$824=$A44)*('Picked Students (raw)'!$E$2:$E$824="Career Gap/ Non Working")*('Picked Students (raw)'!$C$2:$C$824&lt;&gt;"")*(('Picked Students (raw)'!$C$2:$C$824-$B44)&lt;210)))))</f>
        <v/>
      </c>
      <c r="S44" s="5">
        <f>IF($A44="","",IF(R44="-","-",IF($D44=0,0,R44/$D44)))</f>
        <v/>
      </c>
      <c r="T44" s="3">
        <f>IF($A44="","",IF($B44="","",IF(TODAY()&lt;$B44+240,"-",SUMPRODUCT(('Picked Students (raw)'!$B$2:$B$824=$A44)*('Picked Students (raw)'!$E$2:$E$824="Career Gap/ Non Working")*('Picked Students (raw)'!$C$2:$C$824&lt;&gt;"")*(('Picked Students (raw)'!$C$2:$C$824-$B44)&lt;240)))))</f>
        <v/>
      </c>
      <c r="U44" s="5">
        <f>IF($A44="","",IF(T44="-","-",IF($D44=0,0,T44/$D44)))</f>
        <v/>
      </c>
      <c r="V44" s="3">
        <f>IF($A44="","",IF($B44="","",IF(TODAY()&lt;$B44+270,"-",SUMPRODUCT(('Picked Students (raw)'!$B$2:$B$824=$A44)*('Picked Students (raw)'!$E$2:$E$824="Career Gap/ Non Working")*('Picked Students (raw)'!$C$2:$C$824&lt;&gt;"")*(('Picked Students (raw)'!$C$2:$C$824-$B44)&lt;270)))))</f>
        <v/>
      </c>
      <c r="W44" s="5">
        <f>IF($A44="","",IF(V44="-","-",IF($D44=0,0,V44/$D44)))</f>
        <v/>
      </c>
      <c r="X44" s="3">
        <f>IF($A44="","",IF($B44="","",IF(TODAY()&lt;$B44+300,"-",SUMPRODUCT(('Picked Students (raw)'!$B$2:$B$824=$A44)*('Picked Students (raw)'!$E$2:$E$824="Career Gap/ Non Working")*('Picked Students (raw)'!$C$2:$C$824&lt;&gt;"")*(('Picked Students (raw)'!$C$2:$C$824-$B44)&lt;300)))))</f>
        <v/>
      </c>
      <c r="Y44" s="5">
        <f>IF($A44="","",IF(X44="-","-",IF($D44=0,0,X44/$D44)))</f>
        <v/>
      </c>
      <c r="Z44" s="3">
        <f>IF($A44="","",IF($B44="","",IF(TODAY()&lt;$B44+330,"-",SUMPRODUCT(('Picked Students (raw)'!$B$2:$B$824=$A44)*('Picked Students (raw)'!$E$2:$E$824="Career Gap/ Non Working")*('Picked Students (raw)'!$C$2:$C$824&lt;&gt;"")*(('Picked Students (raw)'!$C$2:$C$824-$B44)&lt;330)))))</f>
        <v/>
      </c>
      <c r="AA44" s="5">
        <f>IF($A44="","",IF(Z44="-","-",IF($D44=0,0,Z44/$D44)))</f>
        <v/>
      </c>
      <c r="AB44" s="3">
        <f>IF($A44="","",IF($B44="","",IF(TODAY()&lt;$B44+360,"-",SUMPRODUCT(('Picked Students (raw)'!$B$2:$B$824=$A44)*('Picked Students (raw)'!$E$2:$E$824="Career Gap/ Non Working")*('Picked Students (raw)'!$C$2:$C$824&lt;&gt;"")*(('Picked Students (raw)'!$C$2:$C$824-$B44)&lt;360)))))</f>
        <v/>
      </c>
      <c r="AC44" s="5">
        <f>IF($A44="","",IF(AB44="-","-",IF($D44=0,0,AB44/$D44)))</f>
        <v/>
      </c>
      <c r="AD44" s="3">
        <f>IF($A44="","",IF($B44="","",IF(TODAY()&lt;$B44+390,"-",SUMPRODUCT(('Picked Students (raw)'!$B$2:$B$824=$A44)*('Picked Students (raw)'!$E$2:$E$824="Career Gap/ Non Working")*('Picked Students (raw)'!$C$2:$C$824&lt;&gt;"")*(('Picked Students (raw)'!$C$2:$C$824-$B44)&lt;390)))))</f>
        <v/>
      </c>
      <c r="AE44" s="5">
        <f>IF($A44="","",IF(AD44="-","-",IF($D44=0,0,AD44/$D44)))</f>
        <v/>
      </c>
      <c r="AF44" s="3">
        <f>IF($A44="","",IF($B44="","",IF(TODAY()&lt;$B44+420,"-",SUMPRODUCT(('Picked Students (raw)'!$B$2:$B$824=$A44)*('Picked Students (raw)'!$E$2:$E$824="Career Gap/ Non Working")*('Picked Students (raw)'!$C$2:$C$824&lt;&gt;"")*(('Picked Students (raw)'!$C$2:$C$824-$B44)&lt;420)))))</f>
        <v/>
      </c>
      <c r="AG44" s="5">
        <f>IF($A44="","",IF(AF44="-","-",IF($D44=0,0,AF44/$D44)))</f>
        <v/>
      </c>
      <c r="AH44" s="3">
        <f>IF($A44="","",IF($B44="","",IF(TODAY()&lt;$B44+450,"-",SUMPRODUCT(('Picked Students (raw)'!$B$2:$B$824=$A44)*('Picked Students (raw)'!$E$2:$E$824="Career Gap/ Non Working")*('Picked Students (raw)'!$C$2:$C$824&lt;&gt;"")*(('Picked Students (raw)'!$C$2:$C$824-$B44)&lt;450)))))</f>
        <v/>
      </c>
      <c r="AI44" s="5">
        <f>IF($A44="","",IF(AH44="-","-",IF($D44=0,0,AH44/$D44)))</f>
        <v/>
      </c>
      <c r="AJ44" s="3">
        <f>IF($A44="","",IF($B44="","",IF(TODAY()&lt;$B44+480,"-",SUMPRODUCT(('Picked Students (raw)'!$B$2:$B$824=$A44)*('Picked Students (raw)'!$E$2:$E$824="Career Gap/ Non Working")*('Picked Students (raw)'!$C$2:$C$824&lt;&gt;"")*(('Picked Students (raw)'!$C$2:$C$824-$B44)&lt;480)))))</f>
        <v/>
      </c>
      <c r="AK44" s="5">
        <f>IF($A44="","",IF(AJ44="-","-",IF($D44=0,0,AJ44/$D44)))</f>
        <v/>
      </c>
      <c r="AL44" s="3">
        <f>IF($A44="","",IF($B44="","",IF(TODAY()&lt;$B44+510,"-",SUMPRODUCT(('Picked Students (raw)'!$B$2:$B$824=$A44)*('Picked Students (raw)'!$E$2:$E$824="Career Gap/ Non Working")*('Picked Students (raw)'!$C$2:$C$824&lt;&gt;"")*(('Picked Students (raw)'!$C$2:$C$824-$B44)&lt;510)))))</f>
        <v/>
      </c>
      <c r="AM44" s="5">
        <f>IF($A44="","",IF(AL44="-","-",IF($D44=0,0,AL44/$D44)))</f>
        <v/>
      </c>
      <c r="AN44" s="3">
        <f>IF($A44="","",IF($B44="","",IF(TODAY()&lt;$B44+540,"-",SUMPRODUCT(('Picked Students (raw)'!$B$2:$B$824=$A44)*('Picked Students (raw)'!$E$2:$E$824="Career Gap/ Non Working")*('Picked Students (raw)'!$C$2:$C$824&lt;&gt;"")*(('Picked Students (raw)'!$C$2:$C$824-$B44)&lt;540)))))</f>
        <v/>
      </c>
      <c r="AO44" s="5">
        <f>IF($A44="","",IF(AN44="-","-",IF($D44=0,0,AN44/$D44)))</f>
        <v/>
      </c>
      <c r="AP44" s="3">
        <f>IF($A44="","",IF(AN44="-","-",$E44-AN44))</f>
        <v/>
      </c>
    </row>
    <row r="45">
      <c r="A45" s="3" t="inlineStr">
        <is>
          <t>Professional Certificate Course In Data Science August 2026</t>
        </is>
      </c>
      <c r="B45" s="4">
        <f>IF($A45="","",IFERROR(INDEX('Batch Enrollment (Metabase)'!$D$2:$D$47,MATCH($A45,'Batch Enrollment (Metabase)'!$A$2:$A$47,0)),""))</f>
        <v/>
      </c>
      <c r="C45" s="3">
        <f>IF($A45="","",IFERROR(INDEX('Batch Enrollment (Metabase)'!$E$2:$E$47,MATCH($A45,'Batch Enrollment (Metabase)'!$A$2:$A$47,0)),""))</f>
        <v/>
      </c>
      <c r="D45" s="3">
        <f>IF($A45="","",IFERROR(INDEX('Batch Enrollment (Metabase)'!$F$2:$F$47,MATCH($A45,'Batch Enrollment (Metabase)'!$A$2:$A$47,0)),""))</f>
        <v/>
      </c>
      <c r="E45" s="3">
        <f>IF($A45="","",COUNTIFS('Picked Students (raw)'!$B$2:$B$824,$A45,'Picked Students (raw)'!$E$2:$E$824,"Career Gap/ Non Working"))</f>
        <v/>
      </c>
      <c r="F45" s="3">
        <f>IF($A45="","",IF($B45="","",IF(TODAY()&lt;$B45+30,"-",SUMPRODUCT(('Picked Students (raw)'!$B$2:$B$824=$A45)*('Picked Students (raw)'!$E$2:$E$824="Career Gap/ Non Working")*('Picked Students (raw)'!$C$2:$C$824&lt;&gt;"")*(('Picked Students (raw)'!$C$2:$C$824-$B45)&lt;30)))))</f>
        <v/>
      </c>
      <c r="G45" s="5">
        <f>IF($A45="","",IF(F45="-","-",IF($D45=0,0,F45/$D45)))</f>
        <v/>
      </c>
      <c r="H45" s="3">
        <f>IF($A45="","",IF($B45="","",IF(TODAY()&lt;$B45+60,"-",SUMPRODUCT(('Picked Students (raw)'!$B$2:$B$824=$A45)*('Picked Students (raw)'!$E$2:$E$824="Career Gap/ Non Working")*('Picked Students (raw)'!$C$2:$C$824&lt;&gt;"")*(('Picked Students (raw)'!$C$2:$C$824-$B45)&lt;60)))))</f>
        <v/>
      </c>
      <c r="I45" s="5">
        <f>IF($A45="","",IF(H45="-","-",IF($D45=0,0,H45/$D45)))</f>
        <v/>
      </c>
      <c r="J45" s="3">
        <f>IF($A45="","",IF($B45="","",IF(TODAY()&lt;$B45+90,"-",SUMPRODUCT(('Picked Students (raw)'!$B$2:$B$824=$A45)*('Picked Students (raw)'!$E$2:$E$824="Career Gap/ Non Working")*('Picked Students (raw)'!$C$2:$C$824&lt;&gt;"")*(('Picked Students (raw)'!$C$2:$C$824-$B45)&lt;90)))))</f>
        <v/>
      </c>
      <c r="K45" s="5">
        <f>IF($A45="","",IF(J45="-","-",IF($D45=0,0,J45/$D45)))</f>
        <v/>
      </c>
      <c r="L45" s="3">
        <f>IF($A45="","",IF($B45="","",IF(TODAY()&lt;$B45+120,"-",SUMPRODUCT(('Picked Students (raw)'!$B$2:$B$824=$A45)*('Picked Students (raw)'!$E$2:$E$824="Career Gap/ Non Working")*('Picked Students (raw)'!$C$2:$C$824&lt;&gt;"")*(('Picked Students (raw)'!$C$2:$C$824-$B45)&lt;120)))))</f>
        <v/>
      </c>
      <c r="M45" s="5">
        <f>IF($A45="","",IF(L45="-","-",IF($D45=0,0,L45/$D45)))</f>
        <v/>
      </c>
      <c r="N45" s="3">
        <f>IF($A45="","",IF($B45="","",IF(TODAY()&lt;$B45+150,"-",SUMPRODUCT(('Picked Students (raw)'!$B$2:$B$824=$A45)*('Picked Students (raw)'!$E$2:$E$824="Career Gap/ Non Working")*('Picked Students (raw)'!$C$2:$C$824&lt;&gt;"")*(('Picked Students (raw)'!$C$2:$C$824-$B45)&lt;150)))))</f>
        <v/>
      </c>
      <c r="O45" s="5">
        <f>IF($A45="","",IF(N45="-","-",IF($D45=0,0,N45/$D45)))</f>
        <v/>
      </c>
      <c r="P45" s="3">
        <f>IF($A45="","",IF($B45="","",IF(TODAY()&lt;$B45+180,"-",SUMPRODUCT(('Picked Students (raw)'!$B$2:$B$824=$A45)*('Picked Students (raw)'!$E$2:$E$824="Career Gap/ Non Working")*('Picked Students (raw)'!$C$2:$C$824&lt;&gt;"")*(('Picked Students (raw)'!$C$2:$C$824-$B45)&lt;180)))))</f>
        <v/>
      </c>
      <c r="Q45" s="5">
        <f>IF($A45="","",IF(P45="-","-",IF($D45=0,0,P45/$D45)))</f>
        <v/>
      </c>
      <c r="R45" s="3">
        <f>IF($A45="","",IF($B45="","",IF(TODAY()&lt;$B45+210,"-",SUMPRODUCT(('Picked Students (raw)'!$B$2:$B$824=$A45)*('Picked Students (raw)'!$E$2:$E$824="Career Gap/ Non Working")*('Picked Students (raw)'!$C$2:$C$824&lt;&gt;"")*(('Picked Students (raw)'!$C$2:$C$824-$B45)&lt;210)))))</f>
        <v/>
      </c>
      <c r="S45" s="5">
        <f>IF($A45="","",IF(R45="-","-",IF($D45=0,0,R45/$D45)))</f>
        <v/>
      </c>
      <c r="T45" s="3">
        <f>IF($A45="","",IF($B45="","",IF(TODAY()&lt;$B45+240,"-",SUMPRODUCT(('Picked Students (raw)'!$B$2:$B$824=$A45)*('Picked Students (raw)'!$E$2:$E$824="Career Gap/ Non Working")*('Picked Students (raw)'!$C$2:$C$824&lt;&gt;"")*(('Picked Students (raw)'!$C$2:$C$824-$B45)&lt;240)))))</f>
        <v/>
      </c>
      <c r="U45" s="5">
        <f>IF($A45="","",IF(T45="-","-",IF($D45=0,0,T45/$D45)))</f>
        <v/>
      </c>
      <c r="V45" s="3">
        <f>IF($A45="","",IF($B45="","",IF(TODAY()&lt;$B45+270,"-",SUMPRODUCT(('Picked Students (raw)'!$B$2:$B$824=$A45)*('Picked Students (raw)'!$E$2:$E$824="Career Gap/ Non Working")*('Picked Students (raw)'!$C$2:$C$824&lt;&gt;"")*(('Picked Students (raw)'!$C$2:$C$824-$B45)&lt;270)))))</f>
        <v/>
      </c>
      <c r="W45" s="5">
        <f>IF($A45="","",IF(V45="-","-",IF($D45=0,0,V45/$D45)))</f>
        <v/>
      </c>
      <c r="X45" s="3">
        <f>IF($A45="","",IF($B45="","",IF(TODAY()&lt;$B45+300,"-",SUMPRODUCT(('Picked Students (raw)'!$B$2:$B$824=$A45)*('Picked Students (raw)'!$E$2:$E$824="Career Gap/ Non Working")*('Picked Students (raw)'!$C$2:$C$824&lt;&gt;"")*(('Picked Students (raw)'!$C$2:$C$824-$B45)&lt;300)))))</f>
        <v/>
      </c>
      <c r="Y45" s="5">
        <f>IF($A45="","",IF(X45="-","-",IF($D45=0,0,X45/$D45)))</f>
        <v/>
      </c>
      <c r="Z45" s="3">
        <f>IF($A45="","",IF($B45="","",IF(TODAY()&lt;$B45+330,"-",SUMPRODUCT(('Picked Students (raw)'!$B$2:$B$824=$A45)*('Picked Students (raw)'!$E$2:$E$824="Career Gap/ Non Working")*('Picked Students (raw)'!$C$2:$C$824&lt;&gt;"")*(('Picked Students (raw)'!$C$2:$C$824-$B45)&lt;330)))))</f>
        <v/>
      </c>
      <c r="AA45" s="5">
        <f>IF($A45="","",IF(Z45="-","-",IF($D45=0,0,Z45/$D45)))</f>
        <v/>
      </c>
      <c r="AB45" s="3">
        <f>IF($A45="","",IF($B45="","",IF(TODAY()&lt;$B45+360,"-",SUMPRODUCT(('Picked Students (raw)'!$B$2:$B$824=$A45)*('Picked Students (raw)'!$E$2:$E$824="Career Gap/ Non Working")*('Picked Students (raw)'!$C$2:$C$824&lt;&gt;"")*(('Picked Students (raw)'!$C$2:$C$824-$B45)&lt;360)))))</f>
        <v/>
      </c>
      <c r="AC45" s="5">
        <f>IF($A45="","",IF(AB45="-","-",IF($D45=0,0,AB45/$D45)))</f>
        <v/>
      </c>
      <c r="AD45" s="3">
        <f>IF($A45="","",IF($B45="","",IF(TODAY()&lt;$B45+390,"-",SUMPRODUCT(('Picked Students (raw)'!$B$2:$B$824=$A45)*('Picked Students (raw)'!$E$2:$E$824="Career Gap/ Non Working")*('Picked Students (raw)'!$C$2:$C$824&lt;&gt;"")*(('Picked Students (raw)'!$C$2:$C$824-$B45)&lt;390)))))</f>
        <v/>
      </c>
      <c r="AE45" s="5">
        <f>IF($A45="","",IF(AD45="-","-",IF($D45=0,0,AD45/$D45)))</f>
        <v/>
      </c>
      <c r="AF45" s="3">
        <f>IF($A45="","",IF($B45="","",IF(TODAY()&lt;$B45+420,"-",SUMPRODUCT(('Picked Students (raw)'!$B$2:$B$824=$A45)*('Picked Students (raw)'!$E$2:$E$824="Career Gap/ Non Working")*('Picked Students (raw)'!$C$2:$C$824&lt;&gt;"")*(('Picked Students (raw)'!$C$2:$C$824-$B45)&lt;420)))))</f>
        <v/>
      </c>
      <c r="AG45" s="5">
        <f>IF($A45="","",IF(AF45="-","-",IF($D45=0,0,AF45/$D45)))</f>
        <v/>
      </c>
      <c r="AH45" s="3">
        <f>IF($A45="","",IF($B45="","",IF(TODAY()&lt;$B45+450,"-",SUMPRODUCT(('Picked Students (raw)'!$B$2:$B$824=$A45)*('Picked Students (raw)'!$E$2:$E$824="Career Gap/ Non Working")*('Picked Students (raw)'!$C$2:$C$824&lt;&gt;"")*(('Picked Students (raw)'!$C$2:$C$824-$B45)&lt;450)))))</f>
        <v/>
      </c>
      <c r="AI45" s="5">
        <f>IF($A45="","",IF(AH45="-","-",IF($D45=0,0,AH45/$D45)))</f>
        <v/>
      </c>
      <c r="AJ45" s="3">
        <f>IF($A45="","",IF($B45="","",IF(TODAY()&lt;$B45+480,"-",SUMPRODUCT(('Picked Students (raw)'!$B$2:$B$824=$A45)*('Picked Students (raw)'!$E$2:$E$824="Career Gap/ Non Working")*('Picked Students (raw)'!$C$2:$C$824&lt;&gt;"")*(('Picked Students (raw)'!$C$2:$C$824-$B45)&lt;480)))))</f>
        <v/>
      </c>
      <c r="AK45" s="5">
        <f>IF($A45="","",IF(AJ45="-","-",IF($D45=0,0,AJ45/$D45)))</f>
        <v/>
      </c>
      <c r="AL45" s="3">
        <f>IF($A45="","",IF($B45="","",IF(TODAY()&lt;$B45+510,"-",SUMPRODUCT(('Picked Students (raw)'!$B$2:$B$824=$A45)*('Picked Students (raw)'!$E$2:$E$824="Career Gap/ Non Working")*('Picked Students (raw)'!$C$2:$C$824&lt;&gt;"")*(('Picked Students (raw)'!$C$2:$C$824-$B45)&lt;510)))))</f>
        <v/>
      </c>
      <c r="AM45" s="5">
        <f>IF($A45="","",IF(AL45="-","-",IF($D45=0,0,AL45/$D45)))</f>
        <v/>
      </c>
      <c r="AN45" s="3">
        <f>IF($A45="","",IF($B45="","",IF(TODAY()&lt;$B45+540,"-",SUMPRODUCT(('Picked Students (raw)'!$B$2:$B$824=$A45)*('Picked Students (raw)'!$E$2:$E$824="Career Gap/ Non Working")*('Picked Students (raw)'!$C$2:$C$824&lt;&gt;"")*(('Picked Students (raw)'!$C$2:$C$824-$B45)&lt;540)))))</f>
        <v/>
      </c>
      <c r="AO45" s="5">
        <f>IF($A45="","",IF(AN45="-","-",IF($D45=0,0,AN45/$D45)))</f>
        <v/>
      </c>
      <c r="AP45" s="3">
        <f>IF($A45="","",IF(AN45="-","-",$E45-AN45))</f>
        <v/>
      </c>
    </row>
    <row r="46">
      <c r="A46" s="3" t="inlineStr">
        <is>
          <t>Professional Certificate Course In Data Science September 2026</t>
        </is>
      </c>
      <c r="B46" s="4">
        <f>IF($A46="","",IFERROR(INDEX('Batch Enrollment (Metabase)'!$D$2:$D$47,MATCH($A46,'Batch Enrollment (Metabase)'!$A$2:$A$47,0)),""))</f>
        <v/>
      </c>
      <c r="C46" s="3">
        <f>IF($A46="","",IFERROR(INDEX('Batch Enrollment (Metabase)'!$E$2:$E$47,MATCH($A46,'Batch Enrollment (Metabase)'!$A$2:$A$47,0)),""))</f>
        <v/>
      </c>
      <c r="D46" s="3">
        <f>IF($A46="","",IFERROR(INDEX('Batch Enrollment (Metabase)'!$F$2:$F$47,MATCH($A46,'Batch Enrollment (Metabase)'!$A$2:$A$47,0)),""))</f>
        <v/>
      </c>
      <c r="E46" s="3">
        <f>IF($A46="","",COUNTIFS('Picked Students (raw)'!$B$2:$B$824,$A46,'Picked Students (raw)'!$E$2:$E$824,"Career Gap/ Non Working"))</f>
        <v/>
      </c>
      <c r="F46" s="3">
        <f>IF($A46="","",IF($B46="","",IF(TODAY()&lt;$B46+30,"-",SUMPRODUCT(('Picked Students (raw)'!$B$2:$B$824=$A46)*('Picked Students (raw)'!$E$2:$E$824="Career Gap/ Non Working")*('Picked Students (raw)'!$C$2:$C$824&lt;&gt;"")*(('Picked Students (raw)'!$C$2:$C$824-$B46)&lt;30)))))</f>
        <v/>
      </c>
      <c r="G46" s="5">
        <f>IF($A46="","",IF(F46="-","-",IF($D46=0,0,F46/$D46)))</f>
        <v/>
      </c>
      <c r="H46" s="3">
        <f>IF($A46="","",IF($B46="","",IF(TODAY()&lt;$B46+60,"-",SUMPRODUCT(('Picked Students (raw)'!$B$2:$B$824=$A46)*('Picked Students (raw)'!$E$2:$E$824="Career Gap/ Non Working")*('Picked Students (raw)'!$C$2:$C$824&lt;&gt;"")*(('Picked Students (raw)'!$C$2:$C$824-$B46)&lt;60)))))</f>
        <v/>
      </c>
      <c r="I46" s="5">
        <f>IF($A46="","",IF(H46="-","-",IF($D46=0,0,H46/$D46)))</f>
        <v/>
      </c>
      <c r="J46" s="3">
        <f>IF($A46="","",IF($B46="","",IF(TODAY()&lt;$B46+90,"-",SUMPRODUCT(('Picked Students (raw)'!$B$2:$B$824=$A46)*('Picked Students (raw)'!$E$2:$E$824="Career Gap/ Non Working")*('Picked Students (raw)'!$C$2:$C$824&lt;&gt;"")*(('Picked Students (raw)'!$C$2:$C$824-$B46)&lt;90)))))</f>
        <v/>
      </c>
      <c r="K46" s="5">
        <f>IF($A46="","",IF(J46="-","-",IF($D46=0,0,J46/$D46)))</f>
        <v/>
      </c>
      <c r="L46" s="3">
        <f>IF($A46="","",IF($B46="","",IF(TODAY()&lt;$B46+120,"-",SUMPRODUCT(('Picked Students (raw)'!$B$2:$B$824=$A46)*('Picked Students (raw)'!$E$2:$E$824="Career Gap/ Non Working")*('Picked Students (raw)'!$C$2:$C$824&lt;&gt;"")*(('Picked Students (raw)'!$C$2:$C$824-$B46)&lt;120)))))</f>
        <v/>
      </c>
      <c r="M46" s="5">
        <f>IF($A46="","",IF(L46="-","-",IF($D46=0,0,L46/$D46)))</f>
        <v/>
      </c>
      <c r="N46" s="3">
        <f>IF($A46="","",IF($B46="","",IF(TODAY()&lt;$B46+150,"-",SUMPRODUCT(('Picked Students (raw)'!$B$2:$B$824=$A46)*('Picked Students (raw)'!$E$2:$E$824="Career Gap/ Non Working")*('Picked Students (raw)'!$C$2:$C$824&lt;&gt;"")*(('Picked Students (raw)'!$C$2:$C$824-$B46)&lt;150)))))</f>
        <v/>
      </c>
      <c r="O46" s="5">
        <f>IF($A46="","",IF(N46="-","-",IF($D46=0,0,N46/$D46)))</f>
        <v/>
      </c>
      <c r="P46" s="3">
        <f>IF($A46="","",IF($B46="","",IF(TODAY()&lt;$B46+180,"-",SUMPRODUCT(('Picked Students (raw)'!$B$2:$B$824=$A46)*('Picked Students (raw)'!$E$2:$E$824="Career Gap/ Non Working")*('Picked Students (raw)'!$C$2:$C$824&lt;&gt;"")*(('Picked Students (raw)'!$C$2:$C$824-$B46)&lt;180)))))</f>
        <v/>
      </c>
      <c r="Q46" s="5">
        <f>IF($A46="","",IF(P46="-","-",IF($D46=0,0,P46/$D46)))</f>
        <v/>
      </c>
      <c r="R46" s="3">
        <f>IF($A46="","",IF($B46="","",IF(TODAY()&lt;$B46+210,"-",SUMPRODUCT(('Picked Students (raw)'!$B$2:$B$824=$A46)*('Picked Students (raw)'!$E$2:$E$824="Career Gap/ Non Working")*('Picked Students (raw)'!$C$2:$C$824&lt;&gt;"")*(('Picked Students (raw)'!$C$2:$C$824-$B46)&lt;210)))))</f>
        <v/>
      </c>
      <c r="S46" s="5">
        <f>IF($A46="","",IF(R46="-","-",IF($D46=0,0,R46/$D46)))</f>
        <v/>
      </c>
      <c r="T46" s="3">
        <f>IF($A46="","",IF($B46="","",IF(TODAY()&lt;$B46+240,"-",SUMPRODUCT(('Picked Students (raw)'!$B$2:$B$824=$A46)*('Picked Students (raw)'!$E$2:$E$824="Career Gap/ Non Working")*('Picked Students (raw)'!$C$2:$C$824&lt;&gt;"")*(('Picked Students (raw)'!$C$2:$C$824-$B46)&lt;240)))))</f>
        <v/>
      </c>
      <c r="U46" s="5">
        <f>IF($A46="","",IF(T46="-","-",IF($D46=0,0,T46/$D46)))</f>
        <v/>
      </c>
      <c r="V46" s="3">
        <f>IF($A46="","",IF($B46="","",IF(TODAY()&lt;$B46+270,"-",SUMPRODUCT(('Picked Students (raw)'!$B$2:$B$824=$A46)*('Picked Students (raw)'!$E$2:$E$824="Career Gap/ Non Working")*('Picked Students (raw)'!$C$2:$C$824&lt;&gt;"")*(('Picked Students (raw)'!$C$2:$C$824-$B46)&lt;270)))))</f>
        <v/>
      </c>
      <c r="W46" s="5">
        <f>IF($A46="","",IF(V46="-","-",IF($D46=0,0,V46/$D46)))</f>
        <v/>
      </c>
      <c r="X46" s="3">
        <f>IF($A46="","",IF($B46="","",IF(TODAY()&lt;$B46+300,"-",SUMPRODUCT(('Picked Students (raw)'!$B$2:$B$824=$A46)*('Picked Students (raw)'!$E$2:$E$824="Career Gap/ Non Working")*('Picked Students (raw)'!$C$2:$C$824&lt;&gt;"")*(('Picked Students (raw)'!$C$2:$C$824-$B46)&lt;300)))))</f>
        <v/>
      </c>
      <c r="Y46" s="5">
        <f>IF($A46="","",IF(X46="-","-",IF($D46=0,0,X46/$D46)))</f>
        <v/>
      </c>
      <c r="Z46" s="3">
        <f>IF($A46="","",IF($B46="","",IF(TODAY()&lt;$B46+330,"-",SUMPRODUCT(('Picked Students (raw)'!$B$2:$B$824=$A46)*('Picked Students (raw)'!$E$2:$E$824="Career Gap/ Non Working")*('Picked Students (raw)'!$C$2:$C$824&lt;&gt;"")*(('Picked Students (raw)'!$C$2:$C$824-$B46)&lt;330)))))</f>
        <v/>
      </c>
      <c r="AA46" s="5">
        <f>IF($A46="","",IF(Z46="-","-",IF($D46=0,0,Z46/$D46)))</f>
        <v/>
      </c>
      <c r="AB46" s="3">
        <f>IF($A46="","",IF($B46="","",IF(TODAY()&lt;$B46+360,"-",SUMPRODUCT(('Picked Students (raw)'!$B$2:$B$824=$A46)*('Picked Students (raw)'!$E$2:$E$824="Career Gap/ Non Working")*('Picked Students (raw)'!$C$2:$C$824&lt;&gt;"")*(('Picked Students (raw)'!$C$2:$C$824-$B46)&lt;360)))))</f>
        <v/>
      </c>
      <c r="AC46" s="5">
        <f>IF($A46="","",IF(AB46="-","-",IF($D46=0,0,AB46/$D46)))</f>
        <v/>
      </c>
      <c r="AD46" s="3">
        <f>IF($A46="","",IF($B46="","",IF(TODAY()&lt;$B46+390,"-",SUMPRODUCT(('Picked Students (raw)'!$B$2:$B$824=$A46)*('Picked Students (raw)'!$E$2:$E$824="Career Gap/ Non Working")*('Picked Students (raw)'!$C$2:$C$824&lt;&gt;"")*(('Picked Students (raw)'!$C$2:$C$824-$B46)&lt;390)))))</f>
        <v/>
      </c>
      <c r="AE46" s="5">
        <f>IF($A46="","",IF(AD46="-","-",IF($D46=0,0,AD46/$D46)))</f>
        <v/>
      </c>
      <c r="AF46" s="3">
        <f>IF($A46="","",IF($B46="","",IF(TODAY()&lt;$B46+420,"-",SUMPRODUCT(('Picked Students (raw)'!$B$2:$B$824=$A46)*('Picked Students (raw)'!$E$2:$E$824="Career Gap/ Non Working")*('Picked Students (raw)'!$C$2:$C$824&lt;&gt;"")*(('Picked Students (raw)'!$C$2:$C$824-$B46)&lt;420)))))</f>
        <v/>
      </c>
      <c r="AG46" s="5">
        <f>IF($A46="","",IF(AF46="-","-",IF($D46=0,0,AF46/$D46)))</f>
        <v/>
      </c>
      <c r="AH46" s="3">
        <f>IF($A46="","",IF($B46="","",IF(TODAY()&lt;$B46+450,"-",SUMPRODUCT(('Picked Students (raw)'!$B$2:$B$824=$A46)*('Picked Students (raw)'!$E$2:$E$824="Career Gap/ Non Working")*('Picked Students (raw)'!$C$2:$C$824&lt;&gt;"")*(('Picked Students (raw)'!$C$2:$C$824-$B46)&lt;450)))))</f>
        <v/>
      </c>
      <c r="AI46" s="5">
        <f>IF($A46="","",IF(AH46="-","-",IF($D46=0,0,AH46/$D46)))</f>
        <v/>
      </c>
      <c r="AJ46" s="3">
        <f>IF($A46="","",IF($B46="","",IF(TODAY()&lt;$B46+480,"-",SUMPRODUCT(('Picked Students (raw)'!$B$2:$B$824=$A46)*('Picked Students (raw)'!$E$2:$E$824="Career Gap/ Non Working")*('Picked Students (raw)'!$C$2:$C$824&lt;&gt;"")*(('Picked Students (raw)'!$C$2:$C$824-$B46)&lt;480)))))</f>
        <v/>
      </c>
      <c r="AK46" s="5">
        <f>IF($A46="","",IF(AJ46="-","-",IF($D46=0,0,AJ46/$D46)))</f>
        <v/>
      </c>
      <c r="AL46" s="3">
        <f>IF($A46="","",IF($B46="","",IF(TODAY()&lt;$B46+510,"-",SUMPRODUCT(('Picked Students (raw)'!$B$2:$B$824=$A46)*('Picked Students (raw)'!$E$2:$E$824="Career Gap/ Non Working")*('Picked Students (raw)'!$C$2:$C$824&lt;&gt;"")*(('Picked Students (raw)'!$C$2:$C$824-$B46)&lt;510)))))</f>
        <v/>
      </c>
      <c r="AM46" s="5">
        <f>IF($A46="","",IF(AL46="-","-",IF($D46=0,0,AL46/$D46)))</f>
        <v/>
      </c>
      <c r="AN46" s="3">
        <f>IF($A46="","",IF($B46="","",IF(TODAY()&lt;$B46+540,"-",SUMPRODUCT(('Picked Students (raw)'!$B$2:$B$824=$A46)*('Picked Students (raw)'!$E$2:$E$824="Career Gap/ Non Working")*('Picked Students (raw)'!$C$2:$C$824&lt;&gt;"")*(('Picked Students (raw)'!$C$2:$C$824-$B46)&lt;540)))))</f>
        <v/>
      </c>
      <c r="AO46" s="5">
        <f>IF($A46="","",IF(AN46="-","-",IF($D46=0,0,AN46/$D46)))</f>
        <v/>
      </c>
      <c r="AP46" s="3">
        <f>IF($A46="","",IF(AN46="-","-",$E46-AN46))</f>
        <v/>
      </c>
    </row>
    <row r="47">
      <c r="A47" s="3" t="inlineStr">
        <is>
          <t>Professional Certificate Course In Data Science October 2026</t>
        </is>
      </c>
      <c r="B47" s="4">
        <f>IF($A47="","",IFERROR(INDEX('Batch Enrollment (Metabase)'!$D$2:$D$47,MATCH($A47,'Batch Enrollment (Metabase)'!$A$2:$A$47,0)),""))</f>
        <v/>
      </c>
      <c r="C47" s="3">
        <f>IF($A47="","",IFERROR(INDEX('Batch Enrollment (Metabase)'!$E$2:$E$47,MATCH($A47,'Batch Enrollment (Metabase)'!$A$2:$A$47,0)),""))</f>
        <v/>
      </c>
      <c r="D47" s="3">
        <f>IF($A47="","",IFERROR(INDEX('Batch Enrollment (Metabase)'!$F$2:$F$47,MATCH($A47,'Batch Enrollment (Metabase)'!$A$2:$A$47,0)),""))</f>
        <v/>
      </c>
      <c r="E47" s="3">
        <f>IF($A47="","",COUNTIFS('Picked Students (raw)'!$B$2:$B$824,$A47,'Picked Students (raw)'!$E$2:$E$824,"Career Gap/ Non Working"))</f>
        <v/>
      </c>
      <c r="F47" s="3">
        <f>IF($A47="","",IF($B47="","",IF(TODAY()&lt;$B47+30,"-",SUMPRODUCT(('Picked Students (raw)'!$B$2:$B$824=$A47)*('Picked Students (raw)'!$E$2:$E$824="Career Gap/ Non Working")*('Picked Students (raw)'!$C$2:$C$824&lt;&gt;"")*(('Picked Students (raw)'!$C$2:$C$824-$B47)&lt;30)))))</f>
        <v/>
      </c>
      <c r="G47" s="5">
        <f>IF($A47="","",IF(F47="-","-",IF($D47=0,0,F47/$D47)))</f>
        <v/>
      </c>
      <c r="H47" s="3">
        <f>IF($A47="","",IF($B47="","",IF(TODAY()&lt;$B47+60,"-",SUMPRODUCT(('Picked Students (raw)'!$B$2:$B$824=$A47)*('Picked Students (raw)'!$E$2:$E$824="Career Gap/ Non Working")*('Picked Students (raw)'!$C$2:$C$824&lt;&gt;"")*(('Picked Students (raw)'!$C$2:$C$824-$B47)&lt;60)))))</f>
        <v/>
      </c>
      <c r="I47" s="5">
        <f>IF($A47="","",IF(H47="-","-",IF($D47=0,0,H47/$D47)))</f>
        <v/>
      </c>
      <c r="J47" s="3">
        <f>IF($A47="","",IF($B47="","",IF(TODAY()&lt;$B47+90,"-",SUMPRODUCT(('Picked Students (raw)'!$B$2:$B$824=$A47)*('Picked Students (raw)'!$E$2:$E$824="Career Gap/ Non Working")*('Picked Students (raw)'!$C$2:$C$824&lt;&gt;"")*(('Picked Students (raw)'!$C$2:$C$824-$B47)&lt;90)))))</f>
        <v/>
      </c>
      <c r="K47" s="5">
        <f>IF($A47="","",IF(J47="-","-",IF($D47=0,0,J47/$D47)))</f>
        <v/>
      </c>
      <c r="L47" s="3">
        <f>IF($A47="","",IF($B47="","",IF(TODAY()&lt;$B47+120,"-",SUMPRODUCT(('Picked Students (raw)'!$B$2:$B$824=$A47)*('Picked Students (raw)'!$E$2:$E$824="Career Gap/ Non Working")*('Picked Students (raw)'!$C$2:$C$824&lt;&gt;"")*(('Picked Students (raw)'!$C$2:$C$824-$B47)&lt;120)))))</f>
        <v/>
      </c>
      <c r="M47" s="5">
        <f>IF($A47="","",IF(L47="-","-",IF($D47=0,0,L47/$D47)))</f>
        <v/>
      </c>
      <c r="N47" s="3">
        <f>IF($A47="","",IF($B47="","",IF(TODAY()&lt;$B47+150,"-",SUMPRODUCT(('Picked Students (raw)'!$B$2:$B$824=$A47)*('Picked Students (raw)'!$E$2:$E$824="Career Gap/ Non Working")*('Picked Students (raw)'!$C$2:$C$824&lt;&gt;"")*(('Picked Students (raw)'!$C$2:$C$824-$B47)&lt;150)))))</f>
        <v/>
      </c>
      <c r="O47" s="5">
        <f>IF($A47="","",IF(N47="-","-",IF($D47=0,0,N47/$D47)))</f>
        <v/>
      </c>
      <c r="P47" s="3">
        <f>IF($A47="","",IF($B47="","",IF(TODAY()&lt;$B47+180,"-",SUMPRODUCT(('Picked Students (raw)'!$B$2:$B$824=$A47)*('Picked Students (raw)'!$E$2:$E$824="Career Gap/ Non Working")*('Picked Students (raw)'!$C$2:$C$824&lt;&gt;"")*(('Picked Students (raw)'!$C$2:$C$824-$B47)&lt;180)))))</f>
        <v/>
      </c>
      <c r="Q47" s="5">
        <f>IF($A47="","",IF(P47="-","-",IF($D47=0,0,P47/$D47)))</f>
        <v/>
      </c>
      <c r="R47" s="3">
        <f>IF($A47="","",IF($B47="","",IF(TODAY()&lt;$B47+210,"-",SUMPRODUCT(('Picked Students (raw)'!$B$2:$B$824=$A47)*('Picked Students (raw)'!$E$2:$E$824="Career Gap/ Non Working")*('Picked Students (raw)'!$C$2:$C$824&lt;&gt;"")*(('Picked Students (raw)'!$C$2:$C$824-$B47)&lt;210)))))</f>
        <v/>
      </c>
      <c r="S47" s="5">
        <f>IF($A47="","",IF(R47="-","-",IF($D47=0,0,R47/$D47)))</f>
        <v/>
      </c>
      <c r="T47" s="3">
        <f>IF($A47="","",IF($B47="","",IF(TODAY()&lt;$B47+240,"-",SUMPRODUCT(('Picked Students (raw)'!$B$2:$B$824=$A47)*('Picked Students (raw)'!$E$2:$E$824="Career Gap/ Non Working")*('Picked Students (raw)'!$C$2:$C$824&lt;&gt;"")*(('Picked Students (raw)'!$C$2:$C$824-$B47)&lt;240)))))</f>
        <v/>
      </c>
      <c r="U47" s="5">
        <f>IF($A47="","",IF(T47="-","-",IF($D47=0,0,T47/$D47)))</f>
        <v/>
      </c>
      <c r="V47" s="3">
        <f>IF($A47="","",IF($B47="","",IF(TODAY()&lt;$B47+270,"-",SUMPRODUCT(('Picked Students (raw)'!$B$2:$B$824=$A47)*('Picked Students (raw)'!$E$2:$E$824="Career Gap/ Non Working")*('Picked Students (raw)'!$C$2:$C$824&lt;&gt;"")*(('Picked Students (raw)'!$C$2:$C$824-$B47)&lt;270)))))</f>
        <v/>
      </c>
      <c r="W47" s="5">
        <f>IF($A47="","",IF(V47="-","-",IF($D47=0,0,V47/$D47)))</f>
        <v/>
      </c>
      <c r="X47" s="3">
        <f>IF($A47="","",IF($B47="","",IF(TODAY()&lt;$B47+300,"-",SUMPRODUCT(('Picked Students (raw)'!$B$2:$B$824=$A47)*('Picked Students (raw)'!$E$2:$E$824="Career Gap/ Non Working")*('Picked Students (raw)'!$C$2:$C$824&lt;&gt;"")*(('Picked Students (raw)'!$C$2:$C$824-$B47)&lt;300)))))</f>
        <v/>
      </c>
      <c r="Y47" s="5">
        <f>IF($A47="","",IF(X47="-","-",IF($D47=0,0,X47/$D47)))</f>
        <v/>
      </c>
      <c r="Z47" s="3">
        <f>IF($A47="","",IF($B47="","",IF(TODAY()&lt;$B47+330,"-",SUMPRODUCT(('Picked Students (raw)'!$B$2:$B$824=$A47)*('Picked Students (raw)'!$E$2:$E$824="Career Gap/ Non Working")*('Picked Students (raw)'!$C$2:$C$824&lt;&gt;"")*(('Picked Students (raw)'!$C$2:$C$824-$B47)&lt;330)))))</f>
        <v/>
      </c>
      <c r="AA47" s="5">
        <f>IF($A47="","",IF(Z47="-","-",IF($D47=0,0,Z47/$D47)))</f>
        <v/>
      </c>
      <c r="AB47" s="3">
        <f>IF($A47="","",IF($B47="","",IF(TODAY()&lt;$B47+360,"-",SUMPRODUCT(('Picked Students (raw)'!$B$2:$B$824=$A47)*('Picked Students (raw)'!$E$2:$E$824="Career Gap/ Non Working")*('Picked Students (raw)'!$C$2:$C$824&lt;&gt;"")*(('Picked Students (raw)'!$C$2:$C$824-$B47)&lt;360)))))</f>
        <v/>
      </c>
      <c r="AC47" s="5">
        <f>IF($A47="","",IF(AB47="-","-",IF($D47=0,0,AB47/$D47)))</f>
        <v/>
      </c>
      <c r="AD47" s="3">
        <f>IF($A47="","",IF($B47="","",IF(TODAY()&lt;$B47+390,"-",SUMPRODUCT(('Picked Students (raw)'!$B$2:$B$824=$A47)*('Picked Students (raw)'!$E$2:$E$824="Career Gap/ Non Working")*('Picked Students (raw)'!$C$2:$C$824&lt;&gt;"")*(('Picked Students (raw)'!$C$2:$C$824-$B47)&lt;390)))))</f>
        <v/>
      </c>
      <c r="AE47" s="5">
        <f>IF($A47="","",IF(AD47="-","-",IF($D47=0,0,AD47/$D47)))</f>
        <v/>
      </c>
      <c r="AF47" s="3">
        <f>IF($A47="","",IF($B47="","",IF(TODAY()&lt;$B47+420,"-",SUMPRODUCT(('Picked Students (raw)'!$B$2:$B$824=$A47)*('Picked Students (raw)'!$E$2:$E$824="Career Gap/ Non Working")*('Picked Students (raw)'!$C$2:$C$824&lt;&gt;"")*(('Picked Students (raw)'!$C$2:$C$824-$B47)&lt;420)))))</f>
        <v/>
      </c>
      <c r="AG47" s="5">
        <f>IF($A47="","",IF(AF47="-","-",IF($D47=0,0,AF47/$D47)))</f>
        <v/>
      </c>
      <c r="AH47" s="3">
        <f>IF($A47="","",IF($B47="","",IF(TODAY()&lt;$B47+450,"-",SUMPRODUCT(('Picked Students (raw)'!$B$2:$B$824=$A47)*('Picked Students (raw)'!$E$2:$E$824="Career Gap/ Non Working")*('Picked Students (raw)'!$C$2:$C$824&lt;&gt;"")*(('Picked Students (raw)'!$C$2:$C$824-$B47)&lt;450)))))</f>
        <v/>
      </c>
      <c r="AI47" s="5">
        <f>IF($A47="","",IF(AH47="-","-",IF($D47=0,0,AH47/$D47)))</f>
        <v/>
      </c>
      <c r="AJ47" s="3">
        <f>IF($A47="","",IF($B47="","",IF(TODAY()&lt;$B47+480,"-",SUMPRODUCT(('Picked Students (raw)'!$B$2:$B$824=$A47)*('Picked Students (raw)'!$E$2:$E$824="Career Gap/ Non Working")*('Picked Students (raw)'!$C$2:$C$824&lt;&gt;"")*(('Picked Students (raw)'!$C$2:$C$824-$B47)&lt;480)))))</f>
        <v/>
      </c>
      <c r="AK47" s="5">
        <f>IF($A47="","",IF(AJ47="-","-",IF($D47=0,0,AJ47/$D47)))</f>
        <v/>
      </c>
      <c r="AL47" s="3">
        <f>IF($A47="","",IF($B47="","",IF(TODAY()&lt;$B47+510,"-",SUMPRODUCT(('Picked Students (raw)'!$B$2:$B$824=$A47)*('Picked Students (raw)'!$E$2:$E$824="Career Gap/ Non Working")*('Picked Students (raw)'!$C$2:$C$824&lt;&gt;"")*(('Picked Students (raw)'!$C$2:$C$824-$B47)&lt;510)))))</f>
        <v/>
      </c>
      <c r="AM47" s="5">
        <f>IF($A47="","",IF(AL47="-","-",IF($D47=0,0,AL47/$D47)))</f>
        <v/>
      </c>
      <c r="AN47" s="3">
        <f>IF($A47="","",IF($B47="","",IF(TODAY()&lt;$B47+540,"-",SUMPRODUCT(('Picked Students (raw)'!$B$2:$B$824=$A47)*('Picked Students (raw)'!$E$2:$E$824="Career Gap/ Non Working")*('Picked Students (raw)'!$C$2:$C$824&lt;&gt;"")*(('Picked Students (raw)'!$C$2:$C$824-$B47)&lt;540)))))</f>
        <v/>
      </c>
      <c r="AO47" s="5">
        <f>IF($A47="","",IF(AN47="-","-",IF($D47=0,0,AN47/$D47)))</f>
        <v/>
      </c>
      <c r="AP47" s="3">
        <f>IF($A47="","",IF(AN47="-","-",$E47-AN47))</f>
        <v/>
      </c>
    </row>
    <row r="48">
      <c r="A48" s="3" t="n"/>
      <c r="B48" s="4">
        <f>IF($A48="","",IFERROR(INDEX('Batch Enrollment (Metabase)'!$D$2:$D$47,MATCH($A48,'Batch Enrollment (Metabase)'!$A$2:$A$47,0)),""))</f>
        <v/>
      </c>
      <c r="C48" s="3">
        <f>IF($A48="","",IFERROR(INDEX('Batch Enrollment (Metabase)'!$E$2:$E$47,MATCH($A48,'Batch Enrollment (Metabase)'!$A$2:$A$47,0)),""))</f>
        <v/>
      </c>
      <c r="D48" s="3">
        <f>IF($A48="","",IFERROR(INDEX('Batch Enrollment (Metabase)'!$F$2:$F$47,MATCH($A48,'Batch Enrollment (Metabase)'!$A$2:$A$47,0)),""))</f>
        <v/>
      </c>
      <c r="E48" s="3">
        <f>IF($A48="","",COUNTIFS('Picked Students (raw)'!$B$2:$B$824,$A48,'Picked Students (raw)'!$E$2:$E$824,"Career Gap/ Non Working"))</f>
        <v/>
      </c>
      <c r="F48" s="3">
        <f>IF($A48="","",IF($B48="","",IF(TODAY()&lt;$B48+30,"-",SUMPRODUCT(('Picked Students (raw)'!$B$2:$B$824=$A48)*('Picked Students (raw)'!$E$2:$E$824="Career Gap/ Non Working")*('Picked Students (raw)'!$C$2:$C$824&lt;&gt;"")*(('Picked Students (raw)'!$C$2:$C$824-$B48)&lt;30)))))</f>
        <v/>
      </c>
      <c r="G48" s="5">
        <f>IF($A48="","",IF(F48="-","-",IF($D48=0,0,F48/$D48)))</f>
        <v/>
      </c>
      <c r="H48" s="3">
        <f>IF($A48="","",IF($B48="","",IF(TODAY()&lt;$B48+60,"-",SUMPRODUCT(('Picked Students (raw)'!$B$2:$B$824=$A48)*('Picked Students (raw)'!$E$2:$E$824="Career Gap/ Non Working")*('Picked Students (raw)'!$C$2:$C$824&lt;&gt;"")*(('Picked Students (raw)'!$C$2:$C$824-$B48)&lt;60)))))</f>
        <v/>
      </c>
      <c r="I48" s="5">
        <f>IF($A48="","",IF(H48="-","-",IF($D48=0,0,H48/$D48)))</f>
        <v/>
      </c>
      <c r="J48" s="3">
        <f>IF($A48="","",IF($B48="","",IF(TODAY()&lt;$B48+90,"-",SUMPRODUCT(('Picked Students (raw)'!$B$2:$B$824=$A48)*('Picked Students (raw)'!$E$2:$E$824="Career Gap/ Non Working")*('Picked Students (raw)'!$C$2:$C$824&lt;&gt;"")*(('Picked Students (raw)'!$C$2:$C$824-$B48)&lt;90)))))</f>
        <v/>
      </c>
      <c r="K48" s="5">
        <f>IF($A48="","",IF(J48="-","-",IF($D48=0,0,J48/$D48)))</f>
        <v/>
      </c>
      <c r="L48" s="3">
        <f>IF($A48="","",IF($B48="","",IF(TODAY()&lt;$B48+120,"-",SUMPRODUCT(('Picked Students (raw)'!$B$2:$B$824=$A48)*('Picked Students (raw)'!$E$2:$E$824="Career Gap/ Non Working")*('Picked Students (raw)'!$C$2:$C$824&lt;&gt;"")*(('Picked Students (raw)'!$C$2:$C$824-$B48)&lt;120)))))</f>
        <v/>
      </c>
      <c r="M48" s="5">
        <f>IF($A48="","",IF(L48="-","-",IF($D48=0,0,L48/$D48)))</f>
        <v/>
      </c>
      <c r="N48" s="3">
        <f>IF($A48="","",IF($B48="","",IF(TODAY()&lt;$B48+150,"-",SUMPRODUCT(('Picked Students (raw)'!$B$2:$B$824=$A48)*('Picked Students (raw)'!$E$2:$E$824="Career Gap/ Non Working")*('Picked Students (raw)'!$C$2:$C$824&lt;&gt;"")*(('Picked Students (raw)'!$C$2:$C$824-$B48)&lt;150)))))</f>
        <v/>
      </c>
      <c r="O48" s="5">
        <f>IF($A48="","",IF(N48="-","-",IF($D48=0,0,N48/$D48)))</f>
        <v/>
      </c>
      <c r="P48" s="3">
        <f>IF($A48="","",IF($B48="","",IF(TODAY()&lt;$B48+180,"-",SUMPRODUCT(('Picked Students (raw)'!$B$2:$B$824=$A48)*('Picked Students (raw)'!$E$2:$E$824="Career Gap/ Non Working")*('Picked Students (raw)'!$C$2:$C$824&lt;&gt;"")*(('Picked Students (raw)'!$C$2:$C$824-$B48)&lt;180)))))</f>
        <v/>
      </c>
      <c r="Q48" s="5">
        <f>IF($A48="","",IF(P48="-","-",IF($D48=0,0,P48/$D48)))</f>
        <v/>
      </c>
      <c r="R48" s="3">
        <f>IF($A48="","",IF($B48="","",IF(TODAY()&lt;$B48+210,"-",SUMPRODUCT(('Picked Students (raw)'!$B$2:$B$824=$A48)*('Picked Students (raw)'!$E$2:$E$824="Career Gap/ Non Working")*('Picked Students (raw)'!$C$2:$C$824&lt;&gt;"")*(('Picked Students (raw)'!$C$2:$C$824-$B48)&lt;210)))))</f>
        <v/>
      </c>
      <c r="S48" s="5">
        <f>IF($A48="","",IF(R48="-","-",IF($D48=0,0,R48/$D48)))</f>
        <v/>
      </c>
      <c r="T48" s="3">
        <f>IF($A48="","",IF($B48="","",IF(TODAY()&lt;$B48+240,"-",SUMPRODUCT(('Picked Students (raw)'!$B$2:$B$824=$A48)*('Picked Students (raw)'!$E$2:$E$824="Career Gap/ Non Working")*('Picked Students (raw)'!$C$2:$C$824&lt;&gt;"")*(('Picked Students (raw)'!$C$2:$C$824-$B48)&lt;240)))))</f>
        <v/>
      </c>
      <c r="U48" s="5">
        <f>IF($A48="","",IF(T48="-","-",IF($D48=0,0,T48/$D48)))</f>
        <v/>
      </c>
      <c r="V48" s="3">
        <f>IF($A48="","",IF($B48="","",IF(TODAY()&lt;$B48+270,"-",SUMPRODUCT(('Picked Students (raw)'!$B$2:$B$824=$A48)*('Picked Students (raw)'!$E$2:$E$824="Career Gap/ Non Working")*('Picked Students (raw)'!$C$2:$C$824&lt;&gt;"")*(('Picked Students (raw)'!$C$2:$C$824-$B48)&lt;270)))))</f>
        <v/>
      </c>
      <c r="W48" s="5">
        <f>IF($A48="","",IF(V48="-","-",IF($D48=0,0,V48/$D48)))</f>
        <v/>
      </c>
      <c r="X48" s="3">
        <f>IF($A48="","",IF($B48="","",IF(TODAY()&lt;$B48+300,"-",SUMPRODUCT(('Picked Students (raw)'!$B$2:$B$824=$A48)*('Picked Students (raw)'!$E$2:$E$824="Career Gap/ Non Working")*('Picked Students (raw)'!$C$2:$C$824&lt;&gt;"")*(('Picked Students (raw)'!$C$2:$C$824-$B48)&lt;300)))))</f>
        <v/>
      </c>
      <c r="Y48" s="5">
        <f>IF($A48="","",IF(X48="-","-",IF($D48=0,0,X48/$D48)))</f>
        <v/>
      </c>
      <c r="Z48" s="3">
        <f>IF($A48="","",IF($B48="","",IF(TODAY()&lt;$B48+330,"-",SUMPRODUCT(('Picked Students (raw)'!$B$2:$B$824=$A48)*('Picked Students (raw)'!$E$2:$E$824="Career Gap/ Non Working")*('Picked Students (raw)'!$C$2:$C$824&lt;&gt;"")*(('Picked Students (raw)'!$C$2:$C$824-$B48)&lt;330)))))</f>
        <v/>
      </c>
      <c r="AA48" s="5">
        <f>IF($A48="","",IF(Z48="-","-",IF($D48=0,0,Z48/$D48)))</f>
        <v/>
      </c>
      <c r="AB48" s="3">
        <f>IF($A48="","",IF($B48="","",IF(TODAY()&lt;$B48+360,"-",SUMPRODUCT(('Picked Students (raw)'!$B$2:$B$824=$A48)*('Picked Students (raw)'!$E$2:$E$824="Career Gap/ Non Working")*('Picked Students (raw)'!$C$2:$C$824&lt;&gt;"")*(('Picked Students (raw)'!$C$2:$C$824-$B48)&lt;360)))))</f>
        <v/>
      </c>
      <c r="AC48" s="5">
        <f>IF($A48="","",IF(AB48="-","-",IF($D48=0,0,AB48/$D48)))</f>
        <v/>
      </c>
      <c r="AD48" s="3">
        <f>IF($A48="","",IF($B48="","",IF(TODAY()&lt;$B48+390,"-",SUMPRODUCT(('Picked Students (raw)'!$B$2:$B$824=$A48)*('Picked Students (raw)'!$E$2:$E$824="Career Gap/ Non Working")*('Picked Students (raw)'!$C$2:$C$824&lt;&gt;"")*(('Picked Students (raw)'!$C$2:$C$824-$B48)&lt;390)))))</f>
        <v/>
      </c>
      <c r="AE48" s="5">
        <f>IF($A48="","",IF(AD48="-","-",IF($D48=0,0,AD48/$D48)))</f>
        <v/>
      </c>
      <c r="AF48" s="3">
        <f>IF($A48="","",IF($B48="","",IF(TODAY()&lt;$B48+420,"-",SUMPRODUCT(('Picked Students (raw)'!$B$2:$B$824=$A48)*('Picked Students (raw)'!$E$2:$E$824="Career Gap/ Non Working")*('Picked Students (raw)'!$C$2:$C$824&lt;&gt;"")*(('Picked Students (raw)'!$C$2:$C$824-$B48)&lt;420)))))</f>
        <v/>
      </c>
      <c r="AG48" s="5">
        <f>IF($A48="","",IF(AF48="-","-",IF($D48=0,0,AF48/$D48)))</f>
        <v/>
      </c>
      <c r="AH48" s="3">
        <f>IF($A48="","",IF($B48="","",IF(TODAY()&lt;$B48+450,"-",SUMPRODUCT(('Picked Students (raw)'!$B$2:$B$824=$A48)*('Picked Students (raw)'!$E$2:$E$824="Career Gap/ Non Working")*('Picked Students (raw)'!$C$2:$C$824&lt;&gt;"")*(('Picked Students (raw)'!$C$2:$C$824-$B48)&lt;450)))))</f>
        <v/>
      </c>
      <c r="AI48" s="5">
        <f>IF($A48="","",IF(AH48="-","-",IF($D48=0,0,AH48/$D48)))</f>
        <v/>
      </c>
      <c r="AJ48" s="3">
        <f>IF($A48="","",IF($B48="","",IF(TODAY()&lt;$B48+480,"-",SUMPRODUCT(('Picked Students (raw)'!$B$2:$B$824=$A48)*('Picked Students (raw)'!$E$2:$E$824="Career Gap/ Non Working")*('Picked Students (raw)'!$C$2:$C$824&lt;&gt;"")*(('Picked Students (raw)'!$C$2:$C$824-$B48)&lt;480)))))</f>
        <v/>
      </c>
      <c r="AK48" s="5">
        <f>IF($A48="","",IF(AJ48="-","-",IF($D48=0,0,AJ48/$D48)))</f>
        <v/>
      </c>
      <c r="AL48" s="3">
        <f>IF($A48="","",IF($B48="","",IF(TODAY()&lt;$B48+510,"-",SUMPRODUCT(('Picked Students (raw)'!$B$2:$B$824=$A48)*('Picked Students (raw)'!$E$2:$E$824="Career Gap/ Non Working")*('Picked Students (raw)'!$C$2:$C$824&lt;&gt;"")*(('Picked Students (raw)'!$C$2:$C$824-$B48)&lt;510)))))</f>
        <v/>
      </c>
      <c r="AM48" s="5">
        <f>IF($A48="","",IF(AL48="-","-",IF($D48=0,0,AL48/$D48)))</f>
        <v/>
      </c>
      <c r="AN48" s="3">
        <f>IF($A48="","",IF($B48="","",IF(TODAY()&lt;$B48+540,"-",SUMPRODUCT(('Picked Students (raw)'!$B$2:$B$824=$A48)*('Picked Students (raw)'!$E$2:$E$824="Career Gap/ Non Working")*('Picked Students (raw)'!$C$2:$C$824&lt;&gt;"")*(('Picked Students (raw)'!$C$2:$C$824-$B48)&lt;540)))))</f>
        <v/>
      </c>
      <c r="AO48" s="5">
        <f>IF($A48="","",IF(AN48="-","-",IF($D48=0,0,AN48/$D48)))</f>
        <v/>
      </c>
      <c r="AP48" s="3">
        <f>IF($A48="","",IF(AN48="-","-",$E48-AN48))</f>
        <v/>
      </c>
    </row>
    <row r="49">
      <c r="A49" s="3" t="n"/>
      <c r="B49" s="4">
        <f>IF($A49="","",IFERROR(INDEX('Batch Enrollment (Metabase)'!$D$2:$D$47,MATCH($A49,'Batch Enrollment (Metabase)'!$A$2:$A$47,0)),""))</f>
        <v/>
      </c>
      <c r="C49" s="3">
        <f>IF($A49="","",IFERROR(INDEX('Batch Enrollment (Metabase)'!$E$2:$E$47,MATCH($A49,'Batch Enrollment (Metabase)'!$A$2:$A$47,0)),""))</f>
        <v/>
      </c>
      <c r="D49" s="3">
        <f>IF($A49="","",IFERROR(INDEX('Batch Enrollment (Metabase)'!$F$2:$F$47,MATCH($A49,'Batch Enrollment (Metabase)'!$A$2:$A$47,0)),""))</f>
        <v/>
      </c>
      <c r="E49" s="3">
        <f>IF($A49="","",COUNTIFS('Picked Students (raw)'!$B$2:$B$824,$A49,'Picked Students (raw)'!$E$2:$E$824,"Career Gap/ Non Working"))</f>
        <v/>
      </c>
      <c r="F49" s="3">
        <f>IF($A49="","",IF($B49="","",IF(TODAY()&lt;$B49+30,"-",SUMPRODUCT(('Picked Students (raw)'!$B$2:$B$824=$A49)*('Picked Students (raw)'!$E$2:$E$824="Career Gap/ Non Working")*('Picked Students (raw)'!$C$2:$C$824&lt;&gt;"")*(('Picked Students (raw)'!$C$2:$C$824-$B49)&lt;30)))))</f>
        <v/>
      </c>
      <c r="G49" s="5">
        <f>IF($A49="","",IF(F49="-","-",IF($D49=0,0,F49/$D49)))</f>
        <v/>
      </c>
      <c r="H49" s="3">
        <f>IF($A49="","",IF($B49="","",IF(TODAY()&lt;$B49+60,"-",SUMPRODUCT(('Picked Students (raw)'!$B$2:$B$824=$A49)*('Picked Students (raw)'!$E$2:$E$824="Career Gap/ Non Working")*('Picked Students (raw)'!$C$2:$C$824&lt;&gt;"")*(('Picked Students (raw)'!$C$2:$C$824-$B49)&lt;60)))))</f>
        <v/>
      </c>
      <c r="I49" s="5">
        <f>IF($A49="","",IF(H49="-","-",IF($D49=0,0,H49/$D49)))</f>
        <v/>
      </c>
      <c r="J49" s="3">
        <f>IF($A49="","",IF($B49="","",IF(TODAY()&lt;$B49+90,"-",SUMPRODUCT(('Picked Students (raw)'!$B$2:$B$824=$A49)*('Picked Students (raw)'!$E$2:$E$824="Career Gap/ Non Working")*('Picked Students (raw)'!$C$2:$C$824&lt;&gt;"")*(('Picked Students (raw)'!$C$2:$C$824-$B49)&lt;90)))))</f>
        <v/>
      </c>
      <c r="K49" s="5">
        <f>IF($A49="","",IF(J49="-","-",IF($D49=0,0,J49/$D49)))</f>
        <v/>
      </c>
      <c r="L49" s="3">
        <f>IF($A49="","",IF($B49="","",IF(TODAY()&lt;$B49+120,"-",SUMPRODUCT(('Picked Students (raw)'!$B$2:$B$824=$A49)*('Picked Students (raw)'!$E$2:$E$824="Career Gap/ Non Working")*('Picked Students (raw)'!$C$2:$C$824&lt;&gt;"")*(('Picked Students (raw)'!$C$2:$C$824-$B49)&lt;120)))))</f>
        <v/>
      </c>
      <c r="M49" s="5">
        <f>IF($A49="","",IF(L49="-","-",IF($D49=0,0,L49/$D49)))</f>
        <v/>
      </c>
      <c r="N49" s="3">
        <f>IF($A49="","",IF($B49="","",IF(TODAY()&lt;$B49+150,"-",SUMPRODUCT(('Picked Students (raw)'!$B$2:$B$824=$A49)*('Picked Students (raw)'!$E$2:$E$824="Career Gap/ Non Working")*('Picked Students (raw)'!$C$2:$C$824&lt;&gt;"")*(('Picked Students (raw)'!$C$2:$C$824-$B49)&lt;150)))))</f>
        <v/>
      </c>
      <c r="O49" s="5">
        <f>IF($A49="","",IF(N49="-","-",IF($D49=0,0,N49/$D49)))</f>
        <v/>
      </c>
      <c r="P49" s="3">
        <f>IF($A49="","",IF($B49="","",IF(TODAY()&lt;$B49+180,"-",SUMPRODUCT(('Picked Students (raw)'!$B$2:$B$824=$A49)*('Picked Students (raw)'!$E$2:$E$824="Career Gap/ Non Working")*('Picked Students (raw)'!$C$2:$C$824&lt;&gt;"")*(('Picked Students (raw)'!$C$2:$C$824-$B49)&lt;180)))))</f>
        <v/>
      </c>
      <c r="Q49" s="5">
        <f>IF($A49="","",IF(P49="-","-",IF($D49=0,0,P49/$D49)))</f>
        <v/>
      </c>
      <c r="R49" s="3">
        <f>IF($A49="","",IF($B49="","",IF(TODAY()&lt;$B49+210,"-",SUMPRODUCT(('Picked Students (raw)'!$B$2:$B$824=$A49)*('Picked Students (raw)'!$E$2:$E$824="Career Gap/ Non Working")*('Picked Students (raw)'!$C$2:$C$824&lt;&gt;"")*(('Picked Students (raw)'!$C$2:$C$824-$B49)&lt;210)))))</f>
        <v/>
      </c>
      <c r="S49" s="5">
        <f>IF($A49="","",IF(R49="-","-",IF($D49=0,0,R49/$D49)))</f>
        <v/>
      </c>
      <c r="T49" s="3">
        <f>IF($A49="","",IF($B49="","",IF(TODAY()&lt;$B49+240,"-",SUMPRODUCT(('Picked Students (raw)'!$B$2:$B$824=$A49)*('Picked Students (raw)'!$E$2:$E$824="Career Gap/ Non Working")*('Picked Students (raw)'!$C$2:$C$824&lt;&gt;"")*(('Picked Students (raw)'!$C$2:$C$824-$B49)&lt;240)))))</f>
        <v/>
      </c>
      <c r="U49" s="5">
        <f>IF($A49="","",IF(T49="-","-",IF($D49=0,0,T49/$D49)))</f>
        <v/>
      </c>
      <c r="V49" s="3">
        <f>IF($A49="","",IF($B49="","",IF(TODAY()&lt;$B49+270,"-",SUMPRODUCT(('Picked Students (raw)'!$B$2:$B$824=$A49)*('Picked Students (raw)'!$E$2:$E$824="Career Gap/ Non Working")*('Picked Students (raw)'!$C$2:$C$824&lt;&gt;"")*(('Picked Students (raw)'!$C$2:$C$824-$B49)&lt;270)))))</f>
        <v/>
      </c>
      <c r="W49" s="5">
        <f>IF($A49="","",IF(V49="-","-",IF($D49=0,0,V49/$D49)))</f>
        <v/>
      </c>
      <c r="X49" s="3">
        <f>IF($A49="","",IF($B49="","",IF(TODAY()&lt;$B49+300,"-",SUMPRODUCT(('Picked Students (raw)'!$B$2:$B$824=$A49)*('Picked Students (raw)'!$E$2:$E$824="Career Gap/ Non Working")*('Picked Students (raw)'!$C$2:$C$824&lt;&gt;"")*(('Picked Students (raw)'!$C$2:$C$824-$B49)&lt;300)))))</f>
        <v/>
      </c>
      <c r="Y49" s="5">
        <f>IF($A49="","",IF(X49="-","-",IF($D49=0,0,X49/$D49)))</f>
        <v/>
      </c>
      <c r="Z49" s="3">
        <f>IF($A49="","",IF($B49="","",IF(TODAY()&lt;$B49+330,"-",SUMPRODUCT(('Picked Students (raw)'!$B$2:$B$824=$A49)*('Picked Students (raw)'!$E$2:$E$824="Career Gap/ Non Working")*('Picked Students (raw)'!$C$2:$C$824&lt;&gt;"")*(('Picked Students (raw)'!$C$2:$C$824-$B49)&lt;330)))))</f>
        <v/>
      </c>
      <c r="AA49" s="5">
        <f>IF($A49="","",IF(Z49="-","-",IF($D49=0,0,Z49/$D49)))</f>
        <v/>
      </c>
      <c r="AB49" s="3">
        <f>IF($A49="","",IF($B49="","",IF(TODAY()&lt;$B49+360,"-",SUMPRODUCT(('Picked Students (raw)'!$B$2:$B$824=$A49)*('Picked Students (raw)'!$E$2:$E$824="Career Gap/ Non Working")*('Picked Students (raw)'!$C$2:$C$824&lt;&gt;"")*(('Picked Students (raw)'!$C$2:$C$824-$B49)&lt;360)))))</f>
        <v/>
      </c>
      <c r="AC49" s="5">
        <f>IF($A49="","",IF(AB49="-","-",IF($D49=0,0,AB49/$D49)))</f>
        <v/>
      </c>
      <c r="AD49" s="3">
        <f>IF($A49="","",IF($B49="","",IF(TODAY()&lt;$B49+390,"-",SUMPRODUCT(('Picked Students (raw)'!$B$2:$B$824=$A49)*('Picked Students (raw)'!$E$2:$E$824="Career Gap/ Non Working")*('Picked Students (raw)'!$C$2:$C$824&lt;&gt;"")*(('Picked Students (raw)'!$C$2:$C$824-$B49)&lt;390)))))</f>
        <v/>
      </c>
      <c r="AE49" s="5">
        <f>IF($A49="","",IF(AD49="-","-",IF($D49=0,0,AD49/$D49)))</f>
        <v/>
      </c>
      <c r="AF49" s="3">
        <f>IF($A49="","",IF($B49="","",IF(TODAY()&lt;$B49+420,"-",SUMPRODUCT(('Picked Students (raw)'!$B$2:$B$824=$A49)*('Picked Students (raw)'!$E$2:$E$824="Career Gap/ Non Working")*('Picked Students (raw)'!$C$2:$C$824&lt;&gt;"")*(('Picked Students (raw)'!$C$2:$C$824-$B49)&lt;420)))))</f>
        <v/>
      </c>
      <c r="AG49" s="5">
        <f>IF($A49="","",IF(AF49="-","-",IF($D49=0,0,AF49/$D49)))</f>
        <v/>
      </c>
      <c r="AH49" s="3">
        <f>IF($A49="","",IF($B49="","",IF(TODAY()&lt;$B49+450,"-",SUMPRODUCT(('Picked Students (raw)'!$B$2:$B$824=$A49)*('Picked Students (raw)'!$E$2:$E$824="Career Gap/ Non Working")*('Picked Students (raw)'!$C$2:$C$824&lt;&gt;"")*(('Picked Students (raw)'!$C$2:$C$824-$B49)&lt;450)))))</f>
        <v/>
      </c>
      <c r="AI49" s="5">
        <f>IF($A49="","",IF(AH49="-","-",IF($D49=0,0,AH49/$D49)))</f>
        <v/>
      </c>
      <c r="AJ49" s="3">
        <f>IF($A49="","",IF($B49="","",IF(TODAY()&lt;$B49+480,"-",SUMPRODUCT(('Picked Students (raw)'!$B$2:$B$824=$A49)*('Picked Students (raw)'!$E$2:$E$824="Career Gap/ Non Working")*('Picked Students (raw)'!$C$2:$C$824&lt;&gt;"")*(('Picked Students (raw)'!$C$2:$C$824-$B49)&lt;480)))))</f>
        <v/>
      </c>
      <c r="AK49" s="5">
        <f>IF($A49="","",IF(AJ49="-","-",IF($D49=0,0,AJ49/$D49)))</f>
        <v/>
      </c>
      <c r="AL49" s="3">
        <f>IF($A49="","",IF($B49="","",IF(TODAY()&lt;$B49+510,"-",SUMPRODUCT(('Picked Students (raw)'!$B$2:$B$824=$A49)*('Picked Students (raw)'!$E$2:$E$824="Career Gap/ Non Working")*('Picked Students (raw)'!$C$2:$C$824&lt;&gt;"")*(('Picked Students (raw)'!$C$2:$C$824-$B49)&lt;510)))))</f>
        <v/>
      </c>
      <c r="AM49" s="5">
        <f>IF($A49="","",IF(AL49="-","-",IF($D49=0,0,AL49/$D49)))</f>
        <v/>
      </c>
      <c r="AN49" s="3">
        <f>IF($A49="","",IF($B49="","",IF(TODAY()&lt;$B49+540,"-",SUMPRODUCT(('Picked Students (raw)'!$B$2:$B$824=$A49)*('Picked Students (raw)'!$E$2:$E$824="Career Gap/ Non Working")*('Picked Students (raw)'!$C$2:$C$824&lt;&gt;"")*(('Picked Students (raw)'!$C$2:$C$824-$B49)&lt;540)))))</f>
        <v/>
      </c>
      <c r="AO49" s="5">
        <f>IF($A49="","",IF(AN49="-","-",IF($D49=0,0,AN49/$D49)))</f>
        <v/>
      </c>
      <c r="AP49" s="3">
        <f>IF($A49="","",IF(AN49="-","-",$E49-AN49))</f>
        <v/>
      </c>
    </row>
    <row r="50">
      <c r="A50" s="3" t="n"/>
      <c r="B50" s="4">
        <f>IF($A50="","",IFERROR(INDEX('Batch Enrollment (Metabase)'!$D$2:$D$47,MATCH($A50,'Batch Enrollment (Metabase)'!$A$2:$A$47,0)),""))</f>
        <v/>
      </c>
      <c r="C50" s="3">
        <f>IF($A50="","",IFERROR(INDEX('Batch Enrollment (Metabase)'!$E$2:$E$47,MATCH($A50,'Batch Enrollment (Metabase)'!$A$2:$A$47,0)),""))</f>
        <v/>
      </c>
      <c r="D50" s="3">
        <f>IF($A50="","",IFERROR(INDEX('Batch Enrollment (Metabase)'!$F$2:$F$47,MATCH($A50,'Batch Enrollment (Metabase)'!$A$2:$A$47,0)),""))</f>
        <v/>
      </c>
      <c r="E50" s="3">
        <f>IF($A50="","",COUNTIFS('Picked Students (raw)'!$B$2:$B$824,$A50,'Picked Students (raw)'!$E$2:$E$824,"Career Gap/ Non Working"))</f>
        <v/>
      </c>
      <c r="F50" s="3">
        <f>IF($A50="","",IF($B50="","",IF(TODAY()&lt;$B50+30,"-",SUMPRODUCT(('Picked Students (raw)'!$B$2:$B$824=$A50)*('Picked Students (raw)'!$E$2:$E$824="Career Gap/ Non Working")*('Picked Students (raw)'!$C$2:$C$824&lt;&gt;"")*(('Picked Students (raw)'!$C$2:$C$824-$B50)&lt;30)))))</f>
        <v/>
      </c>
      <c r="G50" s="5">
        <f>IF($A50="","",IF(F50="-","-",IF($D50=0,0,F50/$D50)))</f>
        <v/>
      </c>
      <c r="H50" s="3">
        <f>IF($A50="","",IF($B50="","",IF(TODAY()&lt;$B50+60,"-",SUMPRODUCT(('Picked Students (raw)'!$B$2:$B$824=$A50)*('Picked Students (raw)'!$E$2:$E$824="Career Gap/ Non Working")*('Picked Students (raw)'!$C$2:$C$824&lt;&gt;"")*(('Picked Students (raw)'!$C$2:$C$824-$B50)&lt;60)))))</f>
        <v/>
      </c>
      <c r="I50" s="5">
        <f>IF($A50="","",IF(H50="-","-",IF($D50=0,0,H50/$D50)))</f>
        <v/>
      </c>
      <c r="J50" s="3">
        <f>IF($A50="","",IF($B50="","",IF(TODAY()&lt;$B50+90,"-",SUMPRODUCT(('Picked Students (raw)'!$B$2:$B$824=$A50)*('Picked Students (raw)'!$E$2:$E$824="Career Gap/ Non Working")*('Picked Students (raw)'!$C$2:$C$824&lt;&gt;"")*(('Picked Students (raw)'!$C$2:$C$824-$B50)&lt;90)))))</f>
        <v/>
      </c>
      <c r="K50" s="5">
        <f>IF($A50="","",IF(J50="-","-",IF($D50=0,0,J50/$D50)))</f>
        <v/>
      </c>
      <c r="L50" s="3">
        <f>IF($A50="","",IF($B50="","",IF(TODAY()&lt;$B50+120,"-",SUMPRODUCT(('Picked Students (raw)'!$B$2:$B$824=$A50)*('Picked Students (raw)'!$E$2:$E$824="Career Gap/ Non Working")*('Picked Students (raw)'!$C$2:$C$824&lt;&gt;"")*(('Picked Students (raw)'!$C$2:$C$824-$B50)&lt;120)))))</f>
        <v/>
      </c>
      <c r="M50" s="5">
        <f>IF($A50="","",IF(L50="-","-",IF($D50=0,0,L50/$D50)))</f>
        <v/>
      </c>
      <c r="N50" s="3">
        <f>IF($A50="","",IF($B50="","",IF(TODAY()&lt;$B50+150,"-",SUMPRODUCT(('Picked Students (raw)'!$B$2:$B$824=$A50)*('Picked Students (raw)'!$E$2:$E$824="Career Gap/ Non Working")*('Picked Students (raw)'!$C$2:$C$824&lt;&gt;"")*(('Picked Students (raw)'!$C$2:$C$824-$B50)&lt;150)))))</f>
        <v/>
      </c>
      <c r="O50" s="5">
        <f>IF($A50="","",IF(N50="-","-",IF($D50=0,0,N50/$D50)))</f>
        <v/>
      </c>
      <c r="P50" s="3">
        <f>IF($A50="","",IF($B50="","",IF(TODAY()&lt;$B50+180,"-",SUMPRODUCT(('Picked Students (raw)'!$B$2:$B$824=$A50)*('Picked Students (raw)'!$E$2:$E$824="Career Gap/ Non Working")*('Picked Students (raw)'!$C$2:$C$824&lt;&gt;"")*(('Picked Students (raw)'!$C$2:$C$824-$B50)&lt;180)))))</f>
        <v/>
      </c>
      <c r="Q50" s="5">
        <f>IF($A50="","",IF(P50="-","-",IF($D50=0,0,P50/$D50)))</f>
        <v/>
      </c>
      <c r="R50" s="3">
        <f>IF($A50="","",IF($B50="","",IF(TODAY()&lt;$B50+210,"-",SUMPRODUCT(('Picked Students (raw)'!$B$2:$B$824=$A50)*('Picked Students (raw)'!$E$2:$E$824="Career Gap/ Non Working")*('Picked Students (raw)'!$C$2:$C$824&lt;&gt;"")*(('Picked Students (raw)'!$C$2:$C$824-$B50)&lt;210)))))</f>
        <v/>
      </c>
      <c r="S50" s="5">
        <f>IF($A50="","",IF(R50="-","-",IF($D50=0,0,R50/$D50)))</f>
        <v/>
      </c>
      <c r="T50" s="3">
        <f>IF($A50="","",IF($B50="","",IF(TODAY()&lt;$B50+240,"-",SUMPRODUCT(('Picked Students (raw)'!$B$2:$B$824=$A50)*('Picked Students (raw)'!$E$2:$E$824="Career Gap/ Non Working")*('Picked Students (raw)'!$C$2:$C$824&lt;&gt;"")*(('Picked Students (raw)'!$C$2:$C$824-$B50)&lt;240)))))</f>
        <v/>
      </c>
      <c r="U50" s="5">
        <f>IF($A50="","",IF(T50="-","-",IF($D50=0,0,T50/$D50)))</f>
        <v/>
      </c>
      <c r="V50" s="3">
        <f>IF($A50="","",IF($B50="","",IF(TODAY()&lt;$B50+270,"-",SUMPRODUCT(('Picked Students (raw)'!$B$2:$B$824=$A50)*('Picked Students (raw)'!$E$2:$E$824="Career Gap/ Non Working")*('Picked Students (raw)'!$C$2:$C$824&lt;&gt;"")*(('Picked Students (raw)'!$C$2:$C$824-$B50)&lt;270)))))</f>
        <v/>
      </c>
      <c r="W50" s="5">
        <f>IF($A50="","",IF(V50="-","-",IF($D50=0,0,V50/$D50)))</f>
        <v/>
      </c>
      <c r="X50" s="3">
        <f>IF($A50="","",IF($B50="","",IF(TODAY()&lt;$B50+300,"-",SUMPRODUCT(('Picked Students (raw)'!$B$2:$B$824=$A50)*('Picked Students (raw)'!$E$2:$E$824="Career Gap/ Non Working")*('Picked Students (raw)'!$C$2:$C$824&lt;&gt;"")*(('Picked Students (raw)'!$C$2:$C$824-$B50)&lt;300)))))</f>
        <v/>
      </c>
      <c r="Y50" s="5">
        <f>IF($A50="","",IF(X50="-","-",IF($D50=0,0,X50/$D50)))</f>
        <v/>
      </c>
      <c r="Z50" s="3">
        <f>IF($A50="","",IF($B50="","",IF(TODAY()&lt;$B50+330,"-",SUMPRODUCT(('Picked Students (raw)'!$B$2:$B$824=$A50)*('Picked Students (raw)'!$E$2:$E$824="Career Gap/ Non Working")*('Picked Students (raw)'!$C$2:$C$824&lt;&gt;"")*(('Picked Students (raw)'!$C$2:$C$824-$B50)&lt;330)))))</f>
        <v/>
      </c>
      <c r="AA50" s="5">
        <f>IF($A50="","",IF(Z50="-","-",IF($D50=0,0,Z50/$D50)))</f>
        <v/>
      </c>
      <c r="AB50" s="3">
        <f>IF($A50="","",IF($B50="","",IF(TODAY()&lt;$B50+360,"-",SUMPRODUCT(('Picked Students (raw)'!$B$2:$B$824=$A50)*('Picked Students (raw)'!$E$2:$E$824="Career Gap/ Non Working")*('Picked Students (raw)'!$C$2:$C$824&lt;&gt;"")*(('Picked Students (raw)'!$C$2:$C$824-$B50)&lt;360)))))</f>
        <v/>
      </c>
      <c r="AC50" s="5">
        <f>IF($A50="","",IF(AB50="-","-",IF($D50=0,0,AB50/$D50)))</f>
        <v/>
      </c>
      <c r="AD50" s="3">
        <f>IF($A50="","",IF($B50="","",IF(TODAY()&lt;$B50+390,"-",SUMPRODUCT(('Picked Students (raw)'!$B$2:$B$824=$A50)*('Picked Students (raw)'!$E$2:$E$824="Career Gap/ Non Working")*('Picked Students (raw)'!$C$2:$C$824&lt;&gt;"")*(('Picked Students (raw)'!$C$2:$C$824-$B50)&lt;390)))))</f>
        <v/>
      </c>
      <c r="AE50" s="5">
        <f>IF($A50="","",IF(AD50="-","-",IF($D50=0,0,AD50/$D50)))</f>
        <v/>
      </c>
      <c r="AF50" s="3">
        <f>IF($A50="","",IF($B50="","",IF(TODAY()&lt;$B50+420,"-",SUMPRODUCT(('Picked Students (raw)'!$B$2:$B$824=$A50)*('Picked Students (raw)'!$E$2:$E$824="Career Gap/ Non Working")*('Picked Students (raw)'!$C$2:$C$824&lt;&gt;"")*(('Picked Students (raw)'!$C$2:$C$824-$B50)&lt;420)))))</f>
        <v/>
      </c>
      <c r="AG50" s="5">
        <f>IF($A50="","",IF(AF50="-","-",IF($D50=0,0,AF50/$D50)))</f>
        <v/>
      </c>
      <c r="AH50" s="3">
        <f>IF($A50="","",IF($B50="","",IF(TODAY()&lt;$B50+450,"-",SUMPRODUCT(('Picked Students (raw)'!$B$2:$B$824=$A50)*('Picked Students (raw)'!$E$2:$E$824="Career Gap/ Non Working")*('Picked Students (raw)'!$C$2:$C$824&lt;&gt;"")*(('Picked Students (raw)'!$C$2:$C$824-$B50)&lt;450)))))</f>
        <v/>
      </c>
      <c r="AI50" s="5">
        <f>IF($A50="","",IF(AH50="-","-",IF($D50=0,0,AH50/$D50)))</f>
        <v/>
      </c>
      <c r="AJ50" s="3">
        <f>IF($A50="","",IF($B50="","",IF(TODAY()&lt;$B50+480,"-",SUMPRODUCT(('Picked Students (raw)'!$B$2:$B$824=$A50)*('Picked Students (raw)'!$E$2:$E$824="Career Gap/ Non Working")*('Picked Students (raw)'!$C$2:$C$824&lt;&gt;"")*(('Picked Students (raw)'!$C$2:$C$824-$B50)&lt;480)))))</f>
        <v/>
      </c>
      <c r="AK50" s="5">
        <f>IF($A50="","",IF(AJ50="-","-",IF($D50=0,0,AJ50/$D50)))</f>
        <v/>
      </c>
      <c r="AL50" s="3">
        <f>IF($A50="","",IF($B50="","",IF(TODAY()&lt;$B50+510,"-",SUMPRODUCT(('Picked Students (raw)'!$B$2:$B$824=$A50)*('Picked Students (raw)'!$E$2:$E$824="Career Gap/ Non Working")*('Picked Students (raw)'!$C$2:$C$824&lt;&gt;"")*(('Picked Students (raw)'!$C$2:$C$824-$B50)&lt;510)))))</f>
        <v/>
      </c>
      <c r="AM50" s="5">
        <f>IF($A50="","",IF(AL50="-","-",IF($D50=0,0,AL50/$D50)))</f>
        <v/>
      </c>
      <c r="AN50" s="3">
        <f>IF($A50="","",IF($B50="","",IF(TODAY()&lt;$B50+540,"-",SUMPRODUCT(('Picked Students (raw)'!$B$2:$B$824=$A50)*('Picked Students (raw)'!$E$2:$E$824="Career Gap/ Non Working")*('Picked Students (raw)'!$C$2:$C$824&lt;&gt;"")*(('Picked Students (raw)'!$C$2:$C$824-$B50)&lt;540)))))</f>
        <v/>
      </c>
      <c r="AO50" s="5">
        <f>IF($A50="","",IF(AN50="-","-",IF($D50=0,0,AN50/$D50)))</f>
        <v/>
      </c>
      <c r="AP50" s="3">
        <f>IF($A50="","",IF(AN50="-","-",$E50-AN50))</f>
        <v/>
      </c>
    </row>
    <row r="51">
      <c r="A51" s="3" t="n"/>
      <c r="B51" s="4">
        <f>IF($A51="","",IFERROR(INDEX('Batch Enrollment (Metabase)'!$D$2:$D$47,MATCH($A51,'Batch Enrollment (Metabase)'!$A$2:$A$47,0)),""))</f>
        <v/>
      </c>
      <c r="C51" s="3">
        <f>IF($A51="","",IFERROR(INDEX('Batch Enrollment (Metabase)'!$E$2:$E$47,MATCH($A51,'Batch Enrollment (Metabase)'!$A$2:$A$47,0)),""))</f>
        <v/>
      </c>
      <c r="D51" s="3">
        <f>IF($A51="","",IFERROR(INDEX('Batch Enrollment (Metabase)'!$F$2:$F$47,MATCH($A51,'Batch Enrollment (Metabase)'!$A$2:$A$47,0)),""))</f>
        <v/>
      </c>
      <c r="E51" s="3">
        <f>IF($A51="","",COUNTIFS('Picked Students (raw)'!$B$2:$B$824,$A51,'Picked Students (raw)'!$E$2:$E$824,"Career Gap/ Non Working"))</f>
        <v/>
      </c>
      <c r="F51" s="3">
        <f>IF($A51="","",IF($B51="","",IF(TODAY()&lt;$B51+30,"-",SUMPRODUCT(('Picked Students (raw)'!$B$2:$B$824=$A51)*('Picked Students (raw)'!$E$2:$E$824="Career Gap/ Non Working")*('Picked Students (raw)'!$C$2:$C$824&lt;&gt;"")*(('Picked Students (raw)'!$C$2:$C$824-$B51)&lt;30)))))</f>
        <v/>
      </c>
      <c r="G51" s="5">
        <f>IF($A51="","",IF(F51="-","-",IF($D51=0,0,F51/$D51)))</f>
        <v/>
      </c>
      <c r="H51" s="3">
        <f>IF($A51="","",IF($B51="","",IF(TODAY()&lt;$B51+60,"-",SUMPRODUCT(('Picked Students (raw)'!$B$2:$B$824=$A51)*('Picked Students (raw)'!$E$2:$E$824="Career Gap/ Non Working")*('Picked Students (raw)'!$C$2:$C$824&lt;&gt;"")*(('Picked Students (raw)'!$C$2:$C$824-$B51)&lt;60)))))</f>
        <v/>
      </c>
      <c r="I51" s="5">
        <f>IF($A51="","",IF(H51="-","-",IF($D51=0,0,H51/$D51)))</f>
        <v/>
      </c>
      <c r="J51" s="3">
        <f>IF($A51="","",IF($B51="","",IF(TODAY()&lt;$B51+90,"-",SUMPRODUCT(('Picked Students (raw)'!$B$2:$B$824=$A51)*('Picked Students (raw)'!$E$2:$E$824="Career Gap/ Non Working")*('Picked Students (raw)'!$C$2:$C$824&lt;&gt;"")*(('Picked Students (raw)'!$C$2:$C$824-$B51)&lt;90)))))</f>
        <v/>
      </c>
      <c r="K51" s="5">
        <f>IF($A51="","",IF(J51="-","-",IF($D51=0,0,J51/$D51)))</f>
        <v/>
      </c>
      <c r="L51" s="3">
        <f>IF($A51="","",IF($B51="","",IF(TODAY()&lt;$B51+120,"-",SUMPRODUCT(('Picked Students (raw)'!$B$2:$B$824=$A51)*('Picked Students (raw)'!$E$2:$E$824="Career Gap/ Non Working")*('Picked Students (raw)'!$C$2:$C$824&lt;&gt;"")*(('Picked Students (raw)'!$C$2:$C$824-$B51)&lt;120)))))</f>
        <v/>
      </c>
      <c r="M51" s="5">
        <f>IF($A51="","",IF(L51="-","-",IF($D51=0,0,L51/$D51)))</f>
        <v/>
      </c>
      <c r="N51" s="3">
        <f>IF($A51="","",IF($B51="","",IF(TODAY()&lt;$B51+150,"-",SUMPRODUCT(('Picked Students (raw)'!$B$2:$B$824=$A51)*('Picked Students (raw)'!$E$2:$E$824="Career Gap/ Non Working")*('Picked Students (raw)'!$C$2:$C$824&lt;&gt;"")*(('Picked Students (raw)'!$C$2:$C$824-$B51)&lt;150)))))</f>
        <v/>
      </c>
      <c r="O51" s="5">
        <f>IF($A51="","",IF(N51="-","-",IF($D51=0,0,N51/$D51)))</f>
        <v/>
      </c>
      <c r="P51" s="3">
        <f>IF($A51="","",IF($B51="","",IF(TODAY()&lt;$B51+180,"-",SUMPRODUCT(('Picked Students (raw)'!$B$2:$B$824=$A51)*('Picked Students (raw)'!$E$2:$E$824="Career Gap/ Non Working")*('Picked Students (raw)'!$C$2:$C$824&lt;&gt;"")*(('Picked Students (raw)'!$C$2:$C$824-$B51)&lt;180)))))</f>
        <v/>
      </c>
      <c r="Q51" s="5">
        <f>IF($A51="","",IF(P51="-","-",IF($D51=0,0,P51/$D51)))</f>
        <v/>
      </c>
      <c r="R51" s="3">
        <f>IF($A51="","",IF($B51="","",IF(TODAY()&lt;$B51+210,"-",SUMPRODUCT(('Picked Students (raw)'!$B$2:$B$824=$A51)*('Picked Students (raw)'!$E$2:$E$824="Career Gap/ Non Working")*('Picked Students (raw)'!$C$2:$C$824&lt;&gt;"")*(('Picked Students (raw)'!$C$2:$C$824-$B51)&lt;210)))))</f>
        <v/>
      </c>
      <c r="S51" s="5">
        <f>IF($A51="","",IF(R51="-","-",IF($D51=0,0,R51/$D51)))</f>
        <v/>
      </c>
      <c r="T51" s="3">
        <f>IF($A51="","",IF($B51="","",IF(TODAY()&lt;$B51+240,"-",SUMPRODUCT(('Picked Students (raw)'!$B$2:$B$824=$A51)*('Picked Students (raw)'!$E$2:$E$824="Career Gap/ Non Working")*('Picked Students (raw)'!$C$2:$C$824&lt;&gt;"")*(('Picked Students (raw)'!$C$2:$C$824-$B51)&lt;240)))))</f>
        <v/>
      </c>
      <c r="U51" s="5">
        <f>IF($A51="","",IF(T51="-","-",IF($D51=0,0,T51/$D51)))</f>
        <v/>
      </c>
      <c r="V51" s="3">
        <f>IF($A51="","",IF($B51="","",IF(TODAY()&lt;$B51+270,"-",SUMPRODUCT(('Picked Students (raw)'!$B$2:$B$824=$A51)*('Picked Students (raw)'!$E$2:$E$824="Career Gap/ Non Working")*('Picked Students (raw)'!$C$2:$C$824&lt;&gt;"")*(('Picked Students (raw)'!$C$2:$C$824-$B51)&lt;270)))))</f>
        <v/>
      </c>
      <c r="W51" s="5">
        <f>IF($A51="","",IF(V51="-","-",IF($D51=0,0,V51/$D51)))</f>
        <v/>
      </c>
      <c r="X51" s="3">
        <f>IF($A51="","",IF($B51="","",IF(TODAY()&lt;$B51+300,"-",SUMPRODUCT(('Picked Students (raw)'!$B$2:$B$824=$A51)*('Picked Students (raw)'!$E$2:$E$824="Career Gap/ Non Working")*('Picked Students (raw)'!$C$2:$C$824&lt;&gt;"")*(('Picked Students (raw)'!$C$2:$C$824-$B51)&lt;300)))))</f>
        <v/>
      </c>
      <c r="Y51" s="5">
        <f>IF($A51="","",IF(X51="-","-",IF($D51=0,0,X51/$D51)))</f>
        <v/>
      </c>
      <c r="Z51" s="3">
        <f>IF($A51="","",IF($B51="","",IF(TODAY()&lt;$B51+330,"-",SUMPRODUCT(('Picked Students (raw)'!$B$2:$B$824=$A51)*('Picked Students (raw)'!$E$2:$E$824="Career Gap/ Non Working")*('Picked Students (raw)'!$C$2:$C$824&lt;&gt;"")*(('Picked Students (raw)'!$C$2:$C$824-$B51)&lt;330)))))</f>
        <v/>
      </c>
      <c r="AA51" s="5">
        <f>IF($A51="","",IF(Z51="-","-",IF($D51=0,0,Z51/$D51)))</f>
        <v/>
      </c>
      <c r="AB51" s="3">
        <f>IF($A51="","",IF($B51="","",IF(TODAY()&lt;$B51+360,"-",SUMPRODUCT(('Picked Students (raw)'!$B$2:$B$824=$A51)*('Picked Students (raw)'!$E$2:$E$824="Career Gap/ Non Working")*('Picked Students (raw)'!$C$2:$C$824&lt;&gt;"")*(('Picked Students (raw)'!$C$2:$C$824-$B51)&lt;360)))))</f>
        <v/>
      </c>
      <c r="AC51" s="5">
        <f>IF($A51="","",IF(AB51="-","-",IF($D51=0,0,AB51/$D51)))</f>
        <v/>
      </c>
      <c r="AD51" s="3">
        <f>IF($A51="","",IF($B51="","",IF(TODAY()&lt;$B51+390,"-",SUMPRODUCT(('Picked Students (raw)'!$B$2:$B$824=$A51)*('Picked Students (raw)'!$E$2:$E$824="Career Gap/ Non Working")*('Picked Students (raw)'!$C$2:$C$824&lt;&gt;"")*(('Picked Students (raw)'!$C$2:$C$824-$B51)&lt;390)))))</f>
        <v/>
      </c>
      <c r="AE51" s="5">
        <f>IF($A51="","",IF(AD51="-","-",IF($D51=0,0,AD51/$D51)))</f>
        <v/>
      </c>
      <c r="AF51" s="3">
        <f>IF($A51="","",IF($B51="","",IF(TODAY()&lt;$B51+420,"-",SUMPRODUCT(('Picked Students (raw)'!$B$2:$B$824=$A51)*('Picked Students (raw)'!$E$2:$E$824="Career Gap/ Non Working")*('Picked Students (raw)'!$C$2:$C$824&lt;&gt;"")*(('Picked Students (raw)'!$C$2:$C$824-$B51)&lt;420)))))</f>
        <v/>
      </c>
      <c r="AG51" s="5">
        <f>IF($A51="","",IF(AF51="-","-",IF($D51=0,0,AF51/$D51)))</f>
        <v/>
      </c>
      <c r="AH51" s="3">
        <f>IF($A51="","",IF($B51="","",IF(TODAY()&lt;$B51+450,"-",SUMPRODUCT(('Picked Students (raw)'!$B$2:$B$824=$A51)*('Picked Students (raw)'!$E$2:$E$824="Career Gap/ Non Working")*('Picked Students (raw)'!$C$2:$C$824&lt;&gt;"")*(('Picked Students (raw)'!$C$2:$C$824-$B51)&lt;450)))))</f>
        <v/>
      </c>
      <c r="AI51" s="5">
        <f>IF($A51="","",IF(AH51="-","-",IF($D51=0,0,AH51/$D51)))</f>
        <v/>
      </c>
      <c r="AJ51" s="3">
        <f>IF($A51="","",IF($B51="","",IF(TODAY()&lt;$B51+480,"-",SUMPRODUCT(('Picked Students (raw)'!$B$2:$B$824=$A51)*('Picked Students (raw)'!$E$2:$E$824="Career Gap/ Non Working")*('Picked Students (raw)'!$C$2:$C$824&lt;&gt;"")*(('Picked Students (raw)'!$C$2:$C$824-$B51)&lt;480)))))</f>
        <v/>
      </c>
      <c r="AK51" s="5">
        <f>IF($A51="","",IF(AJ51="-","-",IF($D51=0,0,AJ51/$D51)))</f>
        <v/>
      </c>
      <c r="AL51" s="3">
        <f>IF($A51="","",IF($B51="","",IF(TODAY()&lt;$B51+510,"-",SUMPRODUCT(('Picked Students (raw)'!$B$2:$B$824=$A51)*('Picked Students (raw)'!$E$2:$E$824="Career Gap/ Non Working")*('Picked Students (raw)'!$C$2:$C$824&lt;&gt;"")*(('Picked Students (raw)'!$C$2:$C$824-$B51)&lt;510)))))</f>
        <v/>
      </c>
      <c r="AM51" s="5">
        <f>IF($A51="","",IF(AL51="-","-",IF($D51=0,0,AL51/$D51)))</f>
        <v/>
      </c>
      <c r="AN51" s="3">
        <f>IF($A51="","",IF($B51="","",IF(TODAY()&lt;$B51+540,"-",SUMPRODUCT(('Picked Students (raw)'!$B$2:$B$824=$A51)*('Picked Students (raw)'!$E$2:$E$824="Career Gap/ Non Working")*('Picked Students (raw)'!$C$2:$C$824&lt;&gt;"")*(('Picked Students (raw)'!$C$2:$C$824-$B51)&lt;540)))))</f>
        <v/>
      </c>
      <c r="AO51" s="5">
        <f>IF($A51="","",IF(AN51="-","-",IF($D51=0,0,AN51/$D51)))</f>
        <v/>
      </c>
      <c r="AP51" s="3">
        <f>IF($A51="","",IF(AN51="-","-",$E51-AN51))</f>
        <v/>
      </c>
    </row>
    <row r="52">
      <c r="A52" s="3" t="n"/>
      <c r="B52" s="4">
        <f>IF($A52="","",IFERROR(INDEX('Batch Enrollment (Metabase)'!$D$2:$D$47,MATCH($A52,'Batch Enrollment (Metabase)'!$A$2:$A$47,0)),""))</f>
        <v/>
      </c>
      <c r="C52" s="3">
        <f>IF($A52="","",IFERROR(INDEX('Batch Enrollment (Metabase)'!$E$2:$E$47,MATCH($A52,'Batch Enrollment (Metabase)'!$A$2:$A$47,0)),""))</f>
        <v/>
      </c>
      <c r="D52" s="3">
        <f>IF($A52="","",IFERROR(INDEX('Batch Enrollment (Metabase)'!$F$2:$F$47,MATCH($A52,'Batch Enrollment (Metabase)'!$A$2:$A$47,0)),""))</f>
        <v/>
      </c>
      <c r="E52" s="3">
        <f>IF($A52="","",COUNTIFS('Picked Students (raw)'!$B$2:$B$824,$A52,'Picked Students (raw)'!$E$2:$E$824,"Career Gap/ Non Working"))</f>
        <v/>
      </c>
      <c r="F52" s="3">
        <f>IF($A52="","",IF($B52="","",IF(TODAY()&lt;$B52+30,"-",SUMPRODUCT(('Picked Students (raw)'!$B$2:$B$824=$A52)*('Picked Students (raw)'!$E$2:$E$824="Career Gap/ Non Working")*('Picked Students (raw)'!$C$2:$C$824&lt;&gt;"")*(('Picked Students (raw)'!$C$2:$C$824-$B52)&lt;30)))))</f>
        <v/>
      </c>
      <c r="G52" s="5">
        <f>IF($A52="","",IF(F52="-","-",IF($D52=0,0,F52/$D52)))</f>
        <v/>
      </c>
      <c r="H52" s="3">
        <f>IF($A52="","",IF($B52="","",IF(TODAY()&lt;$B52+60,"-",SUMPRODUCT(('Picked Students (raw)'!$B$2:$B$824=$A52)*('Picked Students (raw)'!$E$2:$E$824="Career Gap/ Non Working")*('Picked Students (raw)'!$C$2:$C$824&lt;&gt;"")*(('Picked Students (raw)'!$C$2:$C$824-$B52)&lt;60)))))</f>
        <v/>
      </c>
      <c r="I52" s="5">
        <f>IF($A52="","",IF(H52="-","-",IF($D52=0,0,H52/$D52)))</f>
        <v/>
      </c>
      <c r="J52" s="3">
        <f>IF($A52="","",IF($B52="","",IF(TODAY()&lt;$B52+90,"-",SUMPRODUCT(('Picked Students (raw)'!$B$2:$B$824=$A52)*('Picked Students (raw)'!$E$2:$E$824="Career Gap/ Non Working")*('Picked Students (raw)'!$C$2:$C$824&lt;&gt;"")*(('Picked Students (raw)'!$C$2:$C$824-$B52)&lt;90)))))</f>
        <v/>
      </c>
      <c r="K52" s="5">
        <f>IF($A52="","",IF(J52="-","-",IF($D52=0,0,J52/$D52)))</f>
        <v/>
      </c>
      <c r="L52" s="3">
        <f>IF($A52="","",IF($B52="","",IF(TODAY()&lt;$B52+120,"-",SUMPRODUCT(('Picked Students (raw)'!$B$2:$B$824=$A52)*('Picked Students (raw)'!$E$2:$E$824="Career Gap/ Non Working")*('Picked Students (raw)'!$C$2:$C$824&lt;&gt;"")*(('Picked Students (raw)'!$C$2:$C$824-$B52)&lt;120)))))</f>
        <v/>
      </c>
      <c r="M52" s="5">
        <f>IF($A52="","",IF(L52="-","-",IF($D52=0,0,L52/$D52)))</f>
        <v/>
      </c>
      <c r="N52" s="3">
        <f>IF($A52="","",IF($B52="","",IF(TODAY()&lt;$B52+150,"-",SUMPRODUCT(('Picked Students (raw)'!$B$2:$B$824=$A52)*('Picked Students (raw)'!$E$2:$E$824="Career Gap/ Non Working")*('Picked Students (raw)'!$C$2:$C$824&lt;&gt;"")*(('Picked Students (raw)'!$C$2:$C$824-$B52)&lt;150)))))</f>
        <v/>
      </c>
      <c r="O52" s="5">
        <f>IF($A52="","",IF(N52="-","-",IF($D52=0,0,N52/$D52)))</f>
        <v/>
      </c>
      <c r="P52" s="3">
        <f>IF($A52="","",IF($B52="","",IF(TODAY()&lt;$B52+180,"-",SUMPRODUCT(('Picked Students (raw)'!$B$2:$B$824=$A52)*('Picked Students (raw)'!$E$2:$E$824="Career Gap/ Non Working")*('Picked Students (raw)'!$C$2:$C$824&lt;&gt;"")*(('Picked Students (raw)'!$C$2:$C$824-$B52)&lt;180)))))</f>
        <v/>
      </c>
      <c r="Q52" s="5">
        <f>IF($A52="","",IF(P52="-","-",IF($D52=0,0,P52/$D52)))</f>
        <v/>
      </c>
      <c r="R52" s="3">
        <f>IF($A52="","",IF($B52="","",IF(TODAY()&lt;$B52+210,"-",SUMPRODUCT(('Picked Students (raw)'!$B$2:$B$824=$A52)*('Picked Students (raw)'!$E$2:$E$824="Career Gap/ Non Working")*('Picked Students (raw)'!$C$2:$C$824&lt;&gt;"")*(('Picked Students (raw)'!$C$2:$C$824-$B52)&lt;210)))))</f>
        <v/>
      </c>
      <c r="S52" s="5">
        <f>IF($A52="","",IF(R52="-","-",IF($D52=0,0,R52/$D52)))</f>
        <v/>
      </c>
      <c r="T52" s="3">
        <f>IF($A52="","",IF($B52="","",IF(TODAY()&lt;$B52+240,"-",SUMPRODUCT(('Picked Students (raw)'!$B$2:$B$824=$A52)*('Picked Students (raw)'!$E$2:$E$824="Career Gap/ Non Working")*('Picked Students (raw)'!$C$2:$C$824&lt;&gt;"")*(('Picked Students (raw)'!$C$2:$C$824-$B52)&lt;240)))))</f>
        <v/>
      </c>
      <c r="U52" s="5">
        <f>IF($A52="","",IF(T52="-","-",IF($D52=0,0,T52/$D52)))</f>
        <v/>
      </c>
      <c r="V52" s="3">
        <f>IF($A52="","",IF($B52="","",IF(TODAY()&lt;$B52+270,"-",SUMPRODUCT(('Picked Students (raw)'!$B$2:$B$824=$A52)*('Picked Students (raw)'!$E$2:$E$824="Career Gap/ Non Working")*('Picked Students (raw)'!$C$2:$C$824&lt;&gt;"")*(('Picked Students (raw)'!$C$2:$C$824-$B52)&lt;270)))))</f>
        <v/>
      </c>
      <c r="W52" s="5">
        <f>IF($A52="","",IF(V52="-","-",IF($D52=0,0,V52/$D52)))</f>
        <v/>
      </c>
      <c r="X52" s="3">
        <f>IF($A52="","",IF($B52="","",IF(TODAY()&lt;$B52+300,"-",SUMPRODUCT(('Picked Students (raw)'!$B$2:$B$824=$A52)*('Picked Students (raw)'!$E$2:$E$824="Career Gap/ Non Working")*('Picked Students (raw)'!$C$2:$C$824&lt;&gt;"")*(('Picked Students (raw)'!$C$2:$C$824-$B52)&lt;300)))))</f>
        <v/>
      </c>
      <c r="Y52" s="5">
        <f>IF($A52="","",IF(X52="-","-",IF($D52=0,0,X52/$D52)))</f>
        <v/>
      </c>
      <c r="Z52" s="3">
        <f>IF($A52="","",IF($B52="","",IF(TODAY()&lt;$B52+330,"-",SUMPRODUCT(('Picked Students (raw)'!$B$2:$B$824=$A52)*('Picked Students (raw)'!$E$2:$E$824="Career Gap/ Non Working")*('Picked Students (raw)'!$C$2:$C$824&lt;&gt;"")*(('Picked Students (raw)'!$C$2:$C$824-$B52)&lt;330)))))</f>
        <v/>
      </c>
      <c r="AA52" s="5">
        <f>IF($A52="","",IF(Z52="-","-",IF($D52=0,0,Z52/$D52)))</f>
        <v/>
      </c>
      <c r="AB52" s="3">
        <f>IF($A52="","",IF($B52="","",IF(TODAY()&lt;$B52+360,"-",SUMPRODUCT(('Picked Students (raw)'!$B$2:$B$824=$A52)*('Picked Students (raw)'!$E$2:$E$824="Career Gap/ Non Working")*('Picked Students (raw)'!$C$2:$C$824&lt;&gt;"")*(('Picked Students (raw)'!$C$2:$C$824-$B52)&lt;360)))))</f>
        <v/>
      </c>
      <c r="AC52" s="5">
        <f>IF($A52="","",IF(AB52="-","-",IF($D52=0,0,AB52/$D52)))</f>
        <v/>
      </c>
      <c r="AD52" s="3">
        <f>IF($A52="","",IF($B52="","",IF(TODAY()&lt;$B52+390,"-",SUMPRODUCT(('Picked Students (raw)'!$B$2:$B$824=$A52)*('Picked Students (raw)'!$E$2:$E$824="Career Gap/ Non Working")*('Picked Students (raw)'!$C$2:$C$824&lt;&gt;"")*(('Picked Students (raw)'!$C$2:$C$824-$B52)&lt;390)))))</f>
        <v/>
      </c>
      <c r="AE52" s="5">
        <f>IF($A52="","",IF(AD52="-","-",IF($D52=0,0,AD52/$D52)))</f>
        <v/>
      </c>
      <c r="AF52" s="3">
        <f>IF($A52="","",IF($B52="","",IF(TODAY()&lt;$B52+420,"-",SUMPRODUCT(('Picked Students (raw)'!$B$2:$B$824=$A52)*('Picked Students (raw)'!$E$2:$E$824="Career Gap/ Non Working")*('Picked Students (raw)'!$C$2:$C$824&lt;&gt;"")*(('Picked Students (raw)'!$C$2:$C$824-$B52)&lt;420)))))</f>
        <v/>
      </c>
      <c r="AG52" s="5">
        <f>IF($A52="","",IF(AF52="-","-",IF($D52=0,0,AF52/$D52)))</f>
        <v/>
      </c>
      <c r="AH52" s="3">
        <f>IF($A52="","",IF($B52="","",IF(TODAY()&lt;$B52+450,"-",SUMPRODUCT(('Picked Students (raw)'!$B$2:$B$824=$A52)*('Picked Students (raw)'!$E$2:$E$824="Career Gap/ Non Working")*('Picked Students (raw)'!$C$2:$C$824&lt;&gt;"")*(('Picked Students (raw)'!$C$2:$C$824-$B52)&lt;450)))))</f>
        <v/>
      </c>
      <c r="AI52" s="5">
        <f>IF($A52="","",IF(AH52="-","-",IF($D52=0,0,AH52/$D52)))</f>
        <v/>
      </c>
      <c r="AJ52" s="3">
        <f>IF($A52="","",IF($B52="","",IF(TODAY()&lt;$B52+480,"-",SUMPRODUCT(('Picked Students (raw)'!$B$2:$B$824=$A52)*('Picked Students (raw)'!$E$2:$E$824="Career Gap/ Non Working")*('Picked Students (raw)'!$C$2:$C$824&lt;&gt;"")*(('Picked Students (raw)'!$C$2:$C$824-$B52)&lt;480)))))</f>
        <v/>
      </c>
      <c r="AK52" s="5">
        <f>IF($A52="","",IF(AJ52="-","-",IF($D52=0,0,AJ52/$D52)))</f>
        <v/>
      </c>
      <c r="AL52" s="3">
        <f>IF($A52="","",IF($B52="","",IF(TODAY()&lt;$B52+510,"-",SUMPRODUCT(('Picked Students (raw)'!$B$2:$B$824=$A52)*('Picked Students (raw)'!$E$2:$E$824="Career Gap/ Non Working")*('Picked Students (raw)'!$C$2:$C$824&lt;&gt;"")*(('Picked Students (raw)'!$C$2:$C$824-$B52)&lt;510)))))</f>
        <v/>
      </c>
      <c r="AM52" s="5">
        <f>IF($A52="","",IF(AL52="-","-",IF($D52=0,0,AL52/$D52)))</f>
        <v/>
      </c>
      <c r="AN52" s="3">
        <f>IF($A52="","",IF($B52="","",IF(TODAY()&lt;$B52+540,"-",SUMPRODUCT(('Picked Students (raw)'!$B$2:$B$824=$A52)*('Picked Students (raw)'!$E$2:$E$824="Career Gap/ Non Working")*('Picked Students (raw)'!$C$2:$C$824&lt;&gt;"")*(('Picked Students (raw)'!$C$2:$C$824-$B52)&lt;540)))))</f>
        <v/>
      </c>
      <c r="AO52" s="5">
        <f>IF($A52="","",IF(AN52="-","-",IF($D52=0,0,AN52/$D52)))</f>
        <v/>
      </c>
      <c r="AP52" s="3">
        <f>IF($A52="","",IF(AN52="-","-",$E52-AN52))</f>
        <v/>
      </c>
    </row>
    <row r="53">
      <c r="A53" s="3" t="n"/>
      <c r="B53" s="4">
        <f>IF($A53="","",IFERROR(INDEX('Batch Enrollment (Metabase)'!$D$2:$D$47,MATCH($A53,'Batch Enrollment (Metabase)'!$A$2:$A$47,0)),""))</f>
        <v/>
      </c>
      <c r="C53" s="3">
        <f>IF($A53="","",IFERROR(INDEX('Batch Enrollment (Metabase)'!$E$2:$E$47,MATCH($A53,'Batch Enrollment (Metabase)'!$A$2:$A$47,0)),""))</f>
        <v/>
      </c>
      <c r="D53" s="3">
        <f>IF($A53="","",IFERROR(INDEX('Batch Enrollment (Metabase)'!$F$2:$F$47,MATCH($A53,'Batch Enrollment (Metabase)'!$A$2:$A$47,0)),""))</f>
        <v/>
      </c>
      <c r="E53" s="3">
        <f>IF($A53="","",COUNTIFS('Picked Students (raw)'!$B$2:$B$824,$A53,'Picked Students (raw)'!$E$2:$E$824,"Career Gap/ Non Working"))</f>
        <v/>
      </c>
      <c r="F53" s="3">
        <f>IF($A53="","",IF($B53="","",IF(TODAY()&lt;$B53+30,"-",SUMPRODUCT(('Picked Students (raw)'!$B$2:$B$824=$A53)*('Picked Students (raw)'!$E$2:$E$824="Career Gap/ Non Working")*('Picked Students (raw)'!$C$2:$C$824&lt;&gt;"")*(('Picked Students (raw)'!$C$2:$C$824-$B53)&lt;30)))))</f>
        <v/>
      </c>
      <c r="G53" s="5">
        <f>IF($A53="","",IF(F53="-","-",IF($D53=0,0,F53/$D53)))</f>
        <v/>
      </c>
      <c r="H53" s="3">
        <f>IF($A53="","",IF($B53="","",IF(TODAY()&lt;$B53+60,"-",SUMPRODUCT(('Picked Students (raw)'!$B$2:$B$824=$A53)*('Picked Students (raw)'!$E$2:$E$824="Career Gap/ Non Working")*('Picked Students (raw)'!$C$2:$C$824&lt;&gt;"")*(('Picked Students (raw)'!$C$2:$C$824-$B53)&lt;60)))))</f>
        <v/>
      </c>
      <c r="I53" s="5">
        <f>IF($A53="","",IF(H53="-","-",IF($D53=0,0,H53/$D53)))</f>
        <v/>
      </c>
      <c r="J53" s="3">
        <f>IF($A53="","",IF($B53="","",IF(TODAY()&lt;$B53+90,"-",SUMPRODUCT(('Picked Students (raw)'!$B$2:$B$824=$A53)*('Picked Students (raw)'!$E$2:$E$824="Career Gap/ Non Working")*('Picked Students (raw)'!$C$2:$C$824&lt;&gt;"")*(('Picked Students (raw)'!$C$2:$C$824-$B53)&lt;90)))))</f>
        <v/>
      </c>
      <c r="K53" s="5">
        <f>IF($A53="","",IF(J53="-","-",IF($D53=0,0,J53/$D53)))</f>
        <v/>
      </c>
      <c r="L53" s="3">
        <f>IF($A53="","",IF($B53="","",IF(TODAY()&lt;$B53+120,"-",SUMPRODUCT(('Picked Students (raw)'!$B$2:$B$824=$A53)*('Picked Students (raw)'!$E$2:$E$824="Career Gap/ Non Working")*('Picked Students (raw)'!$C$2:$C$824&lt;&gt;"")*(('Picked Students (raw)'!$C$2:$C$824-$B53)&lt;120)))))</f>
        <v/>
      </c>
      <c r="M53" s="5">
        <f>IF($A53="","",IF(L53="-","-",IF($D53=0,0,L53/$D53)))</f>
        <v/>
      </c>
      <c r="N53" s="3">
        <f>IF($A53="","",IF($B53="","",IF(TODAY()&lt;$B53+150,"-",SUMPRODUCT(('Picked Students (raw)'!$B$2:$B$824=$A53)*('Picked Students (raw)'!$E$2:$E$824="Career Gap/ Non Working")*('Picked Students (raw)'!$C$2:$C$824&lt;&gt;"")*(('Picked Students (raw)'!$C$2:$C$824-$B53)&lt;150)))))</f>
        <v/>
      </c>
      <c r="O53" s="5">
        <f>IF($A53="","",IF(N53="-","-",IF($D53=0,0,N53/$D53)))</f>
        <v/>
      </c>
      <c r="P53" s="3">
        <f>IF($A53="","",IF($B53="","",IF(TODAY()&lt;$B53+180,"-",SUMPRODUCT(('Picked Students (raw)'!$B$2:$B$824=$A53)*('Picked Students (raw)'!$E$2:$E$824="Career Gap/ Non Working")*('Picked Students (raw)'!$C$2:$C$824&lt;&gt;"")*(('Picked Students (raw)'!$C$2:$C$824-$B53)&lt;180)))))</f>
        <v/>
      </c>
      <c r="Q53" s="5">
        <f>IF($A53="","",IF(P53="-","-",IF($D53=0,0,P53/$D53)))</f>
        <v/>
      </c>
      <c r="R53" s="3">
        <f>IF($A53="","",IF($B53="","",IF(TODAY()&lt;$B53+210,"-",SUMPRODUCT(('Picked Students (raw)'!$B$2:$B$824=$A53)*('Picked Students (raw)'!$E$2:$E$824="Career Gap/ Non Working")*('Picked Students (raw)'!$C$2:$C$824&lt;&gt;"")*(('Picked Students (raw)'!$C$2:$C$824-$B53)&lt;210)))))</f>
        <v/>
      </c>
      <c r="S53" s="5">
        <f>IF($A53="","",IF(R53="-","-",IF($D53=0,0,R53/$D53)))</f>
        <v/>
      </c>
      <c r="T53" s="3">
        <f>IF($A53="","",IF($B53="","",IF(TODAY()&lt;$B53+240,"-",SUMPRODUCT(('Picked Students (raw)'!$B$2:$B$824=$A53)*('Picked Students (raw)'!$E$2:$E$824="Career Gap/ Non Working")*('Picked Students (raw)'!$C$2:$C$824&lt;&gt;"")*(('Picked Students (raw)'!$C$2:$C$824-$B53)&lt;240)))))</f>
        <v/>
      </c>
      <c r="U53" s="5">
        <f>IF($A53="","",IF(T53="-","-",IF($D53=0,0,T53/$D53)))</f>
        <v/>
      </c>
      <c r="V53" s="3">
        <f>IF($A53="","",IF($B53="","",IF(TODAY()&lt;$B53+270,"-",SUMPRODUCT(('Picked Students (raw)'!$B$2:$B$824=$A53)*('Picked Students (raw)'!$E$2:$E$824="Career Gap/ Non Working")*('Picked Students (raw)'!$C$2:$C$824&lt;&gt;"")*(('Picked Students (raw)'!$C$2:$C$824-$B53)&lt;270)))))</f>
        <v/>
      </c>
      <c r="W53" s="5">
        <f>IF($A53="","",IF(V53="-","-",IF($D53=0,0,V53/$D53)))</f>
        <v/>
      </c>
      <c r="X53" s="3">
        <f>IF($A53="","",IF($B53="","",IF(TODAY()&lt;$B53+300,"-",SUMPRODUCT(('Picked Students (raw)'!$B$2:$B$824=$A53)*('Picked Students (raw)'!$E$2:$E$824="Career Gap/ Non Working")*('Picked Students (raw)'!$C$2:$C$824&lt;&gt;"")*(('Picked Students (raw)'!$C$2:$C$824-$B53)&lt;300)))))</f>
        <v/>
      </c>
      <c r="Y53" s="5">
        <f>IF($A53="","",IF(X53="-","-",IF($D53=0,0,X53/$D53)))</f>
        <v/>
      </c>
      <c r="Z53" s="3">
        <f>IF($A53="","",IF($B53="","",IF(TODAY()&lt;$B53+330,"-",SUMPRODUCT(('Picked Students (raw)'!$B$2:$B$824=$A53)*('Picked Students (raw)'!$E$2:$E$824="Career Gap/ Non Working")*('Picked Students (raw)'!$C$2:$C$824&lt;&gt;"")*(('Picked Students (raw)'!$C$2:$C$824-$B53)&lt;330)))))</f>
        <v/>
      </c>
      <c r="AA53" s="5">
        <f>IF($A53="","",IF(Z53="-","-",IF($D53=0,0,Z53/$D53)))</f>
        <v/>
      </c>
      <c r="AB53" s="3">
        <f>IF($A53="","",IF($B53="","",IF(TODAY()&lt;$B53+360,"-",SUMPRODUCT(('Picked Students (raw)'!$B$2:$B$824=$A53)*('Picked Students (raw)'!$E$2:$E$824="Career Gap/ Non Working")*('Picked Students (raw)'!$C$2:$C$824&lt;&gt;"")*(('Picked Students (raw)'!$C$2:$C$824-$B53)&lt;360)))))</f>
        <v/>
      </c>
      <c r="AC53" s="5">
        <f>IF($A53="","",IF(AB53="-","-",IF($D53=0,0,AB53/$D53)))</f>
        <v/>
      </c>
      <c r="AD53" s="3">
        <f>IF($A53="","",IF($B53="","",IF(TODAY()&lt;$B53+390,"-",SUMPRODUCT(('Picked Students (raw)'!$B$2:$B$824=$A53)*('Picked Students (raw)'!$E$2:$E$824="Career Gap/ Non Working")*('Picked Students (raw)'!$C$2:$C$824&lt;&gt;"")*(('Picked Students (raw)'!$C$2:$C$824-$B53)&lt;390)))))</f>
        <v/>
      </c>
      <c r="AE53" s="5">
        <f>IF($A53="","",IF(AD53="-","-",IF($D53=0,0,AD53/$D53)))</f>
        <v/>
      </c>
      <c r="AF53" s="3">
        <f>IF($A53="","",IF($B53="","",IF(TODAY()&lt;$B53+420,"-",SUMPRODUCT(('Picked Students (raw)'!$B$2:$B$824=$A53)*('Picked Students (raw)'!$E$2:$E$824="Career Gap/ Non Working")*('Picked Students (raw)'!$C$2:$C$824&lt;&gt;"")*(('Picked Students (raw)'!$C$2:$C$824-$B53)&lt;420)))))</f>
        <v/>
      </c>
      <c r="AG53" s="5">
        <f>IF($A53="","",IF(AF53="-","-",IF($D53=0,0,AF53/$D53)))</f>
        <v/>
      </c>
      <c r="AH53" s="3">
        <f>IF($A53="","",IF($B53="","",IF(TODAY()&lt;$B53+450,"-",SUMPRODUCT(('Picked Students (raw)'!$B$2:$B$824=$A53)*('Picked Students (raw)'!$E$2:$E$824="Career Gap/ Non Working")*('Picked Students (raw)'!$C$2:$C$824&lt;&gt;"")*(('Picked Students (raw)'!$C$2:$C$824-$B53)&lt;450)))))</f>
        <v/>
      </c>
      <c r="AI53" s="5">
        <f>IF($A53="","",IF(AH53="-","-",IF($D53=0,0,AH53/$D53)))</f>
        <v/>
      </c>
      <c r="AJ53" s="3">
        <f>IF($A53="","",IF($B53="","",IF(TODAY()&lt;$B53+480,"-",SUMPRODUCT(('Picked Students (raw)'!$B$2:$B$824=$A53)*('Picked Students (raw)'!$E$2:$E$824="Career Gap/ Non Working")*('Picked Students (raw)'!$C$2:$C$824&lt;&gt;"")*(('Picked Students (raw)'!$C$2:$C$824-$B53)&lt;480)))))</f>
        <v/>
      </c>
      <c r="AK53" s="5">
        <f>IF($A53="","",IF(AJ53="-","-",IF($D53=0,0,AJ53/$D53)))</f>
        <v/>
      </c>
      <c r="AL53" s="3">
        <f>IF($A53="","",IF($B53="","",IF(TODAY()&lt;$B53+510,"-",SUMPRODUCT(('Picked Students (raw)'!$B$2:$B$824=$A53)*('Picked Students (raw)'!$E$2:$E$824="Career Gap/ Non Working")*('Picked Students (raw)'!$C$2:$C$824&lt;&gt;"")*(('Picked Students (raw)'!$C$2:$C$824-$B53)&lt;510)))))</f>
        <v/>
      </c>
      <c r="AM53" s="5">
        <f>IF($A53="","",IF(AL53="-","-",IF($D53=0,0,AL53/$D53)))</f>
        <v/>
      </c>
      <c r="AN53" s="3">
        <f>IF($A53="","",IF($B53="","",IF(TODAY()&lt;$B53+540,"-",SUMPRODUCT(('Picked Students (raw)'!$B$2:$B$824=$A53)*('Picked Students (raw)'!$E$2:$E$824="Career Gap/ Non Working")*('Picked Students (raw)'!$C$2:$C$824&lt;&gt;"")*(('Picked Students (raw)'!$C$2:$C$824-$B53)&lt;540)))))</f>
        <v/>
      </c>
      <c r="AO53" s="5">
        <f>IF($A53="","",IF(AN53="-","-",IF($D53=0,0,AN53/$D53)))</f>
        <v/>
      </c>
      <c r="AP53" s="3">
        <f>IF($A53="","",IF(AN53="-","-",$E53-AN53))</f>
        <v/>
      </c>
    </row>
    <row r="54">
      <c r="A54" s="3" t="n"/>
      <c r="B54" s="4">
        <f>IF($A54="","",IFERROR(INDEX('Batch Enrollment (Metabase)'!$D$2:$D$47,MATCH($A54,'Batch Enrollment (Metabase)'!$A$2:$A$47,0)),""))</f>
        <v/>
      </c>
      <c r="C54" s="3">
        <f>IF($A54="","",IFERROR(INDEX('Batch Enrollment (Metabase)'!$E$2:$E$47,MATCH($A54,'Batch Enrollment (Metabase)'!$A$2:$A$47,0)),""))</f>
        <v/>
      </c>
      <c r="D54" s="3">
        <f>IF($A54="","",IFERROR(INDEX('Batch Enrollment (Metabase)'!$F$2:$F$47,MATCH($A54,'Batch Enrollment (Metabase)'!$A$2:$A$47,0)),""))</f>
        <v/>
      </c>
      <c r="E54" s="3">
        <f>IF($A54="","",COUNTIFS('Picked Students (raw)'!$B$2:$B$824,$A54,'Picked Students (raw)'!$E$2:$E$824,"Career Gap/ Non Working"))</f>
        <v/>
      </c>
      <c r="F54" s="3">
        <f>IF($A54="","",IF($B54="","",IF(TODAY()&lt;$B54+30,"-",SUMPRODUCT(('Picked Students (raw)'!$B$2:$B$824=$A54)*('Picked Students (raw)'!$E$2:$E$824="Career Gap/ Non Working")*('Picked Students (raw)'!$C$2:$C$824&lt;&gt;"")*(('Picked Students (raw)'!$C$2:$C$824-$B54)&lt;30)))))</f>
        <v/>
      </c>
      <c r="G54" s="5">
        <f>IF($A54="","",IF(F54="-","-",IF($D54=0,0,F54/$D54)))</f>
        <v/>
      </c>
      <c r="H54" s="3">
        <f>IF($A54="","",IF($B54="","",IF(TODAY()&lt;$B54+60,"-",SUMPRODUCT(('Picked Students (raw)'!$B$2:$B$824=$A54)*('Picked Students (raw)'!$E$2:$E$824="Career Gap/ Non Working")*('Picked Students (raw)'!$C$2:$C$824&lt;&gt;"")*(('Picked Students (raw)'!$C$2:$C$824-$B54)&lt;60)))))</f>
        <v/>
      </c>
      <c r="I54" s="5">
        <f>IF($A54="","",IF(H54="-","-",IF($D54=0,0,H54/$D54)))</f>
        <v/>
      </c>
      <c r="J54" s="3">
        <f>IF($A54="","",IF($B54="","",IF(TODAY()&lt;$B54+90,"-",SUMPRODUCT(('Picked Students (raw)'!$B$2:$B$824=$A54)*('Picked Students (raw)'!$E$2:$E$824="Career Gap/ Non Working")*('Picked Students (raw)'!$C$2:$C$824&lt;&gt;"")*(('Picked Students (raw)'!$C$2:$C$824-$B54)&lt;90)))))</f>
        <v/>
      </c>
      <c r="K54" s="5">
        <f>IF($A54="","",IF(J54="-","-",IF($D54=0,0,J54/$D54)))</f>
        <v/>
      </c>
      <c r="L54" s="3">
        <f>IF($A54="","",IF($B54="","",IF(TODAY()&lt;$B54+120,"-",SUMPRODUCT(('Picked Students (raw)'!$B$2:$B$824=$A54)*('Picked Students (raw)'!$E$2:$E$824="Career Gap/ Non Working")*('Picked Students (raw)'!$C$2:$C$824&lt;&gt;"")*(('Picked Students (raw)'!$C$2:$C$824-$B54)&lt;120)))))</f>
        <v/>
      </c>
      <c r="M54" s="5">
        <f>IF($A54="","",IF(L54="-","-",IF($D54=0,0,L54/$D54)))</f>
        <v/>
      </c>
      <c r="N54" s="3">
        <f>IF($A54="","",IF($B54="","",IF(TODAY()&lt;$B54+150,"-",SUMPRODUCT(('Picked Students (raw)'!$B$2:$B$824=$A54)*('Picked Students (raw)'!$E$2:$E$824="Career Gap/ Non Working")*('Picked Students (raw)'!$C$2:$C$824&lt;&gt;"")*(('Picked Students (raw)'!$C$2:$C$824-$B54)&lt;150)))))</f>
        <v/>
      </c>
      <c r="O54" s="5">
        <f>IF($A54="","",IF(N54="-","-",IF($D54=0,0,N54/$D54)))</f>
        <v/>
      </c>
      <c r="P54" s="3">
        <f>IF($A54="","",IF($B54="","",IF(TODAY()&lt;$B54+180,"-",SUMPRODUCT(('Picked Students (raw)'!$B$2:$B$824=$A54)*('Picked Students (raw)'!$E$2:$E$824="Career Gap/ Non Working")*('Picked Students (raw)'!$C$2:$C$824&lt;&gt;"")*(('Picked Students (raw)'!$C$2:$C$824-$B54)&lt;180)))))</f>
        <v/>
      </c>
      <c r="Q54" s="5">
        <f>IF($A54="","",IF(P54="-","-",IF($D54=0,0,P54/$D54)))</f>
        <v/>
      </c>
      <c r="R54" s="3">
        <f>IF($A54="","",IF($B54="","",IF(TODAY()&lt;$B54+210,"-",SUMPRODUCT(('Picked Students (raw)'!$B$2:$B$824=$A54)*('Picked Students (raw)'!$E$2:$E$824="Career Gap/ Non Working")*('Picked Students (raw)'!$C$2:$C$824&lt;&gt;"")*(('Picked Students (raw)'!$C$2:$C$824-$B54)&lt;210)))))</f>
        <v/>
      </c>
      <c r="S54" s="5">
        <f>IF($A54="","",IF(R54="-","-",IF($D54=0,0,R54/$D54)))</f>
        <v/>
      </c>
      <c r="T54" s="3">
        <f>IF($A54="","",IF($B54="","",IF(TODAY()&lt;$B54+240,"-",SUMPRODUCT(('Picked Students (raw)'!$B$2:$B$824=$A54)*('Picked Students (raw)'!$E$2:$E$824="Career Gap/ Non Working")*('Picked Students (raw)'!$C$2:$C$824&lt;&gt;"")*(('Picked Students (raw)'!$C$2:$C$824-$B54)&lt;240)))))</f>
        <v/>
      </c>
      <c r="U54" s="5">
        <f>IF($A54="","",IF(T54="-","-",IF($D54=0,0,T54/$D54)))</f>
        <v/>
      </c>
      <c r="V54" s="3">
        <f>IF($A54="","",IF($B54="","",IF(TODAY()&lt;$B54+270,"-",SUMPRODUCT(('Picked Students (raw)'!$B$2:$B$824=$A54)*('Picked Students (raw)'!$E$2:$E$824="Career Gap/ Non Working")*('Picked Students (raw)'!$C$2:$C$824&lt;&gt;"")*(('Picked Students (raw)'!$C$2:$C$824-$B54)&lt;270)))))</f>
        <v/>
      </c>
      <c r="W54" s="5">
        <f>IF($A54="","",IF(V54="-","-",IF($D54=0,0,V54/$D54)))</f>
        <v/>
      </c>
      <c r="X54" s="3">
        <f>IF($A54="","",IF($B54="","",IF(TODAY()&lt;$B54+300,"-",SUMPRODUCT(('Picked Students (raw)'!$B$2:$B$824=$A54)*('Picked Students (raw)'!$E$2:$E$824="Career Gap/ Non Working")*('Picked Students (raw)'!$C$2:$C$824&lt;&gt;"")*(('Picked Students (raw)'!$C$2:$C$824-$B54)&lt;300)))))</f>
        <v/>
      </c>
      <c r="Y54" s="5">
        <f>IF($A54="","",IF(X54="-","-",IF($D54=0,0,X54/$D54)))</f>
        <v/>
      </c>
      <c r="Z54" s="3">
        <f>IF($A54="","",IF($B54="","",IF(TODAY()&lt;$B54+330,"-",SUMPRODUCT(('Picked Students (raw)'!$B$2:$B$824=$A54)*('Picked Students (raw)'!$E$2:$E$824="Career Gap/ Non Working")*('Picked Students (raw)'!$C$2:$C$824&lt;&gt;"")*(('Picked Students (raw)'!$C$2:$C$824-$B54)&lt;330)))))</f>
        <v/>
      </c>
      <c r="AA54" s="5">
        <f>IF($A54="","",IF(Z54="-","-",IF($D54=0,0,Z54/$D54)))</f>
        <v/>
      </c>
      <c r="AB54" s="3">
        <f>IF($A54="","",IF($B54="","",IF(TODAY()&lt;$B54+360,"-",SUMPRODUCT(('Picked Students (raw)'!$B$2:$B$824=$A54)*('Picked Students (raw)'!$E$2:$E$824="Career Gap/ Non Working")*('Picked Students (raw)'!$C$2:$C$824&lt;&gt;"")*(('Picked Students (raw)'!$C$2:$C$824-$B54)&lt;360)))))</f>
        <v/>
      </c>
      <c r="AC54" s="5">
        <f>IF($A54="","",IF(AB54="-","-",IF($D54=0,0,AB54/$D54)))</f>
        <v/>
      </c>
      <c r="AD54" s="3">
        <f>IF($A54="","",IF($B54="","",IF(TODAY()&lt;$B54+390,"-",SUMPRODUCT(('Picked Students (raw)'!$B$2:$B$824=$A54)*('Picked Students (raw)'!$E$2:$E$824="Career Gap/ Non Working")*('Picked Students (raw)'!$C$2:$C$824&lt;&gt;"")*(('Picked Students (raw)'!$C$2:$C$824-$B54)&lt;390)))))</f>
        <v/>
      </c>
      <c r="AE54" s="5">
        <f>IF($A54="","",IF(AD54="-","-",IF($D54=0,0,AD54/$D54)))</f>
        <v/>
      </c>
      <c r="AF54" s="3">
        <f>IF($A54="","",IF($B54="","",IF(TODAY()&lt;$B54+420,"-",SUMPRODUCT(('Picked Students (raw)'!$B$2:$B$824=$A54)*('Picked Students (raw)'!$E$2:$E$824="Career Gap/ Non Working")*('Picked Students (raw)'!$C$2:$C$824&lt;&gt;"")*(('Picked Students (raw)'!$C$2:$C$824-$B54)&lt;420)))))</f>
        <v/>
      </c>
      <c r="AG54" s="5">
        <f>IF($A54="","",IF(AF54="-","-",IF($D54=0,0,AF54/$D54)))</f>
        <v/>
      </c>
      <c r="AH54" s="3">
        <f>IF($A54="","",IF($B54="","",IF(TODAY()&lt;$B54+450,"-",SUMPRODUCT(('Picked Students (raw)'!$B$2:$B$824=$A54)*('Picked Students (raw)'!$E$2:$E$824="Career Gap/ Non Working")*('Picked Students (raw)'!$C$2:$C$824&lt;&gt;"")*(('Picked Students (raw)'!$C$2:$C$824-$B54)&lt;450)))))</f>
        <v/>
      </c>
      <c r="AI54" s="5">
        <f>IF($A54="","",IF(AH54="-","-",IF($D54=0,0,AH54/$D54)))</f>
        <v/>
      </c>
      <c r="AJ54" s="3">
        <f>IF($A54="","",IF($B54="","",IF(TODAY()&lt;$B54+480,"-",SUMPRODUCT(('Picked Students (raw)'!$B$2:$B$824=$A54)*('Picked Students (raw)'!$E$2:$E$824="Career Gap/ Non Working")*('Picked Students (raw)'!$C$2:$C$824&lt;&gt;"")*(('Picked Students (raw)'!$C$2:$C$824-$B54)&lt;480)))))</f>
        <v/>
      </c>
      <c r="AK54" s="5">
        <f>IF($A54="","",IF(AJ54="-","-",IF($D54=0,0,AJ54/$D54)))</f>
        <v/>
      </c>
      <c r="AL54" s="3">
        <f>IF($A54="","",IF($B54="","",IF(TODAY()&lt;$B54+510,"-",SUMPRODUCT(('Picked Students (raw)'!$B$2:$B$824=$A54)*('Picked Students (raw)'!$E$2:$E$824="Career Gap/ Non Working")*('Picked Students (raw)'!$C$2:$C$824&lt;&gt;"")*(('Picked Students (raw)'!$C$2:$C$824-$B54)&lt;510)))))</f>
        <v/>
      </c>
      <c r="AM54" s="5">
        <f>IF($A54="","",IF(AL54="-","-",IF($D54=0,0,AL54/$D54)))</f>
        <v/>
      </c>
      <c r="AN54" s="3">
        <f>IF($A54="","",IF($B54="","",IF(TODAY()&lt;$B54+540,"-",SUMPRODUCT(('Picked Students (raw)'!$B$2:$B$824=$A54)*('Picked Students (raw)'!$E$2:$E$824="Career Gap/ Non Working")*('Picked Students (raw)'!$C$2:$C$824&lt;&gt;"")*(('Picked Students (raw)'!$C$2:$C$824-$B54)&lt;540)))))</f>
        <v/>
      </c>
      <c r="AO54" s="5">
        <f>IF($A54="","",IF(AN54="-","-",IF($D54=0,0,AN54/$D54)))</f>
        <v/>
      </c>
      <c r="AP54" s="3">
        <f>IF($A54="","",IF(AN54="-","-",$E54-AN54))</f>
        <v/>
      </c>
    </row>
    <row r="55">
      <c r="A55" s="3" t="n"/>
      <c r="B55" s="4">
        <f>IF($A55="","",IFERROR(INDEX('Batch Enrollment (Metabase)'!$D$2:$D$47,MATCH($A55,'Batch Enrollment (Metabase)'!$A$2:$A$47,0)),""))</f>
        <v/>
      </c>
      <c r="C55" s="3">
        <f>IF($A55="","",IFERROR(INDEX('Batch Enrollment (Metabase)'!$E$2:$E$47,MATCH($A55,'Batch Enrollment (Metabase)'!$A$2:$A$47,0)),""))</f>
        <v/>
      </c>
      <c r="D55" s="3">
        <f>IF($A55="","",IFERROR(INDEX('Batch Enrollment (Metabase)'!$F$2:$F$47,MATCH($A55,'Batch Enrollment (Metabase)'!$A$2:$A$47,0)),""))</f>
        <v/>
      </c>
      <c r="E55" s="3">
        <f>IF($A55="","",COUNTIFS('Picked Students (raw)'!$B$2:$B$824,$A55,'Picked Students (raw)'!$E$2:$E$824,"Career Gap/ Non Working"))</f>
        <v/>
      </c>
      <c r="F55" s="3">
        <f>IF($A55="","",IF($B55="","",IF(TODAY()&lt;$B55+30,"-",SUMPRODUCT(('Picked Students (raw)'!$B$2:$B$824=$A55)*('Picked Students (raw)'!$E$2:$E$824="Career Gap/ Non Working")*('Picked Students (raw)'!$C$2:$C$824&lt;&gt;"")*(('Picked Students (raw)'!$C$2:$C$824-$B55)&lt;30)))))</f>
        <v/>
      </c>
      <c r="G55" s="5">
        <f>IF($A55="","",IF(F55="-","-",IF($D55=0,0,F55/$D55)))</f>
        <v/>
      </c>
      <c r="H55" s="3">
        <f>IF($A55="","",IF($B55="","",IF(TODAY()&lt;$B55+60,"-",SUMPRODUCT(('Picked Students (raw)'!$B$2:$B$824=$A55)*('Picked Students (raw)'!$E$2:$E$824="Career Gap/ Non Working")*('Picked Students (raw)'!$C$2:$C$824&lt;&gt;"")*(('Picked Students (raw)'!$C$2:$C$824-$B55)&lt;60)))))</f>
        <v/>
      </c>
      <c r="I55" s="5">
        <f>IF($A55="","",IF(H55="-","-",IF($D55=0,0,H55/$D55)))</f>
        <v/>
      </c>
      <c r="J55" s="3">
        <f>IF($A55="","",IF($B55="","",IF(TODAY()&lt;$B55+90,"-",SUMPRODUCT(('Picked Students (raw)'!$B$2:$B$824=$A55)*('Picked Students (raw)'!$E$2:$E$824="Career Gap/ Non Working")*('Picked Students (raw)'!$C$2:$C$824&lt;&gt;"")*(('Picked Students (raw)'!$C$2:$C$824-$B55)&lt;90)))))</f>
        <v/>
      </c>
      <c r="K55" s="5">
        <f>IF($A55="","",IF(J55="-","-",IF($D55=0,0,J55/$D55)))</f>
        <v/>
      </c>
      <c r="L55" s="3">
        <f>IF($A55="","",IF($B55="","",IF(TODAY()&lt;$B55+120,"-",SUMPRODUCT(('Picked Students (raw)'!$B$2:$B$824=$A55)*('Picked Students (raw)'!$E$2:$E$824="Career Gap/ Non Working")*('Picked Students (raw)'!$C$2:$C$824&lt;&gt;"")*(('Picked Students (raw)'!$C$2:$C$824-$B55)&lt;120)))))</f>
        <v/>
      </c>
      <c r="M55" s="5">
        <f>IF($A55="","",IF(L55="-","-",IF($D55=0,0,L55/$D55)))</f>
        <v/>
      </c>
      <c r="N55" s="3">
        <f>IF($A55="","",IF($B55="","",IF(TODAY()&lt;$B55+150,"-",SUMPRODUCT(('Picked Students (raw)'!$B$2:$B$824=$A55)*('Picked Students (raw)'!$E$2:$E$824="Career Gap/ Non Working")*('Picked Students (raw)'!$C$2:$C$824&lt;&gt;"")*(('Picked Students (raw)'!$C$2:$C$824-$B55)&lt;150)))))</f>
        <v/>
      </c>
      <c r="O55" s="5">
        <f>IF($A55="","",IF(N55="-","-",IF($D55=0,0,N55/$D55)))</f>
        <v/>
      </c>
      <c r="P55" s="3">
        <f>IF($A55="","",IF($B55="","",IF(TODAY()&lt;$B55+180,"-",SUMPRODUCT(('Picked Students (raw)'!$B$2:$B$824=$A55)*('Picked Students (raw)'!$E$2:$E$824="Career Gap/ Non Working")*('Picked Students (raw)'!$C$2:$C$824&lt;&gt;"")*(('Picked Students (raw)'!$C$2:$C$824-$B55)&lt;180)))))</f>
        <v/>
      </c>
      <c r="Q55" s="5">
        <f>IF($A55="","",IF(P55="-","-",IF($D55=0,0,P55/$D55)))</f>
        <v/>
      </c>
      <c r="R55" s="3">
        <f>IF($A55="","",IF($B55="","",IF(TODAY()&lt;$B55+210,"-",SUMPRODUCT(('Picked Students (raw)'!$B$2:$B$824=$A55)*('Picked Students (raw)'!$E$2:$E$824="Career Gap/ Non Working")*('Picked Students (raw)'!$C$2:$C$824&lt;&gt;"")*(('Picked Students (raw)'!$C$2:$C$824-$B55)&lt;210)))))</f>
        <v/>
      </c>
      <c r="S55" s="5">
        <f>IF($A55="","",IF(R55="-","-",IF($D55=0,0,R55/$D55)))</f>
        <v/>
      </c>
      <c r="T55" s="3">
        <f>IF($A55="","",IF($B55="","",IF(TODAY()&lt;$B55+240,"-",SUMPRODUCT(('Picked Students (raw)'!$B$2:$B$824=$A55)*('Picked Students (raw)'!$E$2:$E$824="Career Gap/ Non Working")*('Picked Students (raw)'!$C$2:$C$824&lt;&gt;"")*(('Picked Students (raw)'!$C$2:$C$824-$B55)&lt;240)))))</f>
        <v/>
      </c>
      <c r="U55" s="5">
        <f>IF($A55="","",IF(T55="-","-",IF($D55=0,0,T55/$D55)))</f>
        <v/>
      </c>
      <c r="V55" s="3">
        <f>IF($A55="","",IF($B55="","",IF(TODAY()&lt;$B55+270,"-",SUMPRODUCT(('Picked Students (raw)'!$B$2:$B$824=$A55)*('Picked Students (raw)'!$E$2:$E$824="Career Gap/ Non Working")*('Picked Students (raw)'!$C$2:$C$824&lt;&gt;"")*(('Picked Students (raw)'!$C$2:$C$824-$B55)&lt;270)))))</f>
        <v/>
      </c>
      <c r="W55" s="5">
        <f>IF($A55="","",IF(V55="-","-",IF($D55=0,0,V55/$D55)))</f>
        <v/>
      </c>
      <c r="X55" s="3">
        <f>IF($A55="","",IF($B55="","",IF(TODAY()&lt;$B55+300,"-",SUMPRODUCT(('Picked Students (raw)'!$B$2:$B$824=$A55)*('Picked Students (raw)'!$E$2:$E$824="Career Gap/ Non Working")*('Picked Students (raw)'!$C$2:$C$824&lt;&gt;"")*(('Picked Students (raw)'!$C$2:$C$824-$B55)&lt;300)))))</f>
        <v/>
      </c>
      <c r="Y55" s="5">
        <f>IF($A55="","",IF(X55="-","-",IF($D55=0,0,X55/$D55)))</f>
        <v/>
      </c>
      <c r="Z55" s="3">
        <f>IF($A55="","",IF($B55="","",IF(TODAY()&lt;$B55+330,"-",SUMPRODUCT(('Picked Students (raw)'!$B$2:$B$824=$A55)*('Picked Students (raw)'!$E$2:$E$824="Career Gap/ Non Working")*('Picked Students (raw)'!$C$2:$C$824&lt;&gt;"")*(('Picked Students (raw)'!$C$2:$C$824-$B55)&lt;330)))))</f>
        <v/>
      </c>
      <c r="AA55" s="5">
        <f>IF($A55="","",IF(Z55="-","-",IF($D55=0,0,Z55/$D55)))</f>
        <v/>
      </c>
      <c r="AB55" s="3">
        <f>IF($A55="","",IF($B55="","",IF(TODAY()&lt;$B55+360,"-",SUMPRODUCT(('Picked Students (raw)'!$B$2:$B$824=$A55)*('Picked Students (raw)'!$E$2:$E$824="Career Gap/ Non Working")*('Picked Students (raw)'!$C$2:$C$824&lt;&gt;"")*(('Picked Students (raw)'!$C$2:$C$824-$B55)&lt;360)))))</f>
        <v/>
      </c>
      <c r="AC55" s="5">
        <f>IF($A55="","",IF(AB55="-","-",IF($D55=0,0,AB55/$D55)))</f>
        <v/>
      </c>
      <c r="AD55" s="3">
        <f>IF($A55="","",IF($B55="","",IF(TODAY()&lt;$B55+390,"-",SUMPRODUCT(('Picked Students (raw)'!$B$2:$B$824=$A55)*('Picked Students (raw)'!$E$2:$E$824="Career Gap/ Non Working")*('Picked Students (raw)'!$C$2:$C$824&lt;&gt;"")*(('Picked Students (raw)'!$C$2:$C$824-$B55)&lt;390)))))</f>
        <v/>
      </c>
      <c r="AE55" s="5">
        <f>IF($A55="","",IF(AD55="-","-",IF($D55=0,0,AD55/$D55)))</f>
        <v/>
      </c>
      <c r="AF55" s="3">
        <f>IF($A55="","",IF($B55="","",IF(TODAY()&lt;$B55+420,"-",SUMPRODUCT(('Picked Students (raw)'!$B$2:$B$824=$A55)*('Picked Students (raw)'!$E$2:$E$824="Career Gap/ Non Working")*('Picked Students (raw)'!$C$2:$C$824&lt;&gt;"")*(('Picked Students (raw)'!$C$2:$C$824-$B55)&lt;420)))))</f>
        <v/>
      </c>
      <c r="AG55" s="5">
        <f>IF($A55="","",IF(AF55="-","-",IF($D55=0,0,AF55/$D55)))</f>
        <v/>
      </c>
      <c r="AH55" s="3">
        <f>IF($A55="","",IF($B55="","",IF(TODAY()&lt;$B55+450,"-",SUMPRODUCT(('Picked Students (raw)'!$B$2:$B$824=$A55)*('Picked Students (raw)'!$E$2:$E$824="Career Gap/ Non Working")*('Picked Students (raw)'!$C$2:$C$824&lt;&gt;"")*(('Picked Students (raw)'!$C$2:$C$824-$B55)&lt;450)))))</f>
        <v/>
      </c>
      <c r="AI55" s="5">
        <f>IF($A55="","",IF(AH55="-","-",IF($D55=0,0,AH55/$D55)))</f>
        <v/>
      </c>
      <c r="AJ55" s="3">
        <f>IF($A55="","",IF($B55="","",IF(TODAY()&lt;$B55+480,"-",SUMPRODUCT(('Picked Students (raw)'!$B$2:$B$824=$A55)*('Picked Students (raw)'!$E$2:$E$824="Career Gap/ Non Working")*('Picked Students (raw)'!$C$2:$C$824&lt;&gt;"")*(('Picked Students (raw)'!$C$2:$C$824-$B55)&lt;480)))))</f>
        <v/>
      </c>
      <c r="AK55" s="5">
        <f>IF($A55="","",IF(AJ55="-","-",IF($D55=0,0,AJ55/$D55)))</f>
        <v/>
      </c>
      <c r="AL55" s="3">
        <f>IF($A55="","",IF($B55="","",IF(TODAY()&lt;$B55+510,"-",SUMPRODUCT(('Picked Students (raw)'!$B$2:$B$824=$A55)*('Picked Students (raw)'!$E$2:$E$824="Career Gap/ Non Working")*('Picked Students (raw)'!$C$2:$C$824&lt;&gt;"")*(('Picked Students (raw)'!$C$2:$C$824-$B55)&lt;510)))))</f>
        <v/>
      </c>
      <c r="AM55" s="5">
        <f>IF($A55="","",IF(AL55="-","-",IF($D55=0,0,AL55/$D55)))</f>
        <v/>
      </c>
      <c r="AN55" s="3">
        <f>IF($A55="","",IF($B55="","",IF(TODAY()&lt;$B55+540,"-",SUMPRODUCT(('Picked Students (raw)'!$B$2:$B$824=$A55)*('Picked Students (raw)'!$E$2:$E$824="Career Gap/ Non Working")*('Picked Students (raw)'!$C$2:$C$824&lt;&gt;"")*(('Picked Students (raw)'!$C$2:$C$824-$B55)&lt;540)))))</f>
        <v/>
      </c>
      <c r="AO55" s="5">
        <f>IF($A55="","",IF(AN55="-","-",IF($D55=0,0,AN55/$D55)))</f>
        <v/>
      </c>
      <c r="AP55" s="3">
        <f>IF($A55="","",IF(AN55="-","-",$E55-AN55))</f>
        <v/>
      </c>
    </row>
    <row r="56">
      <c r="A56" s="3" t="n"/>
      <c r="B56" s="4">
        <f>IF($A56="","",IFERROR(INDEX('Batch Enrollment (Metabase)'!$D$2:$D$47,MATCH($A56,'Batch Enrollment (Metabase)'!$A$2:$A$47,0)),""))</f>
        <v/>
      </c>
      <c r="C56" s="3">
        <f>IF($A56="","",IFERROR(INDEX('Batch Enrollment (Metabase)'!$E$2:$E$47,MATCH($A56,'Batch Enrollment (Metabase)'!$A$2:$A$47,0)),""))</f>
        <v/>
      </c>
      <c r="D56" s="3">
        <f>IF($A56="","",IFERROR(INDEX('Batch Enrollment (Metabase)'!$F$2:$F$47,MATCH($A56,'Batch Enrollment (Metabase)'!$A$2:$A$47,0)),""))</f>
        <v/>
      </c>
      <c r="E56" s="3">
        <f>IF($A56="","",COUNTIFS('Picked Students (raw)'!$B$2:$B$824,$A56,'Picked Students (raw)'!$E$2:$E$824,"Career Gap/ Non Working"))</f>
        <v/>
      </c>
      <c r="F56" s="3">
        <f>IF($A56="","",IF($B56="","",IF(TODAY()&lt;$B56+30,"-",SUMPRODUCT(('Picked Students (raw)'!$B$2:$B$824=$A56)*('Picked Students (raw)'!$E$2:$E$824="Career Gap/ Non Working")*('Picked Students (raw)'!$C$2:$C$824&lt;&gt;"")*(('Picked Students (raw)'!$C$2:$C$824-$B56)&lt;30)))))</f>
        <v/>
      </c>
      <c r="G56" s="5">
        <f>IF($A56="","",IF(F56="-","-",IF($D56=0,0,F56/$D56)))</f>
        <v/>
      </c>
      <c r="H56" s="3">
        <f>IF($A56="","",IF($B56="","",IF(TODAY()&lt;$B56+60,"-",SUMPRODUCT(('Picked Students (raw)'!$B$2:$B$824=$A56)*('Picked Students (raw)'!$E$2:$E$824="Career Gap/ Non Working")*('Picked Students (raw)'!$C$2:$C$824&lt;&gt;"")*(('Picked Students (raw)'!$C$2:$C$824-$B56)&lt;60)))))</f>
        <v/>
      </c>
      <c r="I56" s="5">
        <f>IF($A56="","",IF(H56="-","-",IF($D56=0,0,H56/$D56)))</f>
        <v/>
      </c>
      <c r="J56" s="3">
        <f>IF($A56="","",IF($B56="","",IF(TODAY()&lt;$B56+90,"-",SUMPRODUCT(('Picked Students (raw)'!$B$2:$B$824=$A56)*('Picked Students (raw)'!$E$2:$E$824="Career Gap/ Non Working")*('Picked Students (raw)'!$C$2:$C$824&lt;&gt;"")*(('Picked Students (raw)'!$C$2:$C$824-$B56)&lt;90)))))</f>
        <v/>
      </c>
      <c r="K56" s="5">
        <f>IF($A56="","",IF(J56="-","-",IF($D56=0,0,J56/$D56)))</f>
        <v/>
      </c>
      <c r="L56" s="3">
        <f>IF($A56="","",IF($B56="","",IF(TODAY()&lt;$B56+120,"-",SUMPRODUCT(('Picked Students (raw)'!$B$2:$B$824=$A56)*('Picked Students (raw)'!$E$2:$E$824="Career Gap/ Non Working")*('Picked Students (raw)'!$C$2:$C$824&lt;&gt;"")*(('Picked Students (raw)'!$C$2:$C$824-$B56)&lt;120)))))</f>
        <v/>
      </c>
      <c r="M56" s="5">
        <f>IF($A56="","",IF(L56="-","-",IF($D56=0,0,L56/$D56)))</f>
        <v/>
      </c>
      <c r="N56" s="3">
        <f>IF($A56="","",IF($B56="","",IF(TODAY()&lt;$B56+150,"-",SUMPRODUCT(('Picked Students (raw)'!$B$2:$B$824=$A56)*('Picked Students (raw)'!$E$2:$E$824="Career Gap/ Non Working")*('Picked Students (raw)'!$C$2:$C$824&lt;&gt;"")*(('Picked Students (raw)'!$C$2:$C$824-$B56)&lt;150)))))</f>
        <v/>
      </c>
      <c r="O56" s="5">
        <f>IF($A56="","",IF(N56="-","-",IF($D56=0,0,N56/$D56)))</f>
        <v/>
      </c>
      <c r="P56" s="3">
        <f>IF($A56="","",IF($B56="","",IF(TODAY()&lt;$B56+180,"-",SUMPRODUCT(('Picked Students (raw)'!$B$2:$B$824=$A56)*('Picked Students (raw)'!$E$2:$E$824="Career Gap/ Non Working")*('Picked Students (raw)'!$C$2:$C$824&lt;&gt;"")*(('Picked Students (raw)'!$C$2:$C$824-$B56)&lt;180)))))</f>
        <v/>
      </c>
      <c r="Q56" s="5">
        <f>IF($A56="","",IF(P56="-","-",IF($D56=0,0,P56/$D56)))</f>
        <v/>
      </c>
      <c r="R56" s="3">
        <f>IF($A56="","",IF($B56="","",IF(TODAY()&lt;$B56+210,"-",SUMPRODUCT(('Picked Students (raw)'!$B$2:$B$824=$A56)*('Picked Students (raw)'!$E$2:$E$824="Career Gap/ Non Working")*('Picked Students (raw)'!$C$2:$C$824&lt;&gt;"")*(('Picked Students (raw)'!$C$2:$C$824-$B56)&lt;210)))))</f>
        <v/>
      </c>
      <c r="S56" s="5">
        <f>IF($A56="","",IF(R56="-","-",IF($D56=0,0,R56/$D56)))</f>
        <v/>
      </c>
      <c r="T56" s="3">
        <f>IF($A56="","",IF($B56="","",IF(TODAY()&lt;$B56+240,"-",SUMPRODUCT(('Picked Students (raw)'!$B$2:$B$824=$A56)*('Picked Students (raw)'!$E$2:$E$824="Career Gap/ Non Working")*('Picked Students (raw)'!$C$2:$C$824&lt;&gt;"")*(('Picked Students (raw)'!$C$2:$C$824-$B56)&lt;240)))))</f>
        <v/>
      </c>
      <c r="U56" s="5">
        <f>IF($A56="","",IF(T56="-","-",IF($D56=0,0,T56/$D56)))</f>
        <v/>
      </c>
      <c r="V56" s="3">
        <f>IF($A56="","",IF($B56="","",IF(TODAY()&lt;$B56+270,"-",SUMPRODUCT(('Picked Students (raw)'!$B$2:$B$824=$A56)*('Picked Students (raw)'!$E$2:$E$824="Career Gap/ Non Working")*('Picked Students (raw)'!$C$2:$C$824&lt;&gt;"")*(('Picked Students (raw)'!$C$2:$C$824-$B56)&lt;270)))))</f>
        <v/>
      </c>
      <c r="W56" s="5">
        <f>IF($A56="","",IF(V56="-","-",IF($D56=0,0,V56/$D56)))</f>
        <v/>
      </c>
      <c r="X56" s="3">
        <f>IF($A56="","",IF($B56="","",IF(TODAY()&lt;$B56+300,"-",SUMPRODUCT(('Picked Students (raw)'!$B$2:$B$824=$A56)*('Picked Students (raw)'!$E$2:$E$824="Career Gap/ Non Working")*('Picked Students (raw)'!$C$2:$C$824&lt;&gt;"")*(('Picked Students (raw)'!$C$2:$C$824-$B56)&lt;300)))))</f>
        <v/>
      </c>
      <c r="Y56" s="5">
        <f>IF($A56="","",IF(X56="-","-",IF($D56=0,0,X56/$D56)))</f>
        <v/>
      </c>
      <c r="Z56" s="3">
        <f>IF($A56="","",IF($B56="","",IF(TODAY()&lt;$B56+330,"-",SUMPRODUCT(('Picked Students (raw)'!$B$2:$B$824=$A56)*('Picked Students (raw)'!$E$2:$E$824="Career Gap/ Non Working")*('Picked Students (raw)'!$C$2:$C$824&lt;&gt;"")*(('Picked Students (raw)'!$C$2:$C$824-$B56)&lt;330)))))</f>
        <v/>
      </c>
      <c r="AA56" s="5">
        <f>IF($A56="","",IF(Z56="-","-",IF($D56=0,0,Z56/$D56)))</f>
        <v/>
      </c>
      <c r="AB56" s="3">
        <f>IF($A56="","",IF($B56="","",IF(TODAY()&lt;$B56+360,"-",SUMPRODUCT(('Picked Students (raw)'!$B$2:$B$824=$A56)*('Picked Students (raw)'!$E$2:$E$824="Career Gap/ Non Working")*('Picked Students (raw)'!$C$2:$C$824&lt;&gt;"")*(('Picked Students (raw)'!$C$2:$C$824-$B56)&lt;360)))))</f>
        <v/>
      </c>
      <c r="AC56" s="5">
        <f>IF($A56="","",IF(AB56="-","-",IF($D56=0,0,AB56/$D56)))</f>
        <v/>
      </c>
      <c r="AD56" s="3">
        <f>IF($A56="","",IF($B56="","",IF(TODAY()&lt;$B56+390,"-",SUMPRODUCT(('Picked Students (raw)'!$B$2:$B$824=$A56)*('Picked Students (raw)'!$E$2:$E$824="Career Gap/ Non Working")*('Picked Students (raw)'!$C$2:$C$824&lt;&gt;"")*(('Picked Students (raw)'!$C$2:$C$824-$B56)&lt;390)))))</f>
        <v/>
      </c>
      <c r="AE56" s="5">
        <f>IF($A56="","",IF(AD56="-","-",IF($D56=0,0,AD56/$D56)))</f>
        <v/>
      </c>
      <c r="AF56" s="3">
        <f>IF($A56="","",IF($B56="","",IF(TODAY()&lt;$B56+420,"-",SUMPRODUCT(('Picked Students (raw)'!$B$2:$B$824=$A56)*('Picked Students (raw)'!$E$2:$E$824="Career Gap/ Non Working")*('Picked Students (raw)'!$C$2:$C$824&lt;&gt;"")*(('Picked Students (raw)'!$C$2:$C$824-$B56)&lt;420)))))</f>
        <v/>
      </c>
      <c r="AG56" s="5">
        <f>IF($A56="","",IF(AF56="-","-",IF($D56=0,0,AF56/$D56)))</f>
        <v/>
      </c>
      <c r="AH56" s="3">
        <f>IF($A56="","",IF($B56="","",IF(TODAY()&lt;$B56+450,"-",SUMPRODUCT(('Picked Students (raw)'!$B$2:$B$824=$A56)*('Picked Students (raw)'!$E$2:$E$824="Career Gap/ Non Working")*('Picked Students (raw)'!$C$2:$C$824&lt;&gt;"")*(('Picked Students (raw)'!$C$2:$C$824-$B56)&lt;450)))))</f>
        <v/>
      </c>
      <c r="AI56" s="5">
        <f>IF($A56="","",IF(AH56="-","-",IF($D56=0,0,AH56/$D56)))</f>
        <v/>
      </c>
      <c r="AJ56" s="3">
        <f>IF($A56="","",IF($B56="","",IF(TODAY()&lt;$B56+480,"-",SUMPRODUCT(('Picked Students (raw)'!$B$2:$B$824=$A56)*('Picked Students (raw)'!$E$2:$E$824="Career Gap/ Non Working")*('Picked Students (raw)'!$C$2:$C$824&lt;&gt;"")*(('Picked Students (raw)'!$C$2:$C$824-$B56)&lt;480)))))</f>
        <v/>
      </c>
      <c r="AK56" s="5">
        <f>IF($A56="","",IF(AJ56="-","-",IF($D56=0,0,AJ56/$D56)))</f>
        <v/>
      </c>
      <c r="AL56" s="3">
        <f>IF($A56="","",IF($B56="","",IF(TODAY()&lt;$B56+510,"-",SUMPRODUCT(('Picked Students (raw)'!$B$2:$B$824=$A56)*('Picked Students (raw)'!$E$2:$E$824="Career Gap/ Non Working")*('Picked Students (raw)'!$C$2:$C$824&lt;&gt;"")*(('Picked Students (raw)'!$C$2:$C$824-$B56)&lt;510)))))</f>
        <v/>
      </c>
      <c r="AM56" s="5">
        <f>IF($A56="","",IF(AL56="-","-",IF($D56=0,0,AL56/$D56)))</f>
        <v/>
      </c>
      <c r="AN56" s="3">
        <f>IF($A56="","",IF($B56="","",IF(TODAY()&lt;$B56+540,"-",SUMPRODUCT(('Picked Students (raw)'!$B$2:$B$824=$A56)*('Picked Students (raw)'!$E$2:$E$824="Career Gap/ Non Working")*('Picked Students (raw)'!$C$2:$C$824&lt;&gt;"")*(('Picked Students (raw)'!$C$2:$C$824-$B56)&lt;540)))))</f>
        <v/>
      </c>
      <c r="AO56" s="5">
        <f>IF($A56="","",IF(AN56="-","-",IF($D56=0,0,AN56/$D56)))</f>
        <v/>
      </c>
      <c r="AP56" s="3">
        <f>IF($A56="","",IF(AN56="-","-",$E56-AN56))</f>
        <v/>
      </c>
    </row>
    <row r="57">
      <c r="A57" s="6" t="inlineStr">
        <is>
          <t>TOTAL</t>
        </is>
      </c>
      <c r="C57" s="6">
        <f>SUM(C2:C56)</f>
        <v/>
      </c>
      <c r="D57" s="6">
        <f>SUM(D2:D56)</f>
        <v/>
      </c>
      <c r="E57" s="6">
        <f>SUM(E2:E56)</f>
        <v/>
      </c>
      <c r="F57" s="6">
        <f>SUM(F2:F56)</f>
        <v/>
      </c>
      <c r="G57" s="7">
        <f>IF(SUM($D$2:$D$56)=0,0,F57/SUM($D$2:$D$56))</f>
        <v/>
      </c>
      <c r="H57" s="6">
        <f>SUM(H2:H56)</f>
        <v/>
      </c>
      <c r="I57" s="7">
        <f>IF(SUM($D$2:$D$56)=0,0,H57/SUM($D$2:$D$56))</f>
        <v/>
      </c>
      <c r="J57" s="6">
        <f>SUM(J2:J56)</f>
        <v/>
      </c>
      <c r="K57" s="7">
        <f>IF(SUM($D$2:$D$56)=0,0,J57/SUM($D$2:$D$56))</f>
        <v/>
      </c>
      <c r="L57" s="6">
        <f>SUM(L2:L56)</f>
        <v/>
      </c>
      <c r="M57" s="7">
        <f>IF(SUM($D$2:$D$56)=0,0,L57/SUM($D$2:$D$56))</f>
        <v/>
      </c>
      <c r="N57" s="6">
        <f>SUM(N2:N56)</f>
        <v/>
      </c>
      <c r="O57" s="7">
        <f>IF(SUM($D$2:$D$56)=0,0,N57/SUM($D$2:$D$56))</f>
        <v/>
      </c>
      <c r="P57" s="6">
        <f>SUM(P2:P56)</f>
        <v/>
      </c>
      <c r="Q57" s="7">
        <f>IF(SUM($D$2:$D$56)=0,0,P57/SUM($D$2:$D$56))</f>
        <v/>
      </c>
      <c r="R57" s="6">
        <f>SUM(R2:R56)</f>
        <v/>
      </c>
      <c r="S57" s="7">
        <f>IF(SUM($D$2:$D$56)=0,0,R57/SUM($D$2:$D$56))</f>
        <v/>
      </c>
      <c r="T57" s="6">
        <f>SUM(T2:T56)</f>
        <v/>
      </c>
      <c r="U57" s="7">
        <f>IF(SUM($D$2:$D$56)=0,0,T57/SUM($D$2:$D$56))</f>
        <v/>
      </c>
      <c r="V57" s="6">
        <f>SUM(V2:V56)</f>
        <v/>
      </c>
      <c r="W57" s="7">
        <f>IF(SUM($D$2:$D$56)=0,0,V57/SUM($D$2:$D$56))</f>
        <v/>
      </c>
      <c r="X57" s="6">
        <f>SUM(X2:X56)</f>
        <v/>
      </c>
      <c r="Y57" s="7">
        <f>IF(SUM($D$2:$D$56)=0,0,X57/SUM($D$2:$D$56))</f>
        <v/>
      </c>
      <c r="Z57" s="6">
        <f>SUM(Z2:Z56)</f>
        <v/>
      </c>
      <c r="AA57" s="7">
        <f>IF(SUM($D$2:$D$56)=0,0,Z57/SUM($D$2:$D$56))</f>
        <v/>
      </c>
      <c r="AB57" s="6">
        <f>SUM(AB2:AB56)</f>
        <v/>
      </c>
      <c r="AC57" s="7">
        <f>IF(SUM($D$2:$D$56)=0,0,AB57/SUM($D$2:$D$56))</f>
        <v/>
      </c>
      <c r="AD57" s="6">
        <f>SUM(AD2:AD56)</f>
        <v/>
      </c>
      <c r="AE57" s="7">
        <f>IF(SUM($D$2:$D$56)=0,0,AD57/SUM($D$2:$D$56))</f>
        <v/>
      </c>
      <c r="AF57" s="6">
        <f>SUM(AF2:AF56)</f>
        <v/>
      </c>
      <c r="AG57" s="7">
        <f>IF(SUM($D$2:$D$56)=0,0,AF57/SUM($D$2:$D$56))</f>
        <v/>
      </c>
      <c r="AH57" s="6">
        <f>SUM(AH2:AH56)</f>
        <v/>
      </c>
      <c r="AI57" s="7">
        <f>IF(SUM($D$2:$D$56)=0,0,AH57/SUM($D$2:$D$56))</f>
        <v/>
      </c>
      <c r="AJ57" s="6">
        <f>SUM(AJ2:AJ56)</f>
        <v/>
      </c>
      <c r="AK57" s="7">
        <f>IF(SUM($D$2:$D$56)=0,0,AJ57/SUM($D$2:$D$56))</f>
        <v/>
      </c>
      <c r="AL57" s="6">
        <f>SUM(AL2:AL56)</f>
        <v/>
      </c>
      <c r="AM57" s="7">
        <f>IF(SUM($D$2:$D$56)=0,0,AL57/SUM($D$2:$D$56))</f>
        <v/>
      </c>
      <c r="AN57" s="6">
        <f>SUM(AN2:AN56)</f>
        <v/>
      </c>
      <c r="AO57" s="7">
        <f>IF(SUM($D$2:$D$56)=0,0,AN57/SUM($D$2:$D$56))</f>
        <v/>
      </c>
      <c r="AP57" s="6">
        <f>E57-AN57</f>
        <v/>
      </c>
    </row>
  </sheetData>
  <conditionalFormatting sqref="G2:G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5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5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5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6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56">
    <cfRule type="colorScale" priority="20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2026-09-24T10:14:06Z</dcterms:created>
  <dcterms:modified xsi:type="dcterms:W3CDTF">2026-09-24T10:14:06Z</dcterms:modified>
</cp:coreProperties>
</file>